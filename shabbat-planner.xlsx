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לו&quot;ז צל" sheetId="5" state="visible" r:id="rId5"/>
    <sheet name="טופס נקי" sheetId="6" state="visible" r:id="rId6"/>
    <sheet name="צ'קליסט" sheetId="7" state="visible" r:id="rId7"/>
    <sheet name="קניות" sheetId="8" state="visible" r:id="rId8"/>
    <sheet name="לבדוק במטבח" sheetId="9" state="visible" r:id="rId9"/>
    <sheet name="שיבוץ" sheetId="10" state="visible" r:id="rId10"/>
    <sheet name="תפריט השבת" sheetId="11" state="visible" r:id="rId11"/>
    <sheet name="חניכים" sheetId="12" state="visible" r:id="rId12"/>
    <sheet name="קבוצות" sheetId="13" state="visible" r:id="rId13"/>
    <sheet name="מאגר משימות" sheetId="14" state="visible" r:id="rId14"/>
    <sheet name="מתכונים" sheetId="15" state="visible" r:id="rId15"/>
    <sheet name="מצרכים" sheetId="16" state="visible" r:id="rId16"/>
    <sheet name="זמנים" sheetId="17" state="visible" r:id="rId17"/>
  </sheets>
  <definedNames>
    <definedName name="_xlnm.Print_Titles" localSheetId="4">'לו"ז צל'!$4:$4</definedName>
    <definedName name="_xlnm.Print_Titles" localSheetId="5">'טופס נקי'!$3:$3</definedName>
    <definedName name="_xlnm.Print_Titles" localSheetId="6">'צ''קליסט'!$3:$3</definedName>
    <definedName name="_xlnm._FilterDatabase" localSheetId="7" hidden="1">'קניות'!$A$3:$G$55</definedName>
    <definedName name="_xlnm.Print_Titles" localSheetId="7">'קניות'!$3:$3</definedName>
    <definedName name="_xlnm.Print_Titles" localSheetId="8">'לבדוק במטבח'!$3:$3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hh:mm"/>
    <numFmt numFmtId="166" formatCode="0.##;-0.##;"/>
    <numFmt numFmtId="167" formatCode="yyyy-mm-dd"/>
  </numFmts>
  <fonts count="23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i val="1"/>
      <color rgb="006B7280"/>
      <sz val="11"/>
    </font>
    <font>
      <name val="Arial"/>
      <color rgb="006B7280"/>
      <sz val="9"/>
    </font>
    <font>
      <name val="Arial"/>
      <color rgb="006B7280"/>
      <sz val="10"/>
    </font>
    <font>
      <name val="Arial"/>
      <b val="1"/>
      <color rgb="008A4B00"/>
      <sz val="10"/>
    </font>
    <font>
      <name val="Arial"/>
      <b val="1"/>
      <color rgb="002E5C8A"/>
      <sz val="12"/>
    </font>
    <font>
      <name val="Arial"/>
      <b val="1"/>
      <color rgb="001F2430"/>
      <sz val="12"/>
    </font>
    <font>
      <name val="Arial"/>
      <color rgb="001F2430"/>
      <sz val="10"/>
    </font>
    <font>
      <name val="Arial"/>
      <b val="1"/>
      <color rgb="002E5C8A"/>
      <sz val="16"/>
    </font>
  </fonts>
  <fills count="24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F7F9FC"/>
      </patternFill>
    </fill>
    <fill>
      <patternFill patternType="solid">
        <fgColor rgb="00FCE3C6"/>
      </patternFill>
    </fill>
    <fill>
      <patternFill patternType="solid">
        <fgColor rgb="00333B47"/>
      </patternFill>
    </fill>
  </fills>
  <borders count="6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/>
      <top style="thin">
        <color rgb="00C9CFD8"/>
      </top>
      <bottom style="thin">
        <color rgb="00C9CFD8"/>
      </bottom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wrapText="1" readingOrder="2"/>
    </xf>
    <xf numFmtId="0" fontId="14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wrapText="1" readingOrder="2"/>
    </xf>
    <xf numFmtId="0" fontId="15" fillId="10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10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center" vertical="top" readingOrder="2"/>
    </xf>
    <xf numFmtId="0" fontId="16" fillId="0" borderId="1" applyAlignment="1" pivotButton="0" quotePrefix="0" xfId="0">
      <alignment horizontal="center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1" borderId="0" applyAlignment="1" pivotButton="0" quotePrefix="0" xfId="0">
      <alignment horizontal="center" vertical="center" readingOrder="2"/>
    </xf>
    <xf numFmtId="0" fontId="7" fillId="12" borderId="0" applyAlignment="1" pivotButton="0" quotePrefix="0" xfId="0">
      <alignment horizontal="center" vertical="center" wrapText="1" readingOrder="2"/>
    </xf>
    <xf numFmtId="0" fontId="15" fillId="12" borderId="0" applyAlignment="1" pivotButton="0" quotePrefix="0" xfId="0">
      <alignment horizontal="center" vertical="center" readingOrder="2"/>
    </xf>
    <xf numFmtId="0" fontId="3" fillId="12" borderId="1" applyAlignment="1" pivotButton="0" quotePrefix="0" xfId="0">
      <alignment horizontal="center" vertical="top" readingOrder="2"/>
    </xf>
    <xf numFmtId="0" fontId="14" fillId="13" borderId="0" applyAlignment="1" pivotButton="0" quotePrefix="0" xfId="0">
      <alignment horizontal="center" vertical="center" readingOrder="2"/>
    </xf>
    <xf numFmtId="0" fontId="7" fillId="14" borderId="0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readingOrder="2"/>
    </xf>
    <xf numFmtId="0" fontId="3" fillId="14" borderId="1" applyAlignment="1" pivotButton="0" quotePrefix="0" xfId="0">
      <alignment horizontal="center" vertical="top" readingOrder="2"/>
    </xf>
    <xf numFmtId="0" fontId="14" fillId="15" borderId="0" applyAlignment="1" pivotButton="0" quotePrefix="0" xfId="0">
      <alignment horizontal="center" vertical="center" readingOrder="2"/>
    </xf>
    <xf numFmtId="0" fontId="7" fillId="16" borderId="0" applyAlignment="1" pivotButton="0" quotePrefix="0" xfId="0">
      <alignment horizontal="center" vertical="center" wrapText="1" readingOrder="2"/>
    </xf>
    <xf numFmtId="0" fontId="15" fillId="16" borderId="0" applyAlignment="1" pivotButton="0" quotePrefix="0" xfId="0">
      <alignment horizontal="center" vertical="center" readingOrder="2"/>
    </xf>
    <xf numFmtId="0" fontId="3" fillId="16" borderId="1" applyAlignment="1" pivotButton="0" quotePrefix="0" xfId="0">
      <alignment horizontal="center" vertical="top" readingOrder="2"/>
    </xf>
    <xf numFmtId="0" fontId="14" fillId="17" borderId="0" applyAlignment="1" pivotButton="0" quotePrefix="0" xfId="0">
      <alignment horizontal="center" vertical="center" readingOrder="2"/>
    </xf>
    <xf numFmtId="0" fontId="7" fillId="18" borderId="0" applyAlignment="1" pivotButton="0" quotePrefix="0" xfId="0">
      <alignment horizontal="center" vertical="center" wrapText="1" readingOrder="2"/>
    </xf>
    <xf numFmtId="0" fontId="15" fillId="18" borderId="0" applyAlignment="1" pivotButton="0" quotePrefix="0" xfId="0">
      <alignment horizontal="center" vertical="center" readingOrder="2"/>
    </xf>
    <xf numFmtId="0" fontId="3" fillId="18" borderId="1" applyAlignment="1" pivotButton="0" quotePrefix="0" xfId="0">
      <alignment horizontal="center" vertical="top" readingOrder="2"/>
    </xf>
    <xf numFmtId="0" fontId="14" fillId="19" borderId="0" applyAlignment="1" pivotButton="0" quotePrefix="0" xfId="0">
      <alignment horizontal="center" vertical="center" readingOrder="2"/>
    </xf>
    <xf numFmtId="0" fontId="7" fillId="20" borderId="0" applyAlignment="1" pivotButton="0" quotePrefix="0" xfId="0">
      <alignment horizontal="center" vertical="center" wrapText="1" readingOrder="2"/>
    </xf>
    <xf numFmtId="0" fontId="15" fillId="20" borderId="0" applyAlignment="1" pivotButton="0" quotePrefix="0" xfId="0">
      <alignment horizontal="center" vertical="center" readingOrder="2"/>
    </xf>
    <xf numFmtId="0" fontId="3" fillId="20" borderId="1" applyAlignment="1" pivotButton="0" quotePrefix="0" xfId="0">
      <alignment horizontal="center" vertical="top" readingOrder="2"/>
    </xf>
    <xf numFmtId="0" fontId="7" fillId="3" borderId="1" applyAlignment="1" pivotButton="0" quotePrefix="0" xfId="0">
      <alignment horizontal="center" vertical="center" readingOrder="2"/>
    </xf>
    <xf numFmtId="0" fontId="0" fillId="0" borderId="4" pivotButton="0" quotePrefix="0" xfId="0"/>
    <xf numFmtId="0" fontId="0" fillId="0" borderId="5" pivotButton="0" quotePrefix="0" xfId="0"/>
    <xf numFmtId="0" fontId="19" fillId="0" borderId="1" applyAlignment="1" pivotButton="0" quotePrefix="0" xfId="0">
      <alignment horizontal="center" vertical="center" readingOrder="2"/>
    </xf>
    <xf numFmtId="0" fontId="20" fillId="21" borderId="1" applyAlignment="1" pivotButton="0" quotePrefix="0" xfId="0">
      <alignment horizontal="right" vertical="center" wrapText="1" readingOrder="2"/>
    </xf>
    <xf numFmtId="0" fontId="20" fillId="3" borderId="1" applyAlignment="1" pivotButton="0" quotePrefix="0" xfId="0">
      <alignment horizontal="right" vertical="center" wrapText="1" readingOrder="2"/>
    </xf>
    <xf numFmtId="0" fontId="20" fillId="22" borderId="1" applyAlignment="1" pivotButton="0" quotePrefix="0" xfId="0">
      <alignment horizontal="right" vertical="center" wrapText="1" readingOrder="2"/>
    </xf>
    <xf numFmtId="0" fontId="7" fillId="0" borderId="0" applyAlignment="1" pivotButton="0" quotePrefix="0" xfId="0">
      <alignment horizontal="right" vertical="center" readingOrder="2"/>
    </xf>
    <xf numFmtId="0" fontId="12" fillId="23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21" fillId="0" borderId="1" applyAlignment="1" pivotButton="0" quotePrefix="0" xfId="0">
      <alignment horizontal="center" vertical="top" readingOrder="2"/>
    </xf>
    <xf numFmtId="0" fontId="21" fillId="0" borderId="1" applyAlignment="1" pivotButton="0" quotePrefix="0" xfId="0">
      <alignment horizontal="right" vertical="top" wrapText="1" readingOrder="2"/>
    </xf>
    <xf numFmtId="0" fontId="4" fillId="0" borderId="1" applyAlignment="1" pivotButton="0" quotePrefix="0" xfId="0">
      <alignment horizontal="right" vertical="top" wrapText="1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7" fillId="18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center" vertical="center" readingOrder="2"/>
    </xf>
    <xf numFmtId="166" fontId="4" fillId="5" borderId="1" applyAlignment="1" pivotButton="0" quotePrefix="0" xfId="0">
      <alignment horizontal="center" vertical="center" readingOrder="2"/>
    </xf>
    <xf numFmtId="166" fontId="4" fillId="4" borderId="1" applyAlignment="1" pivotButton="0" quotePrefix="0" xfId="0">
      <alignment horizontal="center" vertical="center" readingOrder="2"/>
    </xf>
    <xf numFmtId="166" fontId="7" fillId="5" borderId="1" applyAlignment="1" pivotButton="0" quotePrefix="0" xfId="0">
      <alignment horizontal="center" vertical="center" readingOrder="2"/>
    </xf>
    <xf numFmtId="0" fontId="7" fillId="4" borderId="1" applyAlignment="1" pivotButton="0" quotePrefix="0" xfId="0">
      <alignment horizontal="right" vertical="center" readingOrder="2"/>
    </xf>
    <xf numFmtId="166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17" fillId="5" borderId="1" applyAlignment="1" pivotButton="0" quotePrefix="0" xfId="0">
      <alignment horizontal="center" vertical="center" readingOrder="2"/>
    </xf>
    <xf numFmtId="0" fontId="21" fillId="5" borderId="1" applyAlignment="1" pivotButton="0" quotePrefix="0" xfId="0">
      <alignment horizontal="right" vertical="top" wrapText="1" readingOrder="2"/>
    </xf>
    <xf numFmtId="0" fontId="16" fillId="0" borderId="0" pivotButton="0" quotePrefix="0" xfId="0"/>
    <xf numFmtId="0" fontId="4" fillId="4" borderId="1" applyAlignment="1" pivotButton="0" quotePrefix="0" xfId="0">
      <alignment horizontal="right" vertical="center" readingOrder="2"/>
    </xf>
    <xf numFmtId="0" fontId="4" fillId="5" borderId="1" applyAlignment="1" pivotButton="0" quotePrefix="0" xfId="0">
      <alignment horizontal="right" vertical="top" wrapText="1" readingOrder="2"/>
    </xf>
    <xf numFmtId="0" fontId="7" fillId="5" borderId="1" applyAlignment="1" pivotButton="0" quotePrefix="0" xfId="0">
      <alignment horizontal="center" vertical="center" readingOrder="2"/>
    </xf>
    <xf numFmtId="0" fontId="7" fillId="14" borderId="1" applyAlignment="1" pivotButton="0" quotePrefix="0" xfId="0">
      <alignment horizontal="right" vertical="center" readingOrder="2"/>
    </xf>
    <xf numFmtId="0" fontId="7" fillId="16" borderId="1" applyAlignment="1" pivotButton="0" quotePrefix="0" xfId="0">
      <alignment horizontal="right" vertical="center" readingOrder="2"/>
    </xf>
    <xf numFmtId="0" fontId="7" fillId="12" borderId="1" applyAlignment="1" pivotButton="0" quotePrefix="0" xfId="0">
      <alignment horizontal="right" vertical="center" readingOrder="2"/>
    </xf>
    <xf numFmtId="0" fontId="7" fillId="18" borderId="1" applyAlignment="1" pivotButton="0" quotePrefix="0" xfId="0">
      <alignment horizontal="right" vertical="center" readingOrder="2"/>
    </xf>
    <xf numFmtId="0" fontId="22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</cellXfs>
  <cellStyles count="1">
    <cellStyle name="Normal" xfId="0" builtinId="0" hidden="0"/>
  </cellStyles>
  <dxfs count="19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  <dxf>
      <fill>
        <patternFill patternType="solid">
          <fgColor rgb="00FCE3C6"/>
        </patternFill>
      </fill>
    </dxf>
    <dxf>
      <fill>
        <patternFill patternType="solid">
          <fgColor rgb="00FBFCFD"/>
        </patternFill>
      </fill>
    </dxf>
    <dxf>
      <font>
        <name val="Arial"/>
        <color rgb="006B7280"/>
        <sz val="10"/>
      </font>
      <fill>
        <patternFill patternType="solid">
          <fgColor rgb="00E7F7F2"/>
        </patternFill>
      </fill>
    </dxf>
    <dxf>
      <font>
        <name val="Arial"/>
        <b val="1"/>
        <color rgb="001F2430"/>
        <sz val="11"/>
      </font>
      <fill>
        <patternFill patternType="solid">
          <fgColor rgb="00E7F7F2"/>
        </patternFill>
      </fill>
    </dxf>
    <dxf>
      <font>
        <name val="Arial"/>
        <color rgb="006B7280"/>
        <sz val="10"/>
      </font>
      <fill>
        <patternFill patternType="solid">
          <fgColor rgb="00EDF1F6"/>
        </patternFill>
      </fill>
    </dxf>
    <dxf>
      <font>
        <name val="Arial"/>
        <b val="1"/>
        <color rgb="001F2430"/>
        <sz val="11"/>
      </font>
      <fill>
        <patternFill patternType="solid">
          <fgColor rgb="00FDF1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«הגדרות» — בוחרים תאריך שבת מהרשימה. כניסת השבת וצאתה נטענות לבד. ממלאים מרחבים ואנשי צוות.</t>
        </is>
      </c>
    </row>
    <row r="5" ht="30" customHeight="1">
      <c r="A5" s="3" t="inlineStr">
        <is>
          <t>2</t>
        </is>
      </c>
      <c r="B5" s="4" t="inlineStr">
        <is>
          <t>«חניכים» — משבצים כל חניך לקבוצה. אפשר לתת ל-tools/assign_groups.py להציע חלוקה מתחלפת.</t>
        </is>
      </c>
    </row>
    <row r="6" ht="30" customHeight="1">
      <c r="A6" s="3" t="inlineStr">
        <is>
          <t>3</t>
        </is>
      </c>
      <c r="B6" s="4" t="inlineStr">
        <is>
          <t>«שיבוץ» — מי עושה מה: קבוצה, חלון זמן, שעה (אם יש), משימה מהרשימה ופרטים. הקטגוריה נטענת לבד.</t>
        </is>
      </c>
    </row>
    <row r="7" ht="30" customHeight="1">
      <c r="A7" s="3" t="inlineStr">
        <is>
          <t>4</t>
        </is>
      </c>
      <c r="B7" s="4" t="inlineStr">
        <is>
          <t>«תפריט השבת» — מה מכינים והכמויות. מכאן נבנית רשימת הקניות.</t>
        </is>
      </c>
    </row>
    <row r="8" ht="30" customHeight="1">
      <c r="A8" s="3" t="inlineStr">
        <is>
          <t>5</t>
        </is>
      </c>
      <c r="B8" s="4" t="inlineStr">
        <is>
          <t>מדפיסים: «לוז», «כרטיסיות» (דף צבעוני לקבוצה), «טופס נקי», «צ'קליסט» ו«קניות».</t>
        </is>
      </c>
    </row>
    <row r="9" ht="26" customHeight="1">
      <c r="A9" s="2" t="inlineStr"/>
    </row>
    <row r="10" ht="26" customHeight="1">
      <c r="A10" s="2" t="inlineStr">
        <is>
          <t>סוגי משימות</t>
        </is>
      </c>
    </row>
    <row r="11" ht="30" customHeight="1">
      <c r="A11" s="3" t="inlineStr">
        <is>
          <t>•</t>
        </is>
      </c>
      <c r="B11" s="4" t="inlineStr">
        <is>
          <t>אפייה ובישול — משתנות בכל שבת לפי התפריט והמתכונים.</t>
        </is>
      </c>
    </row>
    <row r="12" ht="30" customHeight="1">
      <c r="A12" s="3" t="inlineStr">
        <is>
          <t>•</t>
        </is>
      </c>
      <c r="B12" s="4" t="inlineStr">
        <is>
          <t>ניקיון וסידור — משימה נפרדת לכל מרחב, כדי שתבחרו בכל שבת אילו מרחבים מנקים ומתי.</t>
        </is>
      </c>
    </row>
    <row r="13" ht="30" customHeight="1">
      <c r="A13" s="3" t="inlineStr">
        <is>
          <t>•</t>
        </is>
      </c>
      <c r="B13" s="4" t="inlineStr">
        <is>
          <t>תורנות ארוחה — תורנים לקידוש, לארוחות ולסעודה שלישית.</t>
        </is>
      </c>
    </row>
    <row r="14" ht="30" customHeight="1">
      <c r="A14" s="3" t="inlineStr">
        <is>
          <t>•</t>
        </is>
      </c>
      <c r="B14" s="4" t="inlineStr">
        <is>
          <t>אחריות טכנית — פלטות, מיחמים, תנור חימום, ציוד הבדלה, אורות ומזגנים, עיתון.</t>
        </is>
      </c>
    </row>
    <row r="15" ht="26" customHeight="1">
      <c r="A15" s="2" t="inlineStr"/>
    </row>
    <row r="16" ht="26" customHeight="1">
      <c r="A16" s="2" t="inlineStr">
        <is>
          <t>איך הקניות מחושבות</t>
        </is>
      </c>
    </row>
    <row r="17" ht="30" customHeight="1">
      <c r="A17" s="3" t="inlineStr">
        <is>
          <t>•</t>
        </is>
      </c>
      <c r="B17" s="4" t="inlineStr">
        <is>
          <t>«מצרכים» הוא קטלוג קבוע: יחידה, קטגוריית קנייה, ומה נמצא תמיד במטבח.</t>
        </is>
      </c>
    </row>
    <row r="18" ht="30" customHeight="1">
      <c r="A18" s="3" t="inlineStr">
        <is>
          <t>•</t>
        </is>
      </c>
      <c r="B18" s="4" t="inlineStr">
        <is>
          <t>«מתכונים» — לכל מנה שורה לכל מרכיב, עם הכמות ליחידה אחת. ממלאים פעם אחת.</t>
        </is>
      </c>
    </row>
    <row r="19" ht="30" customHeight="1">
      <c r="A19" s="3" t="inlineStr">
        <is>
          <t>•</t>
        </is>
      </c>
      <c r="B19" s="4" t="inlineStr">
        <is>
          <t>«תפריט השבת» — בוחרים מנות וכמה מכל אחת. «קניות» ו«לבדוק במטבח» מתמלאים לבד.</t>
        </is>
      </c>
    </row>
    <row r="20" ht="26" customHeight="1">
      <c r="A20" s="2" t="inlineStr"/>
    </row>
    <row r="21" ht="26" customHeight="1">
      <c r="A21" s="2" t="inlineStr">
        <is>
          <t>טיפים</t>
        </is>
      </c>
    </row>
    <row r="22" ht="30" customHeight="1">
      <c r="A22" s="3" t="inlineStr">
        <is>
          <t>•</t>
        </is>
      </c>
      <c r="B22" s="4" t="inlineStr">
        <is>
          <t>שכחת להזין תאריך? כל הגיליונות יישארו ריקים עד שתבחר אחד.</t>
        </is>
      </c>
    </row>
    <row r="23" ht="30" customHeight="1">
      <c r="A23" s="3" t="inlineStr">
        <is>
          <t>•</t>
        </is>
      </c>
      <c r="B23" s="4" t="inlineStr">
        <is>
          <t>הזמנים ב«זמנים» מחושבים לירושלים ומדויקים לדקה-שתיים. הלוח שלך קובע — תקן שורה או הזן עקיפה ב«הגדרות».</t>
        </is>
      </c>
    </row>
    <row r="24" ht="30" customHeight="1">
      <c r="A24" s="3" t="inlineStr">
        <is>
          <t>•</t>
        </is>
      </c>
      <c r="B24" s="4" t="inlineStr">
        <is>
          <t>ב«לוז» יש התראה אוטומטית כשנשארת פחות משעה בין החבורה של 15:00 לסעודה שלישית.</t>
        </is>
      </c>
    </row>
    <row r="25" ht="30" customHeight="1">
      <c r="A25" s="3" t="inlineStr">
        <is>
          <t>•</t>
        </is>
      </c>
      <c r="B25" s="4" t="inlineStr">
        <is>
          <t>המשימות בכרטיסייה מופיעות בסדר שבו הזנת אותן ב«שיבוץ» — כדאי להזין לפי סדר הזמן.</t>
        </is>
      </c>
    </row>
    <row r="26" ht="30" customHeight="1">
      <c r="A26" s="3" t="inlineStr">
        <is>
          <t>•</t>
        </is>
      </c>
      <c r="B26" s="4" t="inlineStr">
        <is>
          <t>שינית שם קבוצה? עדכן גם ב«שיבוץ». עמודת «בדיקה» שם תדליק אזהרה על שם שאינו קיים.</t>
        </is>
      </c>
    </row>
    <row r="27" ht="30" customHeight="1">
      <c r="A27" s="3" t="inlineStr">
        <is>
          <t>•</t>
        </is>
      </c>
      <c r="B27" s="4" t="inlineStr">
        <is>
          <t>צבע הטאב: כתום = ממלאים, כחול = פלט להדפסה, אפור = מאגרים שמתעדכנים לעיתים רחוקות.</t>
        </is>
      </c>
    </row>
    <row r="28" ht="30" customHeight="1">
      <c r="A28" s="3" t="inlineStr">
        <is>
          <t>•</t>
        </is>
      </c>
      <c r="B28" s="4" t="inlineStr">
        <is>
          <t>לשמור עותק לכל שבת: קובץ ← שמירה בשם, או python3 tools/new_shabbat.py &lt;תאריך&gt;.</t>
        </is>
      </c>
    </row>
  </sheetData>
  <mergeCells count="8">
    <mergeCell ref="A20:B20"/>
    <mergeCell ref="A21:B21"/>
    <mergeCell ref="A16:B16"/>
    <mergeCell ref="A15:B15"/>
    <mergeCell ref="A10:B10"/>
    <mergeCell ref="A1:B1"/>
    <mergeCell ref="A9:B9"/>
    <mergeCell ref="A3:B3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/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>
        <is>
          <t>משמש לחישוב כמויות</t>
        </is>
      </c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1" allowBlank="1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 ht="28" customHeight="1">
      <c r="A18" s="24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L148"/>
  <sheetViews>
    <sheetView showGridLines="0" rightToLeft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7" customWidth="1" min="4" max="4"/>
    <col width="17" customWidth="1" min="5" max="5"/>
    <col width="22" customWidth="1" min="6" max="6"/>
    <col hidden="1" width="12" customWidth="1" min="8" max="8"/>
    <col hidden="1" width="12" customWidth="1" min="9" max="9"/>
    <col hidden="1" width="12" customWidth="1" min="10" max="10"/>
    <col hidden="1" width="12" customWidth="1" min="11" max="11"/>
    <col hidden="1" width="12" customWidth="1" min="12" max="12"/>
  </cols>
  <sheetData>
    <row r="1" ht="42" customHeight="1">
      <c r="A1" s="25">
        <f>IF('קבוצות'!$A$3="","",'קבוצות'!$A$3)</f>
        <v/>
      </c>
    </row>
    <row r="2" ht="60" customHeight="1">
      <c r="A2" s="26">
        <f>IF('קבוצות'!$C$3="","",'קבוצות'!$C$3)</f>
        <v/>
      </c>
    </row>
    <row r="3" ht="20" customHeight="1">
      <c r="A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8" t="inlineStr">
        <is>
          <t>מתי</t>
        </is>
      </c>
      <c r="B4" s="28" t="inlineStr">
        <is>
          <t>שעה</t>
        </is>
      </c>
      <c r="C4" s="28" t="inlineStr">
        <is>
          <t>קטגוריה</t>
        </is>
      </c>
      <c r="D4" s="28" t="inlineStr">
        <is>
          <t>משימה</t>
        </is>
      </c>
      <c r="F4" s="28" t="inlineStr">
        <is>
          <t>פרטים</t>
        </is>
      </c>
    </row>
    <row r="5" ht="28" customHeight="1">
      <c r="A5" s="29">
        <f>IF($H5="","",IF($H5=$H4,"",$H5))</f>
        <v/>
      </c>
      <c r="B5" s="30">
        <f>IF(N($K5)=0,"",TEXT(HOUR($K5),"00")&amp;":"&amp;TEXT(MINUTE($K5),"00"))</f>
        <v/>
      </c>
      <c r="C5" s="31">
        <f>$L5</f>
        <v/>
      </c>
      <c r="D5" s="32">
        <f>$I5</f>
        <v/>
      </c>
      <c r="E5" s="33" t="n"/>
      <c r="F5" s="34">
        <f>$J5</f>
        <v/>
      </c>
      <c r="H5">
        <f>IFERROR(INDEX('שיבוץ'!$B$3:$B$152,MATCH('קבוצות'!$A$3&amp;"|"&amp;1,'שיבוץ'!$K$3:$K$152,0))&amp;"","")</f>
        <v/>
      </c>
      <c r="I5">
        <f>IFERROR(INDEX('שיבוץ'!$D$3:$D$152,MATCH('קבוצות'!$A$3&amp;"|"&amp;1,'שיבוץ'!$K$3:$K$152,0))&amp;"","")</f>
        <v/>
      </c>
      <c r="J5">
        <f>IFERROR(INDEX('שיבוץ'!$F$3:$F$152,MATCH('קבוצות'!$A$3&amp;"|"&amp;1,'שיבוץ'!$K$3:$K$152,0))&amp;"","")</f>
        <v/>
      </c>
      <c r="K5">
        <f>IFERROR(INDEX('שיבוץ'!$C$3:$C$152,MATCH('קבוצות'!$A$3&amp;"|"&amp;1,'שיבוץ'!$K$3:$K$152,0)),"")</f>
        <v/>
      </c>
      <c r="L5">
        <f>IFERROR(INDEX('שיבוץ'!$E$3:$E$152,MATCH('קבוצות'!$A$3&amp;"|"&amp;1,'שיבוץ'!$K$3:$K$152,0))&amp;"","")</f>
        <v/>
      </c>
    </row>
    <row r="6" ht="28" customHeight="1">
      <c r="A6" s="29">
        <f>IF($H6="","",IF($H6=$H5,"",$H6))</f>
        <v/>
      </c>
      <c r="B6" s="30">
        <f>IF(N($K6)=0,"",TEXT(HOUR($K6),"00")&amp;":"&amp;TEXT(MINUTE($K6),"00"))</f>
        <v/>
      </c>
      <c r="C6" s="31">
        <f>$L6</f>
        <v/>
      </c>
      <c r="D6" s="32">
        <f>$I6</f>
        <v/>
      </c>
      <c r="E6" s="33" t="n"/>
      <c r="F6" s="34">
        <f>$J6</f>
        <v/>
      </c>
      <c r="H6">
        <f>IFERROR(INDEX('שיבוץ'!$B$3:$B$152,MATCH('קבוצות'!$A$3&amp;"|"&amp;2,'שיבוץ'!$K$3:$K$152,0))&amp;"","")</f>
        <v/>
      </c>
      <c r="I6">
        <f>IFERROR(INDEX('שיבוץ'!$D$3:$D$152,MATCH('קבוצות'!$A$3&amp;"|"&amp;2,'שיבוץ'!$K$3:$K$152,0))&amp;"","")</f>
        <v/>
      </c>
      <c r="J6">
        <f>IFERROR(INDEX('שיבוץ'!$F$3:$F$152,MATCH('קבוצות'!$A$3&amp;"|"&amp;2,'שיבוץ'!$K$3:$K$152,0))&amp;"","")</f>
        <v/>
      </c>
      <c r="K6">
        <f>IFERROR(INDEX('שיבוץ'!$C$3:$C$152,MATCH('קבוצות'!$A$3&amp;"|"&amp;2,'שיבוץ'!$K$3:$K$152,0)),"")</f>
        <v/>
      </c>
      <c r="L6">
        <f>IFERROR(INDEX('שיבוץ'!$E$3:$E$152,MATCH('קבוצות'!$A$3&amp;"|"&amp;2,'שיבוץ'!$K$3:$K$152,0))&amp;"","")</f>
        <v/>
      </c>
    </row>
    <row r="7" ht="28" customHeight="1">
      <c r="A7" s="29">
        <f>IF($H7="","",IF($H7=$H6,"",$H7))</f>
        <v/>
      </c>
      <c r="B7" s="30">
        <f>IF(N($K7)=0,"",TEXT(HOUR($K7),"00")&amp;":"&amp;TEXT(MINUTE($K7),"00"))</f>
        <v/>
      </c>
      <c r="C7" s="31">
        <f>$L7</f>
        <v/>
      </c>
      <c r="D7" s="32">
        <f>$I7</f>
        <v/>
      </c>
      <c r="E7" s="33" t="n"/>
      <c r="F7" s="34">
        <f>$J7</f>
        <v/>
      </c>
      <c r="H7">
        <f>IFERROR(INDEX('שיבוץ'!$B$3:$B$152,MATCH('קבוצות'!$A$3&amp;"|"&amp;3,'שיבוץ'!$K$3:$K$152,0))&amp;"","")</f>
        <v/>
      </c>
      <c r="I7">
        <f>IFERROR(INDEX('שיבוץ'!$D$3:$D$152,MATCH('קבוצות'!$A$3&amp;"|"&amp;3,'שיבוץ'!$K$3:$K$152,0))&amp;"","")</f>
        <v/>
      </c>
      <c r="J7">
        <f>IFERROR(INDEX('שיבוץ'!$F$3:$F$152,MATCH('קבוצות'!$A$3&amp;"|"&amp;3,'שיבוץ'!$K$3:$K$152,0))&amp;"","")</f>
        <v/>
      </c>
      <c r="K7">
        <f>IFERROR(INDEX('שיבוץ'!$C$3:$C$152,MATCH('קבוצות'!$A$3&amp;"|"&amp;3,'שיבוץ'!$K$3:$K$152,0)),"")</f>
        <v/>
      </c>
      <c r="L7">
        <f>IFERROR(INDEX('שיבוץ'!$E$3:$E$152,MATCH('קבוצות'!$A$3&amp;"|"&amp;3,'שיבוץ'!$K$3:$K$152,0))&amp;"","")</f>
        <v/>
      </c>
    </row>
    <row r="8" ht="28" customHeight="1">
      <c r="A8" s="29">
        <f>IF($H8="","",IF($H8=$H7,"",$H8))</f>
        <v/>
      </c>
      <c r="B8" s="30">
        <f>IF(N($K8)=0,"",TEXT(HOUR($K8),"00")&amp;":"&amp;TEXT(MINUTE($K8),"00"))</f>
        <v/>
      </c>
      <c r="C8" s="31">
        <f>$L8</f>
        <v/>
      </c>
      <c r="D8" s="32">
        <f>$I8</f>
        <v/>
      </c>
      <c r="E8" s="33" t="n"/>
      <c r="F8" s="34">
        <f>$J8</f>
        <v/>
      </c>
      <c r="H8">
        <f>IFERROR(INDEX('שיבוץ'!$B$3:$B$152,MATCH('קבוצות'!$A$3&amp;"|"&amp;4,'שיבוץ'!$K$3:$K$152,0))&amp;"","")</f>
        <v/>
      </c>
      <c r="I8">
        <f>IFERROR(INDEX('שיבוץ'!$D$3:$D$152,MATCH('קבוצות'!$A$3&amp;"|"&amp;4,'שיבוץ'!$K$3:$K$152,0))&amp;"","")</f>
        <v/>
      </c>
      <c r="J8">
        <f>IFERROR(INDEX('שיבוץ'!$F$3:$F$152,MATCH('קבוצות'!$A$3&amp;"|"&amp;4,'שיבוץ'!$K$3:$K$152,0))&amp;"","")</f>
        <v/>
      </c>
      <c r="K8">
        <f>IFERROR(INDEX('שיבוץ'!$C$3:$C$152,MATCH('קבוצות'!$A$3&amp;"|"&amp;4,'שיבוץ'!$K$3:$K$152,0)),"")</f>
        <v/>
      </c>
      <c r="L8">
        <f>IFERROR(INDEX('שיבוץ'!$E$3:$E$152,MATCH('קבוצות'!$A$3&amp;"|"&amp;4,'שיבוץ'!$K$3:$K$152,0))&amp;"","")</f>
        <v/>
      </c>
    </row>
    <row r="9" ht="28" customHeight="1">
      <c r="A9" s="29">
        <f>IF($H9="","",IF($H9=$H8,"",$H9))</f>
        <v/>
      </c>
      <c r="B9" s="30">
        <f>IF(N($K9)=0,"",TEXT(HOUR($K9),"00")&amp;":"&amp;TEXT(MINUTE($K9),"00"))</f>
        <v/>
      </c>
      <c r="C9" s="31">
        <f>$L9</f>
        <v/>
      </c>
      <c r="D9" s="32">
        <f>$I9</f>
        <v/>
      </c>
      <c r="E9" s="33" t="n"/>
      <c r="F9" s="34">
        <f>$J9</f>
        <v/>
      </c>
      <c r="H9">
        <f>IFERROR(INDEX('שיבוץ'!$B$3:$B$152,MATCH('קבוצות'!$A$3&amp;"|"&amp;5,'שיבוץ'!$K$3:$K$152,0))&amp;"","")</f>
        <v/>
      </c>
      <c r="I9">
        <f>IFERROR(INDEX('שיבוץ'!$D$3:$D$152,MATCH('קבוצות'!$A$3&amp;"|"&amp;5,'שיבוץ'!$K$3:$K$152,0))&amp;"","")</f>
        <v/>
      </c>
      <c r="J9">
        <f>IFERROR(INDEX('שיבוץ'!$F$3:$F$152,MATCH('קבוצות'!$A$3&amp;"|"&amp;5,'שיבוץ'!$K$3:$K$152,0))&amp;"","")</f>
        <v/>
      </c>
      <c r="K9">
        <f>IFERROR(INDEX('שיבוץ'!$C$3:$C$152,MATCH('קבוצות'!$A$3&amp;"|"&amp;5,'שיבוץ'!$K$3:$K$152,0)),"")</f>
        <v/>
      </c>
      <c r="L9">
        <f>IFERROR(INDEX('שיבוץ'!$E$3:$E$152,MATCH('קבוצות'!$A$3&amp;"|"&amp;5,'שיבוץ'!$K$3:$K$152,0))&amp;"","")</f>
        <v/>
      </c>
    </row>
    <row r="10" ht="28" customHeight="1">
      <c r="A10" s="29">
        <f>IF($H10="","",IF($H10=$H9,"",$H10))</f>
        <v/>
      </c>
      <c r="B10" s="30">
        <f>IF(N($K10)=0,"",TEXT(HOUR($K10),"00")&amp;":"&amp;TEXT(MINUTE($K10),"00"))</f>
        <v/>
      </c>
      <c r="C10" s="31">
        <f>$L10</f>
        <v/>
      </c>
      <c r="D10" s="32">
        <f>$I10</f>
        <v/>
      </c>
      <c r="E10" s="33" t="n"/>
      <c r="F10" s="34">
        <f>$J10</f>
        <v/>
      </c>
      <c r="H10">
        <f>IFERROR(INDEX('שיבוץ'!$B$3:$B$152,MATCH('קבוצות'!$A$3&amp;"|"&amp;6,'שיבוץ'!$K$3:$K$152,0))&amp;"","")</f>
        <v/>
      </c>
      <c r="I10">
        <f>IFERROR(INDEX('שיבוץ'!$D$3:$D$152,MATCH('קבוצות'!$A$3&amp;"|"&amp;6,'שיבוץ'!$K$3:$K$152,0))&amp;"","")</f>
        <v/>
      </c>
      <c r="J10">
        <f>IFERROR(INDEX('שיבוץ'!$F$3:$F$152,MATCH('קבוצות'!$A$3&amp;"|"&amp;6,'שיבוץ'!$K$3:$K$152,0))&amp;"","")</f>
        <v/>
      </c>
      <c r="K10">
        <f>IFERROR(INDEX('שיבוץ'!$C$3:$C$152,MATCH('קבוצות'!$A$3&amp;"|"&amp;6,'שיבוץ'!$K$3:$K$152,0)),"")</f>
        <v/>
      </c>
      <c r="L10">
        <f>IFERROR(INDEX('שיבוץ'!$E$3:$E$152,MATCH('קבוצות'!$A$3&amp;"|"&amp;6,'שיבוץ'!$K$3:$K$152,0))&amp;"","")</f>
        <v/>
      </c>
    </row>
    <row r="11" ht="28" customHeight="1">
      <c r="A11" s="29">
        <f>IF($H11="","",IF($H11=$H10,"",$H11))</f>
        <v/>
      </c>
      <c r="B11" s="30">
        <f>IF(N($K11)=0,"",TEXT(HOUR($K11),"00")&amp;":"&amp;TEXT(MINUTE($K11),"00"))</f>
        <v/>
      </c>
      <c r="C11" s="31">
        <f>$L11</f>
        <v/>
      </c>
      <c r="D11" s="32">
        <f>$I11</f>
        <v/>
      </c>
      <c r="E11" s="33" t="n"/>
      <c r="F11" s="34">
        <f>$J11</f>
        <v/>
      </c>
      <c r="H11">
        <f>IFERROR(INDEX('שיבוץ'!$B$3:$B$152,MATCH('קבוצות'!$A$3&amp;"|"&amp;7,'שיבוץ'!$K$3:$K$152,0))&amp;"","")</f>
        <v/>
      </c>
      <c r="I11">
        <f>IFERROR(INDEX('שיבוץ'!$D$3:$D$152,MATCH('קבוצות'!$A$3&amp;"|"&amp;7,'שיבוץ'!$K$3:$K$152,0))&amp;"","")</f>
        <v/>
      </c>
      <c r="J11">
        <f>IFERROR(INDEX('שיבוץ'!$F$3:$F$152,MATCH('קבוצות'!$A$3&amp;"|"&amp;7,'שיבוץ'!$K$3:$K$152,0))&amp;"","")</f>
        <v/>
      </c>
      <c r="K11">
        <f>IFERROR(INDEX('שיבוץ'!$C$3:$C$152,MATCH('קבוצות'!$A$3&amp;"|"&amp;7,'שיבוץ'!$K$3:$K$152,0)),"")</f>
        <v/>
      </c>
      <c r="L11">
        <f>IFERROR(INDEX('שיבוץ'!$E$3:$E$152,MATCH('קבוצות'!$A$3&amp;"|"&amp;7,'שיבוץ'!$K$3:$K$152,0))&amp;"","")</f>
        <v/>
      </c>
    </row>
    <row r="12" ht="28" customHeight="1">
      <c r="A12" s="29">
        <f>IF($H12="","",IF($H12=$H11,"",$H12))</f>
        <v/>
      </c>
      <c r="B12" s="30">
        <f>IF(N($K12)=0,"",TEXT(HOUR($K12),"00")&amp;":"&amp;TEXT(MINUTE($K12),"00"))</f>
        <v/>
      </c>
      <c r="C12" s="31">
        <f>$L12</f>
        <v/>
      </c>
      <c r="D12" s="32">
        <f>$I12</f>
        <v/>
      </c>
      <c r="E12" s="33" t="n"/>
      <c r="F12" s="34">
        <f>$J12</f>
        <v/>
      </c>
      <c r="H12">
        <f>IFERROR(INDEX('שיבוץ'!$B$3:$B$152,MATCH('קבוצות'!$A$3&amp;"|"&amp;8,'שיבוץ'!$K$3:$K$152,0))&amp;"","")</f>
        <v/>
      </c>
      <c r="I12">
        <f>IFERROR(INDEX('שיבוץ'!$D$3:$D$152,MATCH('קבוצות'!$A$3&amp;"|"&amp;8,'שיבוץ'!$K$3:$K$152,0))&amp;"","")</f>
        <v/>
      </c>
      <c r="J12">
        <f>IFERROR(INDEX('שיבוץ'!$F$3:$F$152,MATCH('קבוצות'!$A$3&amp;"|"&amp;8,'שיבוץ'!$K$3:$K$152,0))&amp;"","")</f>
        <v/>
      </c>
      <c r="K12">
        <f>IFERROR(INDEX('שיבוץ'!$C$3:$C$152,MATCH('קבוצות'!$A$3&amp;"|"&amp;8,'שיבוץ'!$K$3:$K$152,0)),"")</f>
        <v/>
      </c>
      <c r="L12">
        <f>IFERROR(INDEX('שיבוץ'!$E$3:$E$152,MATCH('קבוצות'!$A$3&amp;"|"&amp;8,'שיבוץ'!$K$3:$K$152,0))&amp;"","")</f>
        <v/>
      </c>
    </row>
    <row r="13" ht="28" customHeight="1">
      <c r="A13" s="29">
        <f>IF($H13="","",IF($H13=$H12,"",$H13))</f>
        <v/>
      </c>
      <c r="B13" s="30">
        <f>IF(N($K13)=0,"",TEXT(HOUR($K13),"00")&amp;":"&amp;TEXT(MINUTE($K13),"00"))</f>
        <v/>
      </c>
      <c r="C13" s="31">
        <f>$L13</f>
        <v/>
      </c>
      <c r="D13" s="32">
        <f>$I13</f>
        <v/>
      </c>
      <c r="E13" s="33" t="n"/>
      <c r="F13" s="34">
        <f>$J13</f>
        <v/>
      </c>
      <c r="H13">
        <f>IFERROR(INDEX('שיבוץ'!$B$3:$B$152,MATCH('קבוצות'!$A$3&amp;"|"&amp;9,'שיבוץ'!$K$3:$K$152,0))&amp;"","")</f>
        <v/>
      </c>
      <c r="I13">
        <f>IFERROR(INDEX('שיבוץ'!$D$3:$D$152,MATCH('קבוצות'!$A$3&amp;"|"&amp;9,'שיבוץ'!$K$3:$K$152,0))&amp;"","")</f>
        <v/>
      </c>
      <c r="J13">
        <f>IFERROR(INDEX('שיבוץ'!$F$3:$F$152,MATCH('קבוצות'!$A$3&amp;"|"&amp;9,'שיבוץ'!$K$3:$K$152,0))&amp;"","")</f>
        <v/>
      </c>
      <c r="K13">
        <f>IFERROR(INDEX('שיבוץ'!$C$3:$C$152,MATCH('קבוצות'!$A$3&amp;"|"&amp;9,'שיבוץ'!$K$3:$K$152,0)),"")</f>
        <v/>
      </c>
      <c r="L13">
        <f>IFERROR(INDEX('שיבוץ'!$E$3:$E$152,MATCH('קבוצות'!$A$3&amp;"|"&amp;9,'שיבוץ'!$K$3:$K$152,0))&amp;"","")</f>
        <v/>
      </c>
    </row>
    <row r="14" ht="28" customHeight="1">
      <c r="A14" s="29">
        <f>IF($H14="","",IF($H14=$H13,"",$H14))</f>
        <v/>
      </c>
      <c r="B14" s="30">
        <f>IF(N($K14)=0,"",TEXT(HOUR($K14),"00")&amp;":"&amp;TEXT(MINUTE($K14),"00"))</f>
        <v/>
      </c>
      <c r="C14" s="31">
        <f>$L14</f>
        <v/>
      </c>
      <c r="D14" s="32">
        <f>$I14</f>
        <v/>
      </c>
      <c r="E14" s="33" t="n"/>
      <c r="F14" s="34">
        <f>$J14</f>
        <v/>
      </c>
      <c r="H14">
        <f>IFERROR(INDEX('שיבוץ'!$B$3:$B$152,MATCH('קבוצות'!$A$3&amp;"|"&amp;10,'שיבוץ'!$K$3:$K$152,0))&amp;"","")</f>
        <v/>
      </c>
      <c r="I14">
        <f>IFERROR(INDEX('שיבוץ'!$D$3:$D$152,MATCH('קבוצות'!$A$3&amp;"|"&amp;10,'שיבוץ'!$K$3:$K$152,0))&amp;"","")</f>
        <v/>
      </c>
      <c r="J14">
        <f>IFERROR(INDEX('שיבוץ'!$F$3:$F$152,MATCH('קבוצות'!$A$3&amp;"|"&amp;10,'שיבוץ'!$K$3:$K$152,0))&amp;"","")</f>
        <v/>
      </c>
      <c r="K14">
        <f>IFERROR(INDEX('שיבוץ'!$C$3:$C$152,MATCH('קבוצות'!$A$3&amp;"|"&amp;10,'שיבוץ'!$K$3:$K$152,0)),"")</f>
        <v/>
      </c>
      <c r="L14">
        <f>IFERROR(INDEX('שיבוץ'!$E$3:$E$152,MATCH('קבוצות'!$A$3&amp;"|"&amp;10,'שיבוץ'!$K$3:$K$152,0))&amp;"","")</f>
        <v/>
      </c>
    </row>
    <row r="15" ht="28" customHeight="1">
      <c r="A15" s="29">
        <f>IF($H15="","",IF($H15=$H14,"",$H15))</f>
        <v/>
      </c>
      <c r="B15" s="30">
        <f>IF(N($K15)=0,"",TEXT(HOUR($K15),"00")&amp;":"&amp;TEXT(MINUTE($K15),"00"))</f>
        <v/>
      </c>
      <c r="C15" s="31">
        <f>$L15</f>
        <v/>
      </c>
      <c r="D15" s="32">
        <f>$I15</f>
        <v/>
      </c>
      <c r="E15" s="33" t="n"/>
      <c r="F15" s="34">
        <f>$J15</f>
        <v/>
      </c>
      <c r="H15">
        <f>IFERROR(INDEX('שיבוץ'!$B$3:$B$152,MATCH('קבוצות'!$A$3&amp;"|"&amp;11,'שיבוץ'!$K$3:$K$152,0))&amp;"","")</f>
        <v/>
      </c>
      <c r="I15">
        <f>IFERROR(INDEX('שיבוץ'!$D$3:$D$152,MATCH('קבוצות'!$A$3&amp;"|"&amp;11,'שיבוץ'!$K$3:$K$152,0))&amp;"","")</f>
        <v/>
      </c>
      <c r="J15">
        <f>IFERROR(INDEX('שיבוץ'!$F$3:$F$152,MATCH('קבוצות'!$A$3&amp;"|"&amp;11,'שיבוץ'!$K$3:$K$152,0))&amp;"","")</f>
        <v/>
      </c>
      <c r="K15">
        <f>IFERROR(INDEX('שיבוץ'!$C$3:$C$152,MATCH('קבוצות'!$A$3&amp;"|"&amp;11,'שיבוץ'!$K$3:$K$152,0)),"")</f>
        <v/>
      </c>
      <c r="L15">
        <f>IFERROR(INDEX('שיבוץ'!$E$3:$E$152,MATCH('קבוצות'!$A$3&amp;"|"&amp;11,'שיבוץ'!$K$3:$K$152,0))&amp;"","")</f>
        <v/>
      </c>
    </row>
    <row r="16" ht="28" customHeight="1">
      <c r="A16" s="29">
        <f>IF($H16="","",IF($H16=$H15,"",$H16))</f>
        <v/>
      </c>
      <c r="B16" s="30">
        <f>IF(N($K16)=0,"",TEXT(HOUR($K16),"00")&amp;":"&amp;TEXT(MINUTE($K16),"00"))</f>
        <v/>
      </c>
      <c r="C16" s="31">
        <f>$L16</f>
        <v/>
      </c>
      <c r="D16" s="32">
        <f>$I16</f>
        <v/>
      </c>
      <c r="E16" s="33" t="n"/>
      <c r="F16" s="34">
        <f>$J16</f>
        <v/>
      </c>
      <c r="H16">
        <f>IFERROR(INDEX('שיבוץ'!$B$3:$B$152,MATCH('קבוצות'!$A$3&amp;"|"&amp;12,'שיבוץ'!$K$3:$K$152,0))&amp;"","")</f>
        <v/>
      </c>
      <c r="I16">
        <f>IFERROR(INDEX('שיבוץ'!$D$3:$D$152,MATCH('קבוצות'!$A$3&amp;"|"&amp;12,'שיבוץ'!$K$3:$K$152,0))&amp;"","")</f>
        <v/>
      </c>
      <c r="J16">
        <f>IFERROR(INDEX('שיבוץ'!$F$3:$F$152,MATCH('קבוצות'!$A$3&amp;"|"&amp;12,'שיבוץ'!$K$3:$K$152,0))&amp;"","")</f>
        <v/>
      </c>
      <c r="K16">
        <f>IFERROR(INDEX('שיבוץ'!$C$3:$C$152,MATCH('קבוצות'!$A$3&amp;"|"&amp;12,'שיבוץ'!$K$3:$K$152,0)),"")</f>
        <v/>
      </c>
      <c r="L16">
        <f>IFERROR(INDEX('שיבוץ'!$E$3:$E$152,MATCH('קבוצות'!$A$3&amp;"|"&amp;12,'שיבוץ'!$K$3:$K$152,0))&amp;"","")</f>
        <v/>
      </c>
    </row>
    <row r="17" ht="28" customHeight="1">
      <c r="A17" s="29">
        <f>IF($H17="","",IF($H17=$H16,"",$H17))</f>
        <v/>
      </c>
      <c r="B17" s="30">
        <f>IF(N($K17)=0,"",TEXT(HOUR($K17),"00")&amp;":"&amp;TEXT(MINUTE($K17),"00"))</f>
        <v/>
      </c>
      <c r="C17" s="31">
        <f>$L17</f>
        <v/>
      </c>
      <c r="D17" s="32">
        <f>$I17</f>
        <v/>
      </c>
      <c r="E17" s="33" t="n"/>
      <c r="F17" s="34">
        <f>$J17</f>
        <v/>
      </c>
      <c r="H17">
        <f>IFERROR(INDEX('שיבוץ'!$B$3:$B$152,MATCH('קבוצות'!$A$3&amp;"|"&amp;13,'שיבוץ'!$K$3:$K$152,0))&amp;"","")</f>
        <v/>
      </c>
      <c r="I17">
        <f>IFERROR(INDEX('שיבוץ'!$D$3:$D$152,MATCH('קבוצות'!$A$3&amp;"|"&amp;13,'שיבוץ'!$K$3:$K$152,0))&amp;"","")</f>
        <v/>
      </c>
      <c r="J17">
        <f>IFERROR(INDEX('שיבוץ'!$F$3:$F$152,MATCH('קבוצות'!$A$3&amp;"|"&amp;13,'שיבוץ'!$K$3:$K$152,0))&amp;"","")</f>
        <v/>
      </c>
      <c r="K17">
        <f>IFERROR(INDEX('שיבוץ'!$C$3:$C$152,MATCH('קבוצות'!$A$3&amp;"|"&amp;13,'שיבוץ'!$K$3:$K$152,0)),"")</f>
        <v/>
      </c>
      <c r="L17">
        <f>IFERROR(INDEX('שיבוץ'!$E$3:$E$152,MATCH('קבוצות'!$A$3&amp;"|"&amp;13,'שיבוץ'!$K$3:$K$152,0))&amp;"","")</f>
        <v/>
      </c>
    </row>
    <row r="18" ht="28" customHeight="1">
      <c r="A18" s="29">
        <f>IF($H18="","",IF($H18=$H17,"",$H18))</f>
        <v/>
      </c>
      <c r="B18" s="30">
        <f>IF(N($K18)=0,"",TEXT(HOUR($K18),"00")&amp;":"&amp;TEXT(MINUTE($K18),"00"))</f>
        <v/>
      </c>
      <c r="C18" s="31">
        <f>$L18</f>
        <v/>
      </c>
      <c r="D18" s="32">
        <f>$I18</f>
        <v/>
      </c>
      <c r="E18" s="33" t="n"/>
      <c r="F18" s="34">
        <f>$J18</f>
        <v/>
      </c>
      <c r="H18">
        <f>IFERROR(INDEX('שיבוץ'!$B$3:$B$152,MATCH('קבוצות'!$A$3&amp;"|"&amp;14,'שיבוץ'!$K$3:$K$152,0))&amp;"","")</f>
        <v/>
      </c>
      <c r="I18">
        <f>IFERROR(INDEX('שיבוץ'!$D$3:$D$152,MATCH('קבוצות'!$A$3&amp;"|"&amp;14,'שיבוץ'!$K$3:$K$152,0))&amp;"","")</f>
        <v/>
      </c>
      <c r="J18">
        <f>IFERROR(INDEX('שיבוץ'!$F$3:$F$152,MATCH('קבוצות'!$A$3&amp;"|"&amp;14,'שיבוץ'!$K$3:$K$152,0))&amp;"","")</f>
        <v/>
      </c>
      <c r="K18">
        <f>IFERROR(INDEX('שיבוץ'!$C$3:$C$152,MATCH('קבוצות'!$A$3&amp;"|"&amp;14,'שיבוץ'!$K$3:$K$152,0)),"")</f>
        <v/>
      </c>
      <c r="L18">
        <f>IFERROR(INDEX('שיבוץ'!$E$3:$E$152,MATCH('קבוצות'!$A$3&amp;"|"&amp;14,'שיבוץ'!$K$3:$K$152,0))&amp;"","")</f>
        <v/>
      </c>
    </row>
    <row r="19" ht="28" customHeight="1">
      <c r="A19" s="29">
        <f>IF($H19="","",IF($H19=$H18,"",$H19))</f>
        <v/>
      </c>
      <c r="B19" s="30">
        <f>IF(N($K19)=0,"",TEXT(HOUR($K19),"00")&amp;":"&amp;TEXT(MINUTE($K19),"00"))</f>
        <v/>
      </c>
      <c r="C19" s="31">
        <f>$L19</f>
        <v/>
      </c>
      <c r="D19" s="32">
        <f>$I19</f>
        <v/>
      </c>
      <c r="E19" s="33" t="n"/>
      <c r="F19" s="34">
        <f>$J19</f>
        <v/>
      </c>
      <c r="H19">
        <f>IFERROR(INDEX('שיבוץ'!$B$3:$B$152,MATCH('קבוצות'!$A$3&amp;"|"&amp;15,'שיבוץ'!$K$3:$K$152,0))&amp;"","")</f>
        <v/>
      </c>
      <c r="I19">
        <f>IFERROR(INDEX('שיבוץ'!$D$3:$D$152,MATCH('קבוצות'!$A$3&amp;"|"&amp;15,'שיבוץ'!$K$3:$K$152,0))&amp;"","")</f>
        <v/>
      </c>
      <c r="J19">
        <f>IFERROR(INDEX('שיבוץ'!$F$3:$F$152,MATCH('קבוצות'!$A$3&amp;"|"&amp;15,'שיבוץ'!$K$3:$K$152,0))&amp;"","")</f>
        <v/>
      </c>
      <c r="K19">
        <f>IFERROR(INDEX('שיבוץ'!$C$3:$C$152,MATCH('קבוצות'!$A$3&amp;"|"&amp;15,'שיבוץ'!$K$3:$K$152,0)),"")</f>
        <v/>
      </c>
      <c r="L19">
        <f>IFERROR(INDEX('שיבוץ'!$E$3:$E$152,MATCH('קבוצות'!$A$3&amp;"|"&amp;15,'שיבוץ'!$K$3:$K$152,0))&amp;"","")</f>
        <v/>
      </c>
    </row>
    <row r="20" ht="28" customHeight="1">
      <c r="A20" s="29">
        <f>IF($H20="","",IF($H20=$H19,"",$H20))</f>
        <v/>
      </c>
      <c r="B20" s="30">
        <f>IF(N($K20)=0,"",TEXT(HOUR($K20),"00")&amp;":"&amp;TEXT(MINUTE($K20),"00"))</f>
        <v/>
      </c>
      <c r="C20" s="31">
        <f>$L20</f>
        <v/>
      </c>
      <c r="D20" s="32">
        <f>$I20</f>
        <v/>
      </c>
      <c r="E20" s="33" t="n"/>
      <c r="F20" s="34">
        <f>$J20</f>
        <v/>
      </c>
      <c r="H20">
        <f>IFERROR(INDEX('שיבוץ'!$B$3:$B$152,MATCH('קבוצות'!$A$3&amp;"|"&amp;16,'שיבוץ'!$K$3:$K$152,0))&amp;"","")</f>
        <v/>
      </c>
      <c r="I20">
        <f>IFERROR(INDEX('שיבוץ'!$D$3:$D$152,MATCH('קבוצות'!$A$3&amp;"|"&amp;16,'שיבוץ'!$K$3:$K$152,0))&amp;"","")</f>
        <v/>
      </c>
      <c r="J20">
        <f>IFERROR(INDEX('שיבוץ'!$F$3:$F$152,MATCH('קבוצות'!$A$3&amp;"|"&amp;16,'שיבוץ'!$K$3:$K$152,0))&amp;"","")</f>
        <v/>
      </c>
      <c r="K20">
        <f>IFERROR(INDEX('שיבוץ'!$C$3:$C$152,MATCH('קבוצות'!$A$3&amp;"|"&amp;16,'שיבוץ'!$K$3:$K$152,0)),"")</f>
        <v/>
      </c>
      <c r="L20">
        <f>IFERROR(INDEX('שיבוץ'!$E$3:$E$152,MATCH('קבוצות'!$A$3&amp;"|"&amp;16,'שיבוץ'!$K$3:$K$152,0))&amp;"","")</f>
        <v/>
      </c>
    </row>
    <row r="21" ht="28" customHeight="1">
      <c r="A21" s="29">
        <f>IF($H21="","",IF($H21=$H20,"",$H21))</f>
        <v/>
      </c>
      <c r="B21" s="30">
        <f>IF(N($K21)=0,"",TEXT(HOUR($K21),"00")&amp;":"&amp;TEXT(MINUTE($K21),"00"))</f>
        <v/>
      </c>
      <c r="C21" s="31">
        <f>$L21</f>
        <v/>
      </c>
      <c r="D21" s="32">
        <f>$I21</f>
        <v/>
      </c>
      <c r="E21" s="33" t="n"/>
      <c r="F21" s="34">
        <f>$J21</f>
        <v/>
      </c>
      <c r="H21">
        <f>IFERROR(INDEX('שיבוץ'!$B$3:$B$152,MATCH('קבוצות'!$A$3&amp;"|"&amp;17,'שיבוץ'!$K$3:$K$152,0))&amp;"","")</f>
        <v/>
      </c>
      <c r="I21">
        <f>IFERROR(INDEX('שיבוץ'!$D$3:$D$152,MATCH('קבוצות'!$A$3&amp;"|"&amp;17,'שיבוץ'!$K$3:$K$152,0))&amp;"","")</f>
        <v/>
      </c>
      <c r="J21">
        <f>IFERROR(INDEX('שיבוץ'!$F$3:$F$152,MATCH('קבוצות'!$A$3&amp;"|"&amp;17,'שיבוץ'!$K$3:$K$152,0))&amp;"","")</f>
        <v/>
      </c>
      <c r="K21">
        <f>IFERROR(INDEX('שיבוץ'!$C$3:$C$152,MATCH('קבוצות'!$A$3&amp;"|"&amp;17,'שיבוץ'!$K$3:$K$152,0)),"")</f>
        <v/>
      </c>
      <c r="L21">
        <f>IFERROR(INDEX('שיבוץ'!$E$3:$E$152,MATCH('קבוצות'!$A$3&amp;"|"&amp;17,'שיבוץ'!$K$3:$K$152,0))&amp;"","")</f>
        <v/>
      </c>
    </row>
    <row r="22" ht="28" customHeight="1">
      <c r="A22" s="29">
        <f>IF($H22="","",IF($H22=$H21,"",$H22))</f>
        <v/>
      </c>
      <c r="B22" s="30">
        <f>IF(N($K22)=0,"",TEXT(HOUR($K22),"00")&amp;":"&amp;TEXT(MINUTE($K22),"00"))</f>
        <v/>
      </c>
      <c r="C22" s="31">
        <f>$L22</f>
        <v/>
      </c>
      <c r="D22" s="32">
        <f>$I22</f>
        <v/>
      </c>
      <c r="E22" s="33" t="n"/>
      <c r="F22" s="34">
        <f>$J22</f>
        <v/>
      </c>
      <c r="H22">
        <f>IFERROR(INDEX('שיבוץ'!$B$3:$B$152,MATCH('קבוצות'!$A$3&amp;"|"&amp;18,'שיבוץ'!$K$3:$K$152,0))&amp;"","")</f>
        <v/>
      </c>
      <c r="I22">
        <f>IFERROR(INDEX('שיבוץ'!$D$3:$D$152,MATCH('קבוצות'!$A$3&amp;"|"&amp;18,'שיבוץ'!$K$3:$K$152,0))&amp;"","")</f>
        <v/>
      </c>
      <c r="J22">
        <f>IFERROR(INDEX('שיבוץ'!$F$3:$F$152,MATCH('קבוצות'!$A$3&amp;"|"&amp;18,'שיבוץ'!$K$3:$K$152,0))&amp;"","")</f>
        <v/>
      </c>
      <c r="K22">
        <f>IFERROR(INDEX('שיבוץ'!$C$3:$C$152,MATCH('קבוצות'!$A$3&amp;"|"&amp;18,'שיבוץ'!$K$3:$K$152,0)),"")</f>
        <v/>
      </c>
      <c r="L22">
        <f>IFERROR(INDEX('שיבוץ'!$E$3:$E$152,MATCH('קבוצות'!$A$3&amp;"|"&amp;18,'שיבוץ'!$K$3:$K$152,0))&amp;"","")</f>
        <v/>
      </c>
    </row>
    <row r="23" ht="18" customHeight="1">
      <c r="A23" s="35">
        <f>IF(COUNTIF('שיבוץ'!$A$3:$A$152,'קבוצות'!$A$3)&gt;18,"⚠ לקבוצה יש עוד משימות שלא נכנסו לכרטיסייה — ראו «טופס נקי»","")</f>
        <v/>
      </c>
    </row>
    <row r="26" ht="42" customHeight="1">
      <c r="A26" s="36">
        <f>IF('קבוצות'!$A$4="","",'קבוצות'!$A$4)</f>
        <v/>
      </c>
    </row>
    <row r="27" ht="60" customHeight="1">
      <c r="A27" s="37">
        <f>IF('קבוצות'!$C$4="","",'קבוצות'!$C$4)</f>
        <v/>
      </c>
    </row>
    <row r="28" ht="20" customHeight="1">
      <c r="A2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9" ht="22" customHeight="1">
      <c r="A29" s="28" t="inlineStr">
        <is>
          <t>מתי</t>
        </is>
      </c>
      <c r="B29" s="28" t="inlineStr">
        <is>
          <t>שעה</t>
        </is>
      </c>
      <c r="C29" s="28" t="inlineStr">
        <is>
          <t>קטגוריה</t>
        </is>
      </c>
      <c r="D29" s="28" t="inlineStr">
        <is>
          <t>משימה</t>
        </is>
      </c>
      <c r="F29" s="28" t="inlineStr">
        <is>
          <t>פרטים</t>
        </is>
      </c>
    </row>
    <row r="30" ht="28" customHeight="1">
      <c r="A30" s="39">
        <f>IF($H30="","",IF($H30=$H29,"",$H30))</f>
        <v/>
      </c>
      <c r="B30" s="30">
        <f>IF(N($K30)=0,"",TEXT(HOUR($K30),"00")&amp;":"&amp;TEXT(MINUTE($K30),"00"))</f>
        <v/>
      </c>
      <c r="C30" s="31">
        <f>$L30</f>
        <v/>
      </c>
      <c r="D30" s="32">
        <f>$I30</f>
        <v/>
      </c>
      <c r="E30" s="33" t="n"/>
      <c r="F30" s="34">
        <f>$J30</f>
        <v/>
      </c>
      <c r="H30">
        <f>IFERROR(INDEX('שיבוץ'!$B$3:$B$152,MATCH('קבוצות'!$A$4&amp;"|"&amp;1,'שיבוץ'!$K$3:$K$152,0))&amp;"","")</f>
        <v/>
      </c>
      <c r="I30">
        <f>IFERROR(INDEX('שיבוץ'!$D$3:$D$152,MATCH('קבוצות'!$A$4&amp;"|"&amp;1,'שיבוץ'!$K$3:$K$152,0))&amp;"","")</f>
        <v/>
      </c>
      <c r="J30">
        <f>IFERROR(INDEX('שיבוץ'!$F$3:$F$152,MATCH('קבוצות'!$A$4&amp;"|"&amp;1,'שיבוץ'!$K$3:$K$152,0))&amp;"","")</f>
        <v/>
      </c>
      <c r="K30">
        <f>IFERROR(INDEX('שיבוץ'!$C$3:$C$152,MATCH('קבוצות'!$A$4&amp;"|"&amp;1,'שיבוץ'!$K$3:$K$152,0)),"")</f>
        <v/>
      </c>
      <c r="L30">
        <f>IFERROR(INDEX('שיבוץ'!$E$3:$E$152,MATCH('קבוצות'!$A$4&amp;"|"&amp;1,'שיבוץ'!$K$3:$K$152,0))&amp;"","")</f>
        <v/>
      </c>
    </row>
    <row r="31" ht="28" customHeight="1">
      <c r="A31" s="39">
        <f>IF($H31="","",IF($H31=$H30,"",$H31))</f>
        <v/>
      </c>
      <c r="B31" s="30">
        <f>IF(N($K31)=0,"",TEXT(HOUR($K31),"00")&amp;":"&amp;TEXT(MINUTE($K31),"00"))</f>
        <v/>
      </c>
      <c r="C31" s="31">
        <f>$L31</f>
        <v/>
      </c>
      <c r="D31" s="32">
        <f>$I31</f>
        <v/>
      </c>
      <c r="E31" s="33" t="n"/>
      <c r="F31" s="34">
        <f>$J31</f>
        <v/>
      </c>
      <c r="H31">
        <f>IFERROR(INDEX('שיבוץ'!$B$3:$B$152,MATCH('קבוצות'!$A$4&amp;"|"&amp;2,'שיבוץ'!$K$3:$K$152,0))&amp;"","")</f>
        <v/>
      </c>
      <c r="I31">
        <f>IFERROR(INDEX('שיבוץ'!$D$3:$D$152,MATCH('קבוצות'!$A$4&amp;"|"&amp;2,'שיבוץ'!$K$3:$K$152,0))&amp;"","")</f>
        <v/>
      </c>
      <c r="J31">
        <f>IFERROR(INDEX('שיבוץ'!$F$3:$F$152,MATCH('קבוצות'!$A$4&amp;"|"&amp;2,'שיבוץ'!$K$3:$K$152,0))&amp;"","")</f>
        <v/>
      </c>
      <c r="K31">
        <f>IFERROR(INDEX('שיבוץ'!$C$3:$C$152,MATCH('קבוצות'!$A$4&amp;"|"&amp;2,'שיבוץ'!$K$3:$K$152,0)),"")</f>
        <v/>
      </c>
      <c r="L31">
        <f>IFERROR(INDEX('שיבוץ'!$E$3:$E$152,MATCH('קבוצות'!$A$4&amp;"|"&amp;2,'שיבוץ'!$K$3:$K$152,0))&amp;"","")</f>
        <v/>
      </c>
    </row>
    <row r="32" ht="28" customHeight="1">
      <c r="A32" s="39">
        <f>IF($H32="","",IF($H32=$H31,"",$H32))</f>
        <v/>
      </c>
      <c r="B32" s="30">
        <f>IF(N($K32)=0,"",TEXT(HOUR($K32),"00")&amp;":"&amp;TEXT(MINUTE($K32),"00"))</f>
        <v/>
      </c>
      <c r="C32" s="31">
        <f>$L32</f>
        <v/>
      </c>
      <c r="D32" s="32">
        <f>$I32</f>
        <v/>
      </c>
      <c r="E32" s="33" t="n"/>
      <c r="F32" s="34">
        <f>$J32</f>
        <v/>
      </c>
      <c r="H32">
        <f>IFERROR(INDEX('שיבוץ'!$B$3:$B$152,MATCH('קבוצות'!$A$4&amp;"|"&amp;3,'שיבוץ'!$K$3:$K$152,0))&amp;"","")</f>
        <v/>
      </c>
      <c r="I32">
        <f>IFERROR(INDEX('שיבוץ'!$D$3:$D$152,MATCH('קבוצות'!$A$4&amp;"|"&amp;3,'שיבוץ'!$K$3:$K$152,0))&amp;"","")</f>
        <v/>
      </c>
      <c r="J32">
        <f>IFERROR(INDEX('שיבוץ'!$F$3:$F$152,MATCH('קבוצות'!$A$4&amp;"|"&amp;3,'שיבוץ'!$K$3:$K$152,0))&amp;"","")</f>
        <v/>
      </c>
      <c r="K32">
        <f>IFERROR(INDEX('שיבוץ'!$C$3:$C$152,MATCH('קבוצות'!$A$4&amp;"|"&amp;3,'שיבוץ'!$K$3:$K$152,0)),"")</f>
        <v/>
      </c>
      <c r="L32">
        <f>IFERROR(INDEX('שיבוץ'!$E$3:$E$152,MATCH('קבוצות'!$A$4&amp;"|"&amp;3,'שיבוץ'!$K$3:$K$152,0))&amp;"","")</f>
        <v/>
      </c>
    </row>
    <row r="33" ht="28" customHeight="1">
      <c r="A33" s="39">
        <f>IF($H33="","",IF($H33=$H32,"",$H33))</f>
        <v/>
      </c>
      <c r="B33" s="30">
        <f>IF(N($K33)=0,"",TEXT(HOUR($K33),"00")&amp;":"&amp;TEXT(MINUTE($K33),"00"))</f>
        <v/>
      </c>
      <c r="C33" s="31">
        <f>$L33</f>
        <v/>
      </c>
      <c r="D33" s="32">
        <f>$I33</f>
        <v/>
      </c>
      <c r="E33" s="33" t="n"/>
      <c r="F33" s="34">
        <f>$J33</f>
        <v/>
      </c>
      <c r="H33">
        <f>IFERROR(INDEX('שיבוץ'!$B$3:$B$152,MATCH('קבוצות'!$A$4&amp;"|"&amp;4,'שיבוץ'!$K$3:$K$152,0))&amp;"","")</f>
        <v/>
      </c>
      <c r="I33">
        <f>IFERROR(INDEX('שיבוץ'!$D$3:$D$152,MATCH('קבוצות'!$A$4&amp;"|"&amp;4,'שיבוץ'!$K$3:$K$152,0))&amp;"","")</f>
        <v/>
      </c>
      <c r="J33">
        <f>IFERROR(INDEX('שיבוץ'!$F$3:$F$152,MATCH('קבוצות'!$A$4&amp;"|"&amp;4,'שיבוץ'!$K$3:$K$152,0))&amp;"","")</f>
        <v/>
      </c>
      <c r="K33">
        <f>IFERROR(INDEX('שיבוץ'!$C$3:$C$152,MATCH('קבוצות'!$A$4&amp;"|"&amp;4,'שיבוץ'!$K$3:$K$152,0)),"")</f>
        <v/>
      </c>
      <c r="L33">
        <f>IFERROR(INDEX('שיבוץ'!$E$3:$E$152,MATCH('קבוצות'!$A$4&amp;"|"&amp;4,'שיבוץ'!$K$3:$K$152,0))&amp;"","")</f>
        <v/>
      </c>
    </row>
    <row r="34" ht="28" customHeight="1">
      <c r="A34" s="39">
        <f>IF($H34="","",IF($H34=$H33,"",$H34))</f>
        <v/>
      </c>
      <c r="B34" s="30">
        <f>IF(N($K34)=0,"",TEXT(HOUR($K34),"00")&amp;":"&amp;TEXT(MINUTE($K34),"00"))</f>
        <v/>
      </c>
      <c r="C34" s="31">
        <f>$L34</f>
        <v/>
      </c>
      <c r="D34" s="32">
        <f>$I34</f>
        <v/>
      </c>
      <c r="E34" s="33" t="n"/>
      <c r="F34" s="34">
        <f>$J34</f>
        <v/>
      </c>
      <c r="H34">
        <f>IFERROR(INDEX('שיבוץ'!$B$3:$B$152,MATCH('קבוצות'!$A$4&amp;"|"&amp;5,'שיבוץ'!$K$3:$K$152,0))&amp;"","")</f>
        <v/>
      </c>
      <c r="I34">
        <f>IFERROR(INDEX('שיבוץ'!$D$3:$D$152,MATCH('קבוצות'!$A$4&amp;"|"&amp;5,'שיבוץ'!$K$3:$K$152,0))&amp;"","")</f>
        <v/>
      </c>
      <c r="J34">
        <f>IFERROR(INDEX('שיבוץ'!$F$3:$F$152,MATCH('קבוצות'!$A$4&amp;"|"&amp;5,'שיבוץ'!$K$3:$K$152,0))&amp;"","")</f>
        <v/>
      </c>
      <c r="K34">
        <f>IFERROR(INDEX('שיבוץ'!$C$3:$C$152,MATCH('קבוצות'!$A$4&amp;"|"&amp;5,'שיבוץ'!$K$3:$K$152,0)),"")</f>
        <v/>
      </c>
      <c r="L34">
        <f>IFERROR(INDEX('שיבוץ'!$E$3:$E$152,MATCH('קבוצות'!$A$4&amp;"|"&amp;5,'שיבוץ'!$K$3:$K$152,0))&amp;"","")</f>
        <v/>
      </c>
    </row>
    <row r="35" ht="28" customHeight="1">
      <c r="A35" s="39">
        <f>IF($H35="","",IF($H35=$H34,"",$H35))</f>
        <v/>
      </c>
      <c r="B35" s="30">
        <f>IF(N($K35)=0,"",TEXT(HOUR($K35),"00")&amp;":"&amp;TEXT(MINUTE($K35),"00"))</f>
        <v/>
      </c>
      <c r="C35" s="31">
        <f>$L35</f>
        <v/>
      </c>
      <c r="D35" s="32">
        <f>$I35</f>
        <v/>
      </c>
      <c r="E35" s="33" t="n"/>
      <c r="F35" s="34">
        <f>$J35</f>
        <v/>
      </c>
      <c r="H35">
        <f>IFERROR(INDEX('שיבוץ'!$B$3:$B$152,MATCH('קבוצות'!$A$4&amp;"|"&amp;6,'שיבוץ'!$K$3:$K$152,0))&amp;"","")</f>
        <v/>
      </c>
      <c r="I35">
        <f>IFERROR(INDEX('שיבוץ'!$D$3:$D$152,MATCH('קבוצות'!$A$4&amp;"|"&amp;6,'שיבוץ'!$K$3:$K$152,0))&amp;"","")</f>
        <v/>
      </c>
      <c r="J35">
        <f>IFERROR(INDEX('שיבוץ'!$F$3:$F$152,MATCH('קבוצות'!$A$4&amp;"|"&amp;6,'שיבוץ'!$K$3:$K$152,0))&amp;"","")</f>
        <v/>
      </c>
      <c r="K35">
        <f>IFERROR(INDEX('שיבוץ'!$C$3:$C$152,MATCH('קבוצות'!$A$4&amp;"|"&amp;6,'שיבוץ'!$K$3:$K$152,0)),"")</f>
        <v/>
      </c>
      <c r="L35">
        <f>IFERROR(INDEX('שיבוץ'!$E$3:$E$152,MATCH('קבוצות'!$A$4&amp;"|"&amp;6,'שיבוץ'!$K$3:$K$152,0))&amp;"","")</f>
        <v/>
      </c>
    </row>
    <row r="36" ht="28" customHeight="1">
      <c r="A36" s="39">
        <f>IF($H36="","",IF($H36=$H35,"",$H36))</f>
        <v/>
      </c>
      <c r="B36" s="30">
        <f>IF(N($K36)=0,"",TEXT(HOUR($K36),"00")&amp;":"&amp;TEXT(MINUTE($K36),"00"))</f>
        <v/>
      </c>
      <c r="C36" s="31">
        <f>$L36</f>
        <v/>
      </c>
      <c r="D36" s="32">
        <f>$I36</f>
        <v/>
      </c>
      <c r="E36" s="33" t="n"/>
      <c r="F36" s="34">
        <f>$J36</f>
        <v/>
      </c>
      <c r="H36">
        <f>IFERROR(INDEX('שיבוץ'!$B$3:$B$152,MATCH('קבוצות'!$A$4&amp;"|"&amp;7,'שיבוץ'!$K$3:$K$152,0))&amp;"","")</f>
        <v/>
      </c>
      <c r="I36">
        <f>IFERROR(INDEX('שיבוץ'!$D$3:$D$152,MATCH('קבוצות'!$A$4&amp;"|"&amp;7,'שיבוץ'!$K$3:$K$152,0))&amp;"","")</f>
        <v/>
      </c>
      <c r="J36">
        <f>IFERROR(INDEX('שיבוץ'!$F$3:$F$152,MATCH('קבוצות'!$A$4&amp;"|"&amp;7,'שיבוץ'!$K$3:$K$152,0))&amp;"","")</f>
        <v/>
      </c>
      <c r="K36">
        <f>IFERROR(INDEX('שיבוץ'!$C$3:$C$152,MATCH('קבוצות'!$A$4&amp;"|"&amp;7,'שיבוץ'!$K$3:$K$152,0)),"")</f>
        <v/>
      </c>
      <c r="L36">
        <f>IFERROR(INDEX('שיבוץ'!$E$3:$E$152,MATCH('קבוצות'!$A$4&amp;"|"&amp;7,'שיבוץ'!$K$3:$K$152,0))&amp;"","")</f>
        <v/>
      </c>
    </row>
    <row r="37" ht="28" customHeight="1">
      <c r="A37" s="39">
        <f>IF($H37="","",IF($H37=$H36,"",$H37))</f>
        <v/>
      </c>
      <c r="B37" s="30">
        <f>IF(N($K37)=0,"",TEXT(HOUR($K37),"00")&amp;":"&amp;TEXT(MINUTE($K37),"00"))</f>
        <v/>
      </c>
      <c r="C37" s="31">
        <f>$L37</f>
        <v/>
      </c>
      <c r="D37" s="32">
        <f>$I37</f>
        <v/>
      </c>
      <c r="E37" s="33" t="n"/>
      <c r="F37" s="34">
        <f>$J37</f>
        <v/>
      </c>
      <c r="H37">
        <f>IFERROR(INDEX('שיבוץ'!$B$3:$B$152,MATCH('קבוצות'!$A$4&amp;"|"&amp;8,'שיבוץ'!$K$3:$K$152,0))&amp;"","")</f>
        <v/>
      </c>
      <c r="I37">
        <f>IFERROR(INDEX('שיבוץ'!$D$3:$D$152,MATCH('קבוצות'!$A$4&amp;"|"&amp;8,'שיבוץ'!$K$3:$K$152,0))&amp;"","")</f>
        <v/>
      </c>
      <c r="J37">
        <f>IFERROR(INDEX('שיבוץ'!$F$3:$F$152,MATCH('קבוצות'!$A$4&amp;"|"&amp;8,'שיבוץ'!$K$3:$K$152,0))&amp;"","")</f>
        <v/>
      </c>
      <c r="K37">
        <f>IFERROR(INDEX('שיבוץ'!$C$3:$C$152,MATCH('קבוצות'!$A$4&amp;"|"&amp;8,'שיבוץ'!$K$3:$K$152,0)),"")</f>
        <v/>
      </c>
      <c r="L37">
        <f>IFERROR(INDEX('שיבוץ'!$E$3:$E$152,MATCH('קבוצות'!$A$4&amp;"|"&amp;8,'שיבוץ'!$K$3:$K$152,0))&amp;"","")</f>
        <v/>
      </c>
    </row>
    <row r="38" ht="28" customHeight="1">
      <c r="A38" s="39">
        <f>IF($H38="","",IF($H38=$H37,"",$H38))</f>
        <v/>
      </c>
      <c r="B38" s="30">
        <f>IF(N($K38)=0,"",TEXT(HOUR($K38),"00")&amp;":"&amp;TEXT(MINUTE($K38),"00"))</f>
        <v/>
      </c>
      <c r="C38" s="31">
        <f>$L38</f>
        <v/>
      </c>
      <c r="D38" s="32">
        <f>$I38</f>
        <v/>
      </c>
      <c r="E38" s="33" t="n"/>
      <c r="F38" s="34">
        <f>$J38</f>
        <v/>
      </c>
      <c r="H38">
        <f>IFERROR(INDEX('שיבוץ'!$B$3:$B$152,MATCH('קבוצות'!$A$4&amp;"|"&amp;9,'שיבוץ'!$K$3:$K$152,0))&amp;"","")</f>
        <v/>
      </c>
      <c r="I38">
        <f>IFERROR(INDEX('שיבוץ'!$D$3:$D$152,MATCH('קבוצות'!$A$4&amp;"|"&amp;9,'שיבוץ'!$K$3:$K$152,0))&amp;"","")</f>
        <v/>
      </c>
      <c r="J38">
        <f>IFERROR(INDEX('שיבוץ'!$F$3:$F$152,MATCH('קבוצות'!$A$4&amp;"|"&amp;9,'שיבוץ'!$K$3:$K$152,0))&amp;"","")</f>
        <v/>
      </c>
      <c r="K38">
        <f>IFERROR(INDEX('שיבוץ'!$C$3:$C$152,MATCH('קבוצות'!$A$4&amp;"|"&amp;9,'שיבוץ'!$K$3:$K$152,0)),"")</f>
        <v/>
      </c>
      <c r="L38">
        <f>IFERROR(INDEX('שיבוץ'!$E$3:$E$152,MATCH('קבוצות'!$A$4&amp;"|"&amp;9,'שיבוץ'!$K$3:$K$152,0))&amp;"","")</f>
        <v/>
      </c>
    </row>
    <row r="39" ht="28" customHeight="1">
      <c r="A39" s="39">
        <f>IF($H39="","",IF($H39=$H38,"",$H39))</f>
        <v/>
      </c>
      <c r="B39" s="30">
        <f>IF(N($K39)=0,"",TEXT(HOUR($K39),"00")&amp;":"&amp;TEXT(MINUTE($K39),"00"))</f>
        <v/>
      </c>
      <c r="C39" s="31">
        <f>$L39</f>
        <v/>
      </c>
      <c r="D39" s="32">
        <f>$I39</f>
        <v/>
      </c>
      <c r="E39" s="33" t="n"/>
      <c r="F39" s="34">
        <f>$J39</f>
        <v/>
      </c>
      <c r="H39">
        <f>IFERROR(INDEX('שיבוץ'!$B$3:$B$152,MATCH('קבוצות'!$A$4&amp;"|"&amp;10,'שיבוץ'!$K$3:$K$152,0))&amp;"","")</f>
        <v/>
      </c>
      <c r="I39">
        <f>IFERROR(INDEX('שיבוץ'!$D$3:$D$152,MATCH('קבוצות'!$A$4&amp;"|"&amp;10,'שיבוץ'!$K$3:$K$152,0))&amp;"","")</f>
        <v/>
      </c>
      <c r="J39">
        <f>IFERROR(INDEX('שיבוץ'!$F$3:$F$152,MATCH('קבוצות'!$A$4&amp;"|"&amp;10,'שיבוץ'!$K$3:$K$152,0))&amp;"","")</f>
        <v/>
      </c>
      <c r="K39">
        <f>IFERROR(INDEX('שיבוץ'!$C$3:$C$152,MATCH('קבוצות'!$A$4&amp;"|"&amp;10,'שיבוץ'!$K$3:$K$152,0)),"")</f>
        <v/>
      </c>
      <c r="L39">
        <f>IFERROR(INDEX('שיבוץ'!$E$3:$E$152,MATCH('קבוצות'!$A$4&amp;"|"&amp;10,'שיבוץ'!$K$3:$K$152,0))&amp;"","")</f>
        <v/>
      </c>
    </row>
    <row r="40" ht="28" customHeight="1">
      <c r="A40" s="39">
        <f>IF($H40="","",IF($H40=$H39,"",$H40))</f>
        <v/>
      </c>
      <c r="B40" s="30">
        <f>IF(N($K40)=0,"",TEXT(HOUR($K40),"00")&amp;":"&amp;TEXT(MINUTE($K40),"00"))</f>
        <v/>
      </c>
      <c r="C40" s="31">
        <f>$L40</f>
        <v/>
      </c>
      <c r="D40" s="32">
        <f>$I40</f>
        <v/>
      </c>
      <c r="E40" s="33" t="n"/>
      <c r="F40" s="34">
        <f>$J40</f>
        <v/>
      </c>
      <c r="H40">
        <f>IFERROR(INDEX('שיבוץ'!$B$3:$B$152,MATCH('קבוצות'!$A$4&amp;"|"&amp;11,'שיבוץ'!$K$3:$K$152,0))&amp;"","")</f>
        <v/>
      </c>
      <c r="I40">
        <f>IFERROR(INDEX('שיבוץ'!$D$3:$D$152,MATCH('קבוצות'!$A$4&amp;"|"&amp;11,'שיבוץ'!$K$3:$K$152,0))&amp;"","")</f>
        <v/>
      </c>
      <c r="J40">
        <f>IFERROR(INDEX('שיבוץ'!$F$3:$F$152,MATCH('קבוצות'!$A$4&amp;"|"&amp;11,'שיבוץ'!$K$3:$K$152,0))&amp;"","")</f>
        <v/>
      </c>
      <c r="K40">
        <f>IFERROR(INDEX('שיבוץ'!$C$3:$C$152,MATCH('קבוצות'!$A$4&amp;"|"&amp;11,'שיבוץ'!$K$3:$K$152,0)),"")</f>
        <v/>
      </c>
      <c r="L40">
        <f>IFERROR(INDEX('שיבוץ'!$E$3:$E$152,MATCH('קבוצות'!$A$4&amp;"|"&amp;11,'שיבוץ'!$K$3:$K$152,0))&amp;"","")</f>
        <v/>
      </c>
    </row>
    <row r="41" ht="28" customHeight="1">
      <c r="A41" s="39">
        <f>IF($H41="","",IF($H41=$H40,"",$H41))</f>
        <v/>
      </c>
      <c r="B41" s="30">
        <f>IF(N($K41)=0,"",TEXT(HOUR($K41),"00")&amp;":"&amp;TEXT(MINUTE($K41),"00"))</f>
        <v/>
      </c>
      <c r="C41" s="31">
        <f>$L41</f>
        <v/>
      </c>
      <c r="D41" s="32">
        <f>$I41</f>
        <v/>
      </c>
      <c r="E41" s="33" t="n"/>
      <c r="F41" s="34">
        <f>$J41</f>
        <v/>
      </c>
      <c r="H41">
        <f>IFERROR(INDEX('שיבוץ'!$B$3:$B$152,MATCH('קבוצות'!$A$4&amp;"|"&amp;12,'שיבוץ'!$K$3:$K$152,0))&amp;"","")</f>
        <v/>
      </c>
      <c r="I41">
        <f>IFERROR(INDEX('שיבוץ'!$D$3:$D$152,MATCH('קבוצות'!$A$4&amp;"|"&amp;12,'שיבוץ'!$K$3:$K$152,0))&amp;"","")</f>
        <v/>
      </c>
      <c r="J41">
        <f>IFERROR(INDEX('שיבוץ'!$F$3:$F$152,MATCH('קבוצות'!$A$4&amp;"|"&amp;12,'שיבוץ'!$K$3:$K$152,0))&amp;"","")</f>
        <v/>
      </c>
      <c r="K41">
        <f>IFERROR(INDEX('שיבוץ'!$C$3:$C$152,MATCH('קבוצות'!$A$4&amp;"|"&amp;12,'שיבוץ'!$K$3:$K$152,0)),"")</f>
        <v/>
      </c>
      <c r="L41">
        <f>IFERROR(INDEX('שיבוץ'!$E$3:$E$152,MATCH('קבוצות'!$A$4&amp;"|"&amp;12,'שיבוץ'!$K$3:$K$152,0))&amp;"","")</f>
        <v/>
      </c>
    </row>
    <row r="42" ht="28" customHeight="1">
      <c r="A42" s="39">
        <f>IF($H42="","",IF($H42=$H41,"",$H42))</f>
        <v/>
      </c>
      <c r="B42" s="30">
        <f>IF(N($K42)=0,"",TEXT(HOUR($K42),"00")&amp;":"&amp;TEXT(MINUTE($K42),"00"))</f>
        <v/>
      </c>
      <c r="C42" s="31">
        <f>$L42</f>
        <v/>
      </c>
      <c r="D42" s="32">
        <f>$I42</f>
        <v/>
      </c>
      <c r="E42" s="33" t="n"/>
      <c r="F42" s="34">
        <f>$J42</f>
        <v/>
      </c>
      <c r="H42">
        <f>IFERROR(INDEX('שיבוץ'!$B$3:$B$152,MATCH('קבוצות'!$A$4&amp;"|"&amp;13,'שיבוץ'!$K$3:$K$152,0))&amp;"","")</f>
        <v/>
      </c>
      <c r="I42">
        <f>IFERROR(INDEX('שיבוץ'!$D$3:$D$152,MATCH('קבוצות'!$A$4&amp;"|"&amp;13,'שיבוץ'!$K$3:$K$152,0))&amp;"","")</f>
        <v/>
      </c>
      <c r="J42">
        <f>IFERROR(INDEX('שיבוץ'!$F$3:$F$152,MATCH('קבוצות'!$A$4&amp;"|"&amp;13,'שיבוץ'!$K$3:$K$152,0))&amp;"","")</f>
        <v/>
      </c>
      <c r="K42">
        <f>IFERROR(INDEX('שיבוץ'!$C$3:$C$152,MATCH('קבוצות'!$A$4&amp;"|"&amp;13,'שיבוץ'!$K$3:$K$152,0)),"")</f>
        <v/>
      </c>
      <c r="L42">
        <f>IFERROR(INDEX('שיבוץ'!$E$3:$E$152,MATCH('קבוצות'!$A$4&amp;"|"&amp;13,'שיבוץ'!$K$3:$K$152,0))&amp;"","")</f>
        <v/>
      </c>
    </row>
    <row r="43" ht="28" customHeight="1">
      <c r="A43" s="39">
        <f>IF($H43="","",IF($H43=$H42,"",$H43))</f>
        <v/>
      </c>
      <c r="B43" s="30">
        <f>IF(N($K43)=0,"",TEXT(HOUR($K43),"00")&amp;":"&amp;TEXT(MINUTE($K43),"00"))</f>
        <v/>
      </c>
      <c r="C43" s="31">
        <f>$L43</f>
        <v/>
      </c>
      <c r="D43" s="32">
        <f>$I43</f>
        <v/>
      </c>
      <c r="E43" s="33" t="n"/>
      <c r="F43" s="34">
        <f>$J43</f>
        <v/>
      </c>
      <c r="H43">
        <f>IFERROR(INDEX('שיבוץ'!$B$3:$B$152,MATCH('קבוצות'!$A$4&amp;"|"&amp;14,'שיבוץ'!$K$3:$K$152,0))&amp;"","")</f>
        <v/>
      </c>
      <c r="I43">
        <f>IFERROR(INDEX('שיבוץ'!$D$3:$D$152,MATCH('קבוצות'!$A$4&amp;"|"&amp;14,'שיבוץ'!$K$3:$K$152,0))&amp;"","")</f>
        <v/>
      </c>
      <c r="J43">
        <f>IFERROR(INDEX('שיבוץ'!$F$3:$F$152,MATCH('קבוצות'!$A$4&amp;"|"&amp;14,'שיבוץ'!$K$3:$K$152,0))&amp;"","")</f>
        <v/>
      </c>
      <c r="K43">
        <f>IFERROR(INDEX('שיבוץ'!$C$3:$C$152,MATCH('קבוצות'!$A$4&amp;"|"&amp;14,'שיבוץ'!$K$3:$K$152,0)),"")</f>
        <v/>
      </c>
      <c r="L43">
        <f>IFERROR(INDEX('שיבוץ'!$E$3:$E$152,MATCH('קבוצות'!$A$4&amp;"|"&amp;14,'שיבוץ'!$K$3:$K$152,0))&amp;"","")</f>
        <v/>
      </c>
    </row>
    <row r="44" ht="28" customHeight="1">
      <c r="A44" s="39">
        <f>IF($H44="","",IF($H44=$H43,"",$H44))</f>
        <v/>
      </c>
      <c r="B44" s="30">
        <f>IF(N($K44)=0,"",TEXT(HOUR($K44),"00")&amp;":"&amp;TEXT(MINUTE($K44),"00"))</f>
        <v/>
      </c>
      <c r="C44" s="31">
        <f>$L44</f>
        <v/>
      </c>
      <c r="D44" s="32">
        <f>$I44</f>
        <v/>
      </c>
      <c r="E44" s="33" t="n"/>
      <c r="F44" s="34">
        <f>$J44</f>
        <v/>
      </c>
      <c r="H44">
        <f>IFERROR(INDEX('שיבוץ'!$B$3:$B$152,MATCH('קבוצות'!$A$4&amp;"|"&amp;15,'שיבוץ'!$K$3:$K$152,0))&amp;"","")</f>
        <v/>
      </c>
      <c r="I44">
        <f>IFERROR(INDEX('שיבוץ'!$D$3:$D$152,MATCH('קבוצות'!$A$4&amp;"|"&amp;15,'שיבוץ'!$K$3:$K$152,0))&amp;"","")</f>
        <v/>
      </c>
      <c r="J44">
        <f>IFERROR(INDEX('שיבוץ'!$F$3:$F$152,MATCH('קבוצות'!$A$4&amp;"|"&amp;15,'שיבוץ'!$K$3:$K$152,0))&amp;"","")</f>
        <v/>
      </c>
      <c r="K44">
        <f>IFERROR(INDEX('שיבוץ'!$C$3:$C$152,MATCH('קבוצות'!$A$4&amp;"|"&amp;15,'שיבוץ'!$K$3:$K$152,0)),"")</f>
        <v/>
      </c>
      <c r="L44">
        <f>IFERROR(INDEX('שיבוץ'!$E$3:$E$152,MATCH('קבוצות'!$A$4&amp;"|"&amp;15,'שיבוץ'!$K$3:$K$152,0))&amp;"","")</f>
        <v/>
      </c>
    </row>
    <row r="45" ht="28" customHeight="1">
      <c r="A45" s="39">
        <f>IF($H45="","",IF($H45=$H44,"",$H45))</f>
        <v/>
      </c>
      <c r="B45" s="30">
        <f>IF(N($K45)=0,"",TEXT(HOUR($K45),"00")&amp;":"&amp;TEXT(MINUTE($K45),"00"))</f>
        <v/>
      </c>
      <c r="C45" s="31">
        <f>$L45</f>
        <v/>
      </c>
      <c r="D45" s="32">
        <f>$I45</f>
        <v/>
      </c>
      <c r="E45" s="33" t="n"/>
      <c r="F45" s="34">
        <f>$J45</f>
        <v/>
      </c>
      <c r="H45">
        <f>IFERROR(INDEX('שיבוץ'!$B$3:$B$152,MATCH('קבוצות'!$A$4&amp;"|"&amp;16,'שיבוץ'!$K$3:$K$152,0))&amp;"","")</f>
        <v/>
      </c>
      <c r="I45">
        <f>IFERROR(INDEX('שיבוץ'!$D$3:$D$152,MATCH('קבוצות'!$A$4&amp;"|"&amp;16,'שיבוץ'!$K$3:$K$152,0))&amp;"","")</f>
        <v/>
      </c>
      <c r="J45">
        <f>IFERROR(INDEX('שיבוץ'!$F$3:$F$152,MATCH('קבוצות'!$A$4&amp;"|"&amp;16,'שיבוץ'!$K$3:$K$152,0))&amp;"","")</f>
        <v/>
      </c>
      <c r="K45">
        <f>IFERROR(INDEX('שיבוץ'!$C$3:$C$152,MATCH('קבוצות'!$A$4&amp;"|"&amp;16,'שיבוץ'!$K$3:$K$152,0)),"")</f>
        <v/>
      </c>
      <c r="L45">
        <f>IFERROR(INDEX('שיבוץ'!$E$3:$E$152,MATCH('קבוצות'!$A$4&amp;"|"&amp;16,'שיבוץ'!$K$3:$K$152,0))&amp;"","")</f>
        <v/>
      </c>
    </row>
    <row r="46" ht="28" customHeight="1">
      <c r="A46" s="39">
        <f>IF($H46="","",IF($H46=$H45,"",$H46))</f>
        <v/>
      </c>
      <c r="B46" s="30">
        <f>IF(N($K46)=0,"",TEXT(HOUR($K46),"00")&amp;":"&amp;TEXT(MINUTE($K46),"00"))</f>
        <v/>
      </c>
      <c r="C46" s="31">
        <f>$L46</f>
        <v/>
      </c>
      <c r="D46" s="32">
        <f>$I46</f>
        <v/>
      </c>
      <c r="E46" s="33" t="n"/>
      <c r="F46" s="34">
        <f>$J46</f>
        <v/>
      </c>
      <c r="H46">
        <f>IFERROR(INDEX('שיבוץ'!$B$3:$B$152,MATCH('קבוצות'!$A$4&amp;"|"&amp;17,'שיבוץ'!$K$3:$K$152,0))&amp;"","")</f>
        <v/>
      </c>
      <c r="I46">
        <f>IFERROR(INDEX('שיבוץ'!$D$3:$D$152,MATCH('קבוצות'!$A$4&amp;"|"&amp;17,'שיבוץ'!$K$3:$K$152,0))&amp;"","")</f>
        <v/>
      </c>
      <c r="J46">
        <f>IFERROR(INDEX('שיבוץ'!$F$3:$F$152,MATCH('קבוצות'!$A$4&amp;"|"&amp;17,'שיבוץ'!$K$3:$K$152,0))&amp;"","")</f>
        <v/>
      </c>
      <c r="K46">
        <f>IFERROR(INDEX('שיבוץ'!$C$3:$C$152,MATCH('קבוצות'!$A$4&amp;"|"&amp;17,'שיבוץ'!$K$3:$K$152,0)),"")</f>
        <v/>
      </c>
      <c r="L46">
        <f>IFERROR(INDEX('שיבוץ'!$E$3:$E$152,MATCH('קבוצות'!$A$4&amp;"|"&amp;17,'שיבוץ'!$K$3:$K$152,0))&amp;"","")</f>
        <v/>
      </c>
    </row>
    <row r="47" ht="28" customHeight="1">
      <c r="A47" s="39">
        <f>IF($H47="","",IF($H47=$H46,"",$H47))</f>
        <v/>
      </c>
      <c r="B47" s="30">
        <f>IF(N($K47)=0,"",TEXT(HOUR($K47),"00")&amp;":"&amp;TEXT(MINUTE($K47),"00"))</f>
        <v/>
      </c>
      <c r="C47" s="31">
        <f>$L47</f>
        <v/>
      </c>
      <c r="D47" s="32">
        <f>$I47</f>
        <v/>
      </c>
      <c r="E47" s="33" t="n"/>
      <c r="F47" s="34">
        <f>$J47</f>
        <v/>
      </c>
      <c r="H47">
        <f>IFERROR(INDEX('שיבוץ'!$B$3:$B$152,MATCH('קבוצות'!$A$4&amp;"|"&amp;18,'שיבוץ'!$K$3:$K$152,0))&amp;"","")</f>
        <v/>
      </c>
      <c r="I47">
        <f>IFERROR(INDEX('שיבוץ'!$D$3:$D$152,MATCH('קבוצות'!$A$4&amp;"|"&amp;18,'שיבוץ'!$K$3:$K$152,0))&amp;"","")</f>
        <v/>
      </c>
      <c r="J47">
        <f>IFERROR(INDEX('שיבוץ'!$F$3:$F$152,MATCH('קבוצות'!$A$4&amp;"|"&amp;18,'שיבוץ'!$K$3:$K$152,0))&amp;"","")</f>
        <v/>
      </c>
      <c r="K47">
        <f>IFERROR(INDEX('שיבוץ'!$C$3:$C$152,MATCH('קבוצות'!$A$4&amp;"|"&amp;18,'שיבוץ'!$K$3:$K$152,0)),"")</f>
        <v/>
      </c>
      <c r="L47">
        <f>IFERROR(INDEX('שיבוץ'!$E$3:$E$152,MATCH('קבוצות'!$A$4&amp;"|"&amp;18,'שיבוץ'!$K$3:$K$152,0))&amp;"","")</f>
        <v/>
      </c>
    </row>
    <row r="48" ht="18" customHeight="1">
      <c r="A48" s="35">
        <f>IF(COUNTIF('שיבוץ'!$A$3:$A$152,'קבוצות'!$A$4)&gt;18,"⚠ לקבוצה יש עוד משימות שלא נכנסו לכרטיסייה — ראו «טופס נקי»","")</f>
        <v/>
      </c>
    </row>
    <row r="51" ht="42" customHeight="1">
      <c r="A51" s="40">
        <f>IF('קבוצות'!$A$5="","",'קבוצות'!$A$5)</f>
        <v/>
      </c>
    </row>
    <row r="52" ht="60" customHeight="1">
      <c r="A52" s="41">
        <f>IF('קבוצות'!$C$5="","",'קבוצות'!$C$5)</f>
        <v/>
      </c>
    </row>
    <row r="53" ht="20" customHeight="1">
      <c r="A5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54" ht="22" customHeight="1">
      <c r="A54" s="28" t="inlineStr">
        <is>
          <t>מתי</t>
        </is>
      </c>
      <c r="B54" s="28" t="inlineStr">
        <is>
          <t>שעה</t>
        </is>
      </c>
      <c r="C54" s="28" t="inlineStr">
        <is>
          <t>קטגוריה</t>
        </is>
      </c>
      <c r="D54" s="28" t="inlineStr">
        <is>
          <t>משימה</t>
        </is>
      </c>
      <c r="F54" s="28" t="inlineStr">
        <is>
          <t>פרטים</t>
        </is>
      </c>
    </row>
    <row r="55" ht="28" customHeight="1">
      <c r="A55" s="43">
        <f>IF($H55="","",IF($H55=$H54,"",$H55))</f>
        <v/>
      </c>
      <c r="B55" s="30">
        <f>IF(N($K55)=0,"",TEXT(HOUR($K55),"00")&amp;":"&amp;TEXT(MINUTE($K55),"00"))</f>
        <v/>
      </c>
      <c r="C55" s="31">
        <f>$L55</f>
        <v/>
      </c>
      <c r="D55" s="32">
        <f>$I55</f>
        <v/>
      </c>
      <c r="E55" s="33" t="n"/>
      <c r="F55" s="34">
        <f>$J55</f>
        <v/>
      </c>
      <c r="H55">
        <f>IFERROR(INDEX('שיבוץ'!$B$3:$B$152,MATCH('קבוצות'!$A$5&amp;"|"&amp;1,'שיבוץ'!$K$3:$K$152,0))&amp;"","")</f>
        <v/>
      </c>
      <c r="I55">
        <f>IFERROR(INDEX('שיבוץ'!$D$3:$D$152,MATCH('קבוצות'!$A$5&amp;"|"&amp;1,'שיבוץ'!$K$3:$K$152,0))&amp;"","")</f>
        <v/>
      </c>
      <c r="J55">
        <f>IFERROR(INDEX('שיבוץ'!$F$3:$F$152,MATCH('קבוצות'!$A$5&amp;"|"&amp;1,'שיבוץ'!$K$3:$K$152,0))&amp;"","")</f>
        <v/>
      </c>
      <c r="K55">
        <f>IFERROR(INDEX('שיבוץ'!$C$3:$C$152,MATCH('קבוצות'!$A$5&amp;"|"&amp;1,'שיבוץ'!$K$3:$K$152,0)),"")</f>
        <v/>
      </c>
      <c r="L55">
        <f>IFERROR(INDEX('שיבוץ'!$E$3:$E$152,MATCH('קבוצות'!$A$5&amp;"|"&amp;1,'שיבוץ'!$K$3:$K$152,0))&amp;"","")</f>
        <v/>
      </c>
    </row>
    <row r="56" ht="28" customHeight="1">
      <c r="A56" s="43">
        <f>IF($H56="","",IF($H56=$H55,"",$H56))</f>
        <v/>
      </c>
      <c r="B56" s="30">
        <f>IF(N($K56)=0,"",TEXT(HOUR($K56),"00")&amp;":"&amp;TEXT(MINUTE($K56),"00"))</f>
        <v/>
      </c>
      <c r="C56" s="31">
        <f>$L56</f>
        <v/>
      </c>
      <c r="D56" s="32">
        <f>$I56</f>
        <v/>
      </c>
      <c r="E56" s="33" t="n"/>
      <c r="F56" s="34">
        <f>$J56</f>
        <v/>
      </c>
      <c r="H56">
        <f>IFERROR(INDEX('שיבוץ'!$B$3:$B$152,MATCH('קבוצות'!$A$5&amp;"|"&amp;2,'שיבוץ'!$K$3:$K$152,0))&amp;"","")</f>
        <v/>
      </c>
      <c r="I56">
        <f>IFERROR(INDEX('שיבוץ'!$D$3:$D$152,MATCH('קבוצות'!$A$5&amp;"|"&amp;2,'שיבוץ'!$K$3:$K$152,0))&amp;"","")</f>
        <v/>
      </c>
      <c r="J56">
        <f>IFERROR(INDEX('שיבוץ'!$F$3:$F$152,MATCH('קבוצות'!$A$5&amp;"|"&amp;2,'שיבוץ'!$K$3:$K$152,0))&amp;"","")</f>
        <v/>
      </c>
      <c r="K56">
        <f>IFERROR(INDEX('שיבוץ'!$C$3:$C$152,MATCH('קבוצות'!$A$5&amp;"|"&amp;2,'שיבוץ'!$K$3:$K$152,0)),"")</f>
        <v/>
      </c>
      <c r="L56">
        <f>IFERROR(INDEX('שיבוץ'!$E$3:$E$152,MATCH('קבוצות'!$A$5&amp;"|"&amp;2,'שיבוץ'!$K$3:$K$152,0))&amp;"","")</f>
        <v/>
      </c>
    </row>
    <row r="57" ht="28" customHeight="1">
      <c r="A57" s="43">
        <f>IF($H57="","",IF($H57=$H56,"",$H57))</f>
        <v/>
      </c>
      <c r="B57" s="30">
        <f>IF(N($K57)=0,"",TEXT(HOUR($K57),"00")&amp;":"&amp;TEXT(MINUTE($K57),"00"))</f>
        <v/>
      </c>
      <c r="C57" s="31">
        <f>$L57</f>
        <v/>
      </c>
      <c r="D57" s="32">
        <f>$I57</f>
        <v/>
      </c>
      <c r="E57" s="33" t="n"/>
      <c r="F57" s="34">
        <f>$J57</f>
        <v/>
      </c>
      <c r="H57">
        <f>IFERROR(INDEX('שיבוץ'!$B$3:$B$152,MATCH('קבוצות'!$A$5&amp;"|"&amp;3,'שיבוץ'!$K$3:$K$152,0))&amp;"","")</f>
        <v/>
      </c>
      <c r="I57">
        <f>IFERROR(INDEX('שיבוץ'!$D$3:$D$152,MATCH('קבוצות'!$A$5&amp;"|"&amp;3,'שיבוץ'!$K$3:$K$152,0))&amp;"","")</f>
        <v/>
      </c>
      <c r="J57">
        <f>IFERROR(INDEX('שיבוץ'!$F$3:$F$152,MATCH('קבוצות'!$A$5&amp;"|"&amp;3,'שיבוץ'!$K$3:$K$152,0))&amp;"","")</f>
        <v/>
      </c>
      <c r="K57">
        <f>IFERROR(INDEX('שיבוץ'!$C$3:$C$152,MATCH('קבוצות'!$A$5&amp;"|"&amp;3,'שיבוץ'!$K$3:$K$152,0)),"")</f>
        <v/>
      </c>
      <c r="L57">
        <f>IFERROR(INDEX('שיבוץ'!$E$3:$E$152,MATCH('קבוצות'!$A$5&amp;"|"&amp;3,'שיבוץ'!$K$3:$K$152,0))&amp;"","")</f>
        <v/>
      </c>
    </row>
    <row r="58" ht="28" customHeight="1">
      <c r="A58" s="43">
        <f>IF($H58="","",IF($H58=$H57,"",$H58))</f>
        <v/>
      </c>
      <c r="B58" s="30">
        <f>IF(N($K58)=0,"",TEXT(HOUR($K58),"00")&amp;":"&amp;TEXT(MINUTE($K58),"00"))</f>
        <v/>
      </c>
      <c r="C58" s="31">
        <f>$L58</f>
        <v/>
      </c>
      <c r="D58" s="32">
        <f>$I58</f>
        <v/>
      </c>
      <c r="E58" s="33" t="n"/>
      <c r="F58" s="34">
        <f>$J58</f>
        <v/>
      </c>
      <c r="H58">
        <f>IFERROR(INDEX('שיבוץ'!$B$3:$B$152,MATCH('קבוצות'!$A$5&amp;"|"&amp;4,'שיבוץ'!$K$3:$K$152,0))&amp;"","")</f>
        <v/>
      </c>
      <c r="I58">
        <f>IFERROR(INDEX('שיבוץ'!$D$3:$D$152,MATCH('קבוצות'!$A$5&amp;"|"&amp;4,'שיבוץ'!$K$3:$K$152,0))&amp;"","")</f>
        <v/>
      </c>
      <c r="J58">
        <f>IFERROR(INDEX('שיבוץ'!$F$3:$F$152,MATCH('קבוצות'!$A$5&amp;"|"&amp;4,'שיבוץ'!$K$3:$K$152,0))&amp;"","")</f>
        <v/>
      </c>
      <c r="K58">
        <f>IFERROR(INDEX('שיבוץ'!$C$3:$C$152,MATCH('קבוצות'!$A$5&amp;"|"&amp;4,'שיבוץ'!$K$3:$K$152,0)),"")</f>
        <v/>
      </c>
      <c r="L58">
        <f>IFERROR(INDEX('שיבוץ'!$E$3:$E$152,MATCH('קבוצות'!$A$5&amp;"|"&amp;4,'שיבוץ'!$K$3:$K$152,0))&amp;"","")</f>
        <v/>
      </c>
    </row>
    <row r="59" ht="28" customHeight="1">
      <c r="A59" s="43">
        <f>IF($H59="","",IF($H59=$H58,"",$H59))</f>
        <v/>
      </c>
      <c r="B59" s="30">
        <f>IF(N($K59)=0,"",TEXT(HOUR($K59),"00")&amp;":"&amp;TEXT(MINUTE($K59),"00"))</f>
        <v/>
      </c>
      <c r="C59" s="31">
        <f>$L59</f>
        <v/>
      </c>
      <c r="D59" s="32">
        <f>$I59</f>
        <v/>
      </c>
      <c r="E59" s="33" t="n"/>
      <c r="F59" s="34">
        <f>$J59</f>
        <v/>
      </c>
      <c r="H59">
        <f>IFERROR(INDEX('שיבוץ'!$B$3:$B$152,MATCH('קבוצות'!$A$5&amp;"|"&amp;5,'שיבוץ'!$K$3:$K$152,0))&amp;"","")</f>
        <v/>
      </c>
      <c r="I59">
        <f>IFERROR(INDEX('שיבוץ'!$D$3:$D$152,MATCH('קבוצות'!$A$5&amp;"|"&amp;5,'שיבוץ'!$K$3:$K$152,0))&amp;"","")</f>
        <v/>
      </c>
      <c r="J59">
        <f>IFERROR(INDEX('שיבוץ'!$F$3:$F$152,MATCH('קבוצות'!$A$5&amp;"|"&amp;5,'שיבוץ'!$K$3:$K$152,0))&amp;"","")</f>
        <v/>
      </c>
      <c r="K59">
        <f>IFERROR(INDEX('שיבוץ'!$C$3:$C$152,MATCH('קבוצות'!$A$5&amp;"|"&amp;5,'שיבוץ'!$K$3:$K$152,0)),"")</f>
        <v/>
      </c>
      <c r="L59">
        <f>IFERROR(INDEX('שיבוץ'!$E$3:$E$152,MATCH('קבוצות'!$A$5&amp;"|"&amp;5,'שיבוץ'!$K$3:$K$152,0))&amp;"","")</f>
        <v/>
      </c>
    </row>
    <row r="60" ht="28" customHeight="1">
      <c r="A60" s="43">
        <f>IF($H60="","",IF($H60=$H59,"",$H60))</f>
        <v/>
      </c>
      <c r="B60" s="30">
        <f>IF(N($K60)=0,"",TEXT(HOUR($K60),"00")&amp;":"&amp;TEXT(MINUTE($K60),"00"))</f>
        <v/>
      </c>
      <c r="C60" s="31">
        <f>$L60</f>
        <v/>
      </c>
      <c r="D60" s="32">
        <f>$I60</f>
        <v/>
      </c>
      <c r="E60" s="33" t="n"/>
      <c r="F60" s="34">
        <f>$J60</f>
        <v/>
      </c>
      <c r="H60">
        <f>IFERROR(INDEX('שיבוץ'!$B$3:$B$152,MATCH('קבוצות'!$A$5&amp;"|"&amp;6,'שיבוץ'!$K$3:$K$152,0))&amp;"","")</f>
        <v/>
      </c>
      <c r="I60">
        <f>IFERROR(INDEX('שיבוץ'!$D$3:$D$152,MATCH('קבוצות'!$A$5&amp;"|"&amp;6,'שיבוץ'!$K$3:$K$152,0))&amp;"","")</f>
        <v/>
      </c>
      <c r="J60">
        <f>IFERROR(INDEX('שיבוץ'!$F$3:$F$152,MATCH('קבוצות'!$A$5&amp;"|"&amp;6,'שיבוץ'!$K$3:$K$152,0))&amp;"","")</f>
        <v/>
      </c>
      <c r="K60">
        <f>IFERROR(INDEX('שיבוץ'!$C$3:$C$152,MATCH('קבוצות'!$A$5&amp;"|"&amp;6,'שיבוץ'!$K$3:$K$152,0)),"")</f>
        <v/>
      </c>
      <c r="L60">
        <f>IFERROR(INDEX('שיבוץ'!$E$3:$E$152,MATCH('קבוצות'!$A$5&amp;"|"&amp;6,'שיבוץ'!$K$3:$K$152,0))&amp;"","")</f>
        <v/>
      </c>
    </row>
    <row r="61" ht="28" customHeight="1">
      <c r="A61" s="43">
        <f>IF($H61="","",IF($H61=$H60,"",$H61))</f>
        <v/>
      </c>
      <c r="B61" s="30">
        <f>IF(N($K61)=0,"",TEXT(HOUR($K61),"00")&amp;":"&amp;TEXT(MINUTE($K61),"00"))</f>
        <v/>
      </c>
      <c r="C61" s="31">
        <f>$L61</f>
        <v/>
      </c>
      <c r="D61" s="32">
        <f>$I61</f>
        <v/>
      </c>
      <c r="E61" s="33" t="n"/>
      <c r="F61" s="34">
        <f>$J61</f>
        <v/>
      </c>
      <c r="H61">
        <f>IFERROR(INDEX('שיבוץ'!$B$3:$B$152,MATCH('קבוצות'!$A$5&amp;"|"&amp;7,'שיבוץ'!$K$3:$K$152,0))&amp;"","")</f>
        <v/>
      </c>
      <c r="I61">
        <f>IFERROR(INDEX('שיבוץ'!$D$3:$D$152,MATCH('קבוצות'!$A$5&amp;"|"&amp;7,'שיבוץ'!$K$3:$K$152,0))&amp;"","")</f>
        <v/>
      </c>
      <c r="J61">
        <f>IFERROR(INDEX('שיבוץ'!$F$3:$F$152,MATCH('קבוצות'!$A$5&amp;"|"&amp;7,'שיבוץ'!$K$3:$K$152,0))&amp;"","")</f>
        <v/>
      </c>
      <c r="K61">
        <f>IFERROR(INDEX('שיבוץ'!$C$3:$C$152,MATCH('קבוצות'!$A$5&amp;"|"&amp;7,'שיבוץ'!$K$3:$K$152,0)),"")</f>
        <v/>
      </c>
      <c r="L61">
        <f>IFERROR(INDEX('שיבוץ'!$E$3:$E$152,MATCH('קבוצות'!$A$5&amp;"|"&amp;7,'שיבוץ'!$K$3:$K$152,0))&amp;"","")</f>
        <v/>
      </c>
    </row>
    <row r="62" ht="28" customHeight="1">
      <c r="A62" s="43">
        <f>IF($H62="","",IF($H62=$H61,"",$H62))</f>
        <v/>
      </c>
      <c r="B62" s="30">
        <f>IF(N($K62)=0,"",TEXT(HOUR($K62),"00")&amp;":"&amp;TEXT(MINUTE($K62),"00"))</f>
        <v/>
      </c>
      <c r="C62" s="31">
        <f>$L62</f>
        <v/>
      </c>
      <c r="D62" s="32">
        <f>$I62</f>
        <v/>
      </c>
      <c r="E62" s="33" t="n"/>
      <c r="F62" s="34">
        <f>$J62</f>
        <v/>
      </c>
      <c r="H62">
        <f>IFERROR(INDEX('שיבוץ'!$B$3:$B$152,MATCH('קבוצות'!$A$5&amp;"|"&amp;8,'שיבוץ'!$K$3:$K$152,0))&amp;"","")</f>
        <v/>
      </c>
      <c r="I62">
        <f>IFERROR(INDEX('שיבוץ'!$D$3:$D$152,MATCH('קבוצות'!$A$5&amp;"|"&amp;8,'שיבוץ'!$K$3:$K$152,0))&amp;"","")</f>
        <v/>
      </c>
      <c r="J62">
        <f>IFERROR(INDEX('שיבוץ'!$F$3:$F$152,MATCH('קבוצות'!$A$5&amp;"|"&amp;8,'שיבוץ'!$K$3:$K$152,0))&amp;"","")</f>
        <v/>
      </c>
      <c r="K62">
        <f>IFERROR(INDEX('שיבוץ'!$C$3:$C$152,MATCH('קבוצות'!$A$5&amp;"|"&amp;8,'שיבוץ'!$K$3:$K$152,0)),"")</f>
        <v/>
      </c>
      <c r="L62">
        <f>IFERROR(INDEX('שיבוץ'!$E$3:$E$152,MATCH('קבוצות'!$A$5&amp;"|"&amp;8,'שיבוץ'!$K$3:$K$152,0))&amp;"","")</f>
        <v/>
      </c>
    </row>
    <row r="63" ht="28" customHeight="1">
      <c r="A63" s="43">
        <f>IF($H63="","",IF($H63=$H62,"",$H63))</f>
        <v/>
      </c>
      <c r="B63" s="30">
        <f>IF(N($K63)=0,"",TEXT(HOUR($K63),"00")&amp;":"&amp;TEXT(MINUTE($K63),"00"))</f>
        <v/>
      </c>
      <c r="C63" s="31">
        <f>$L63</f>
        <v/>
      </c>
      <c r="D63" s="32">
        <f>$I63</f>
        <v/>
      </c>
      <c r="E63" s="33" t="n"/>
      <c r="F63" s="34">
        <f>$J63</f>
        <v/>
      </c>
      <c r="H63">
        <f>IFERROR(INDEX('שיבוץ'!$B$3:$B$152,MATCH('קבוצות'!$A$5&amp;"|"&amp;9,'שיבוץ'!$K$3:$K$152,0))&amp;"","")</f>
        <v/>
      </c>
      <c r="I63">
        <f>IFERROR(INDEX('שיבוץ'!$D$3:$D$152,MATCH('קבוצות'!$A$5&amp;"|"&amp;9,'שיבוץ'!$K$3:$K$152,0))&amp;"","")</f>
        <v/>
      </c>
      <c r="J63">
        <f>IFERROR(INDEX('שיבוץ'!$F$3:$F$152,MATCH('קבוצות'!$A$5&amp;"|"&amp;9,'שיבוץ'!$K$3:$K$152,0))&amp;"","")</f>
        <v/>
      </c>
      <c r="K63">
        <f>IFERROR(INDEX('שיבוץ'!$C$3:$C$152,MATCH('קבוצות'!$A$5&amp;"|"&amp;9,'שיבוץ'!$K$3:$K$152,0)),"")</f>
        <v/>
      </c>
      <c r="L63">
        <f>IFERROR(INDEX('שיבוץ'!$E$3:$E$152,MATCH('קבוצות'!$A$5&amp;"|"&amp;9,'שיבוץ'!$K$3:$K$152,0))&amp;"","")</f>
        <v/>
      </c>
    </row>
    <row r="64" ht="28" customHeight="1">
      <c r="A64" s="43">
        <f>IF($H64="","",IF($H64=$H63,"",$H64))</f>
        <v/>
      </c>
      <c r="B64" s="30">
        <f>IF(N($K64)=0,"",TEXT(HOUR($K64),"00")&amp;":"&amp;TEXT(MINUTE($K64),"00"))</f>
        <v/>
      </c>
      <c r="C64" s="31">
        <f>$L64</f>
        <v/>
      </c>
      <c r="D64" s="32">
        <f>$I64</f>
        <v/>
      </c>
      <c r="E64" s="33" t="n"/>
      <c r="F64" s="34">
        <f>$J64</f>
        <v/>
      </c>
      <c r="H64">
        <f>IFERROR(INDEX('שיבוץ'!$B$3:$B$152,MATCH('קבוצות'!$A$5&amp;"|"&amp;10,'שיבוץ'!$K$3:$K$152,0))&amp;"","")</f>
        <v/>
      </c>
      <c r="I64">
        <f>IFERROR(INDEX('שיבוץ'!$D$3:$D$152,MATCH('קבוצות'!$A$5&amp;"|"&amp;10,'שיבוץ'!$K$3:$K$152,0))&amp;"","")</f>
        <v/>
      </c>
      <c r="J64">
        <f>IFERROR(INDEX('שיבוץ'!$F$3:$F$152,MATCH('קבוצות'!$A$5&amp;"|"&amp;10,'שיבוץ'!$K$3:$K$152,0))&amp;"","")</f>
        <v/>
      </c>
      <c r="K64">
        <f>IFERROR(INDEX('שיבוץ'!$C$3:$C$152,MATCH('קבוצות'!$A$5&amp;"|"&amp;10,'שיבוץ'!$K$3:$K$152,0)),"")</f>
        <v/>
      </c>
      <c r="L64">
        <f>IFERROR(INDEX('שיבוץ'!$E$3:$E$152,MATCH('קבוצות'!$A$5&amp;"|"&amp;10,'שיבוץ'!$K$3:$K$152,0))&amp;"","")</f>
        <v/>
      </c>
    </row>
    <row r="65" ht="28" customHeight="1">
      <c r="A65" s="43">
        <f>IF($H65="","",IF($H65=$H64,"",$H65))</f>
        <v/>
      </c>
      <c r="B65" s="30">
        <f>IF(N($K65)=0,"",TEXT(HOUR($K65),"00")&amp;":"&amp;TEXT(MINUTE($K65),"00"))</f>
        <v/>
      </c>
      <c r="C65" s="31">
        <f>$L65</f>
        <v/>
      </c>
      <c r="D65" s="32">
        <f>$I65</f>
        <v/>
      </c>
      <c r="E65" s="33" t="n"/>
      <c r="F65" s="34">
        <f>$J65</f>
        <v/>
      </c>
      <c r="H65">
        <f>IFERROR(INDEX('שיבוץ'!$B$3:$B$152,MATCH('קבוצות'!$A$5&amp;"|"&amp;11,'שיבוץ'!$K$3:$K$152,0))&amp;"","")</f>
        <v/>
      </c>
      <c r="I65">
        <f>IFERROR(INDEX('שיבוץ'!$D$3:$D$152,MATCH('קבוצות'!$A$5&amp;"|"&amp;11,'שיבוץ'!$K$3:$K$152,0))&amp;"","")</f>
        <v/>
      </c>
      <c r="J65">
        <f>IFERROR(INDEX('שיבוץ'!$F$3:$F$152,MATCH('קבוצות'!$A$5&amp;"|"&amp;11,'שיבוץ'!$K$3:$K$152,0))&amp;"","")</f>
        <v/>
      </c>
      <c r="K65">
        <f>IFERROR(INDEX('שיבוץ'!$C$3:$C$152,MATCH('קבוצות'!$A$5&amp;"|"&amp;11,'שיבוץ'!$K$3:$K$152,0)),"")</f>
        <v/>
      </c>
      <c r="L65">
        <f>IFERROR(INDEX('שיבוץ'!$E$3:$E$152,MATCH('קבוצות'!$A$5&amp;"|"&amp;11,'שיבוץ'!$K$3:$K$152,0))&amp;"","")</f>
        <v/>
      </c>
    </row>
    <row r="66" ht="28" customHeight="1">
      <c r="A66" s="43">
        <f>IF($H66="","",IF($H66=$H65,"",$H66))</f>
        <v/>
      </c>
      <c r="B66" s="30">
        <f>IF(N($K66)=0,"",TEXT(HOUR($K66),"00")&amp;":"&amp;TEXT(MINUTE($K66),"00"))</f>
        <v/>
      </c>
      <c r="C66" s="31">
        <f>$L66</f>
        <v/>
      </c>
      <c r="D66" s="32">
        <f>$I66</f>
        <v/>
      </c>
      <c r="E66" s="33" t="n"/>
      <c r="F66" s="34">
        <f>$J66</f>
        <v/>
      </c>
      <c r="H66">
        <f>IFERROR(INDEX('שיבוץ'!$B$3:$B$152,MATCH('קבוצות'!$A$5&amp;"|"&amp;12,'שיבוץ'!$K$3:$K$152,0))&amp;"","")</f>
        <v/>
      </c>
      <c r="I66">
        <f>IFERROR(INDEX('שיבוץ'!$D$3:$D$152,MATCH('קבוצות'!$A$5&amp;"|"&amp;12,'שיבוץ'!$K$3:$K$152,0))&amp;"","")</f>
        <v/>
      </c>
      <c r="J66">
        <f>IFERROR(INDEX('שיבוץ'!$F$3:$F$152,MATCH('קבוצות'!$A$5&amp;"|"&amp;12,'שיבוץ'!$K$3:$K$152,0))&amp;"","")</f>
        <v/>
      </c>
      <c r="K66">
        <f>IFERROR(INDEX('שיבוץ'!$C$3:$C$152,MATCH('קבוצות'!$A$5&amp;"|"&amp;12,'שיבוץ'!$K$3:$K$152,0)),"")</f>
        <v/>
      </c>
      <c r="L66">
        <f>IFERROR(INDEX('שיבוץ'!$E$3:$E$152,MATCH('קבוצות'!$A$5&amp;"|"&amp;12,'שיבוץ'!$K$3:$K$152,0))&amp;"","")</f>
        <v/>
      </c>
    </row>
    <row r="67" ht="28" customHeight="1">
      <c r="A67" s="43">
        <f>IF($H67="","",IF($H67=$H66,"",$H67))</f>
        <v/>
      </c>
      <c r="B67" s="30">
        <f>IF(N($K67)=0,"",TEXT(HOUR($K67),"00")&amp;":"&amp;TEXT(MINUTE($K67),"00"))</f>
        <v/>
      </c>
      <c r="C67" s="31">
        <f>$L67</f>
        <v/>
      </c>
      <c r="D67" s="32">
        <f>$I67</f>
        <v/>
      </c>
      <c r="E67" s="33" t="n"/>
      <c r="F67" s="34">
        <f>$J67</f>
        <v/>
      </c>
      <c r="H67">
        <f>IFERROR(INDEX('שיבוץ'!$B$3:$B$152,MATCH('קבוצות'!$A$5&amp;"|"&amp;13,'שיבוץ'!$K$3:$K$152,0))&amp;"","")</f>
        <v/>
      </c>
      <c r="I67">
        <f>IFERROR(INDEX('שיבוץ'!$D$3:$D$152,MATCH('קבוצות'!$A$5&amp;"|"&amp;13,'שיבוץ'!$K$3:$K$152,0))&amp;"","")</f>
        <v/>
      </c>
      <c r="J67">
        <f>IFERROR(INDEX('שיבוץ'!$F$3:$F$152,MATCH('קבוצות'!$A$5&amp;"|"&amp;13,'שיבוץ'!$K$3:$K$152,0))&amp;"","")</f>
        <v/>
      </c>
      <c r="K67">
        <f>IFERROR(INDEX('שיבוץ'!$C$3:$C$152,MATCH('קבוצות'!$A$5&amp;"|"&amp;13,'שיבוץ'!$K$3:$K$152,0)),"")</f>
        <v/>
      </c>
      <c r="L67">
        <f>IFERROR(INDEX('שיבוץ'!$E$3:$E$152,MATCH('קבוצות'!$A$5&amp;"|"&amp;13,'שיבוץ'!$K$3:$K$152,0))&amp;"","")</f>
        <v/>
      </c>
    </row>
    <row r="68" ht="28" customHeight="1">
      <c r="A68" s="43">
        <f>IF($H68="","",IF($H68=$H67,"",$H68))</f>
        <v/>
      </c>
      <c r="B68" s="30">
        <f>IF(N($K68)=0,"",TEXT(HOUR($K68),"00")&amp;":"&amp;TEXT(MINUTE($K68),"00"))</f>
        <v/>
      </c>
      <c r="C68" s="31">
        <f>$L68</f>
        <v/>
      </c>
      <c r="D68" s="32">
        <f>$I68</f>
        <v/>
      </c>
      <c r="E68" s="33" t="n"/>
      <c r="F68" s="34">
        <f>$J68</f>
        <v/>
      </c>
      <c r="H68">
        <f>IFERROR(INDEX('שיבוץ'!$B$3:$B$152,MATCH('קבוצות'!$A$5&amp;"|"&amp;14,'שיבוץ'!$K$3:$K$152,0))&amp;"","")</f>
        <v/>
      </c>
      <c r="I68">
        <f>IFERROR(INDEX('שיבוץ'!$D$3:$D$152,MATCH('קבוצות'!$A$5&amp;"|"&amp;14,'שיבוץ'!$K$3:$K$152,0))&amp;"","")</f>
        <v/>
      </c>
      <c r="J68">
        <f>IFERROR(INDEX('שיבוץ'!$F$3:$F$152,MATCH('קבוצות'!$A$5&amp;"|"&amp;14,'שיבוץ'!$K$3:$K$152,0))&amp;"","")</f>
        <v/>
      </c>
      <c r="K68">
        <f>IFERROR(INDEX('שיבוץ'!$C$3:$C$152,MATCH('קבוצות'!$A$5&amp;"|"&amp;14,'שיבוץ'!$K$3:$K$152,0)),"")</f>
        <v/>
      </c>
      <c r="L68">
        <f>IFERROR(INDEX('שיבוץ'!$E$3:$E$152,MATCH('קבוצות'!$A$5&amp;"|"&amp;14,'שיבוץ'!$K$3:$K$152,0))&amp;"","")</f>
        <v/>
      </c>
    </row>
    <row r="69" ht="28" customHeight="1">
      <c r="A69" s="43">
        <f>IF($H69="","",IF($H69=$H68,"",$H69))</f>
        <v/>
      </c>
      <c r="B69" s="30">
        <f>IF(N($K69)=0,"",TEXT(HOUR($K69),"00")&amp;":"&amp;TEXT(MINUTE($K69),"00"))</f>
        <v/>
      </c>
      <c r="C69" s="31">
        <f>$L69</f>
        <v/>
      </c>
      <c r="D69" s="32">
        <f>$I69</f>
        <v/>
      </c>
      <c r="E69" s="33" t="n"/>
      <c r="F69" s="34">
        <f>$J69</f>
        <v/>
      </c>
      <c r="H69">
        <f>IFERROR(INDEX('שיבוץ'!$B$3:$B$152,MATCH('קבוצות'!$A$5&amp;"|"&amp;15,'שיבוץ'!$K$3:$K$152,0))&amp;"","")</f>
        <v/>
      </c>
      <c r="I69">
        <f>IFERROR(INDEX('שיבוץ'!$D$3:$D$152,MATCH('קבוצות'!$A$5&amp;"|"&amp;15,'שיבוץ'!$K$3:$K$152,0))&amp;"","")</f>
        <v/>
      </c>
      <c r="J69">
        <f>IFERROR(INDEX('שיבוץ'!$F$3:$F$152,MATCH('קבוצות'!$A$5&amp;"|"&amp;15,'שיבוץ'!$K$3:$K$152,0))&amp;"","")</f>
        <v/>
      </c>
      <c r="K69">
        <f>IFERROR(INDEX('שיבוץ'!$C$3:$C$152,MATCH('קבוצות'!$A$5&amp;"|"&amp;15,'שיבוץ'!$K$3:$K$152,0)),"")</f>
        <v/>
      </c>
      <c r="L69">
        <f>IFERROR(INDEX('שיבוץ'!$E$3:$E$152,MATCH('קבוצות'!$A$5&amp;"|"&amp;15,'שיבוץ'!$K$3:$K$152,0))&amp;"","")</f>
        <v/>
      </c>
    </row>
    <row r="70" ht="28" customHeight="1">
      <c r="A70" s="43">
        <f>IF($H70="","",IF($H70=$H69,"",$H70))</f>
        <v/>
      </c>
      <c r="B70" s="30">
        <f>IF(N($K70)=0,"",TEXT(HOUR($K70),"00")&amp;":"&amp;TEXT(MINUTE($K70),"00"))</f>
        <v/>
      </c>
      <c r="C70" s="31">
        <f>$L70</f>
        <v/>
      </c>
      <c r="D70" s="32">
        <f>$I70</f>
        <v/>
      </c>
      <c r="E70" s="33" t="n"/>
      <c r="F70" s="34">
        <f>$J70</f>
        <v/>
      </c>
      <c r="H70">
        <f>IFERROR(INDEX('שיבוץ'!$B$3:$B$152,MATCH('קבוצות'!$A$5&amp;"|"&amp;16,'שיבוץ'!$K$3:$K$152,0))&amp;"","")</f>
        <v/>
      </c>
      <c r="I70">
        <f>IFERROR(INDEX('שיבוץ'!$D$3:$D$152,MATCH('קבוצות'!$A$5&amp;"|"&amp;16,'שיבוץ'!$K$3:$K$152,0))&amp;"","")</f>
        <v/>
      </c>
      <c r="J70">
        <f>IFERROR(INDEX('שיבוץ'!$F$3:$F$152,MATCH('קבוצות'!$A$5&amp;"|"&amp;16,'שיבוץ'!$K$3:$K$152,0))&amp;"","")</f>
        <v/>
      </c>
      <c r="K70">
        <f>IFERROR(INDEX('שיבוץ'!$C$3:$C$152,MATCH('קבוצות'!$A$5&amp;"|"&amp;16,'שיבוץ'!$K$3:$K$152,0)),"")</f>
        <v/>
      </c>
      <c r="L70">
        <f>IFERROR(INDEX('שיבוץ'!$E$3:$E$152,MATCH('קבוצות'!$A$5&amp;"|"&amp;16,'שיבוץ'!$K$3:$K$152,0))&amp;"","")</f>
        <v/>
      </c>
    </row>
    <row r="71" ht="28" customHeight="1">
      <c r="A71" s="43">
        <f>IF($H71="","",IF($H71=$H70,"",$H71))</f>
        <v/>
      </c>
      <c r="B71" s="30">
        <f>IF(N($K71)=0,"",TEXT(HOUR($K71),"00")&amp;":"&amp;TEXT(MINUTE($K71),"00"))</f>
        <v/>
      </c>
      <c r="C71" s="31">
        <f>$L71</f>
        <v/>
      </c>
      <c r="D71" s="32">
        <f>$I71</f>
        <v/>
      </c>
      <c r="E71" s="33" t="n"/>
      <c r="F71" s="34">
        <f>$J71</f>
        <v/>
      </c>
      <c r="H71">
        <f>IFERROR(INDEX('שיבוץ'!$B$3:$B$152,MATCH('קבוצות'!$A$5&amp;"|"&amp;17,'שיבוץ'!$K$3:$K$152,0))&amp;"","")</f>
        <v/>
      </c>
      <c r="I71">
        <f>IFERROR(INDEX('שיבוץ'!$D$3:$D$152,MATCH('קבוצות'!$A$5&amp;"|"&amp;17,'שיבוץ'!$K$3:$K$152,0))&amp;"","")</f>
        <v/>
      </c>
      <c r="J71">
        <f>IFERROR(INDEX('שיבוץ'!$F$3:$F$152,MATCH('קבוצות'!$A$5&amp;"|"&amp;17,'שיבוץ'!$K$3:$K$152,0))&amp;"","")</f>
        <v/>
      </c>
      <c r="K71">
        <f>IFERROR(INDEX('שיבוץ'!$C$3:$C$152,MATCH('קבוצות'!$A$5&amp;"|"&amp;17,'שיבוץ'!$K$3:$K$152,0)),"")</f>
        <v/>
      </c>
      <c r="L71">
        <f>IFERROR(INDEX('שיבוץ'!$E$3:$E$152,MATCH('קבוצות'!$A$5&amp;"|"&amp;17,'שיבוץ'!$K$3:$K$152,0))&amp;"","")</f>
        <v/>
      </c>
    </row>
    <row r="72" ht="28" customHeight="1">
      <c r="A72" s="43">
        <f>IF($H72="","",IF($H72=$H71,"",$H72))</f>
        <v/>
      </c>
      <c r="B72" s="30">
        <f>IF(N($K72)=0,"",TEXT(HOUR($K72),"00")&amp;":"&amp;TEXT(MINUTE($K72),"00"))</f>
        <v/>
      </c>
      <c r="C72" s="31">
        <f>$L72</f>
        <v/>
      </c>
      <c r="D72" s="32">
        <f>$I72</f>
        <v/>
      </c>
      <c r="E72" s="33" t="n"/>
      <c r="F72" s="34">
        <f>$J72</f>
        <v/>
      </c>
      <c r="H72">
        <f>IFERROR(INDEX('שיבוץ'!$B$3:$B$152,MATCH('קבוצות'!$A$5&amp;"|"&amp;18,'שיבוץ'!$K$3:$K$152,0))&amp;"","")</f>
        <v/>
      </c>
      <c r="I72">
        <f>IFERROR(INDEX('שיבוץ'!$D$3:$D$152,MATCH('קבוצות'!$A$5&amp;"|"&amp;18,'שיבוץ'!$K$3:$K$152,0))&amp;"","")</f>
        <v/>
      </c>
      <c r="J72">
        <f>IFERROR(INDEX('שיבוץ'!$F$3:$F$152,MATCH('קבוצות'!$A$5&amp;"|"&amp;18,'שיבוץ'!$K$3:$K$152,0))&amp;"","")</f>
        <v/>
      </c>
      <c r="K72">
        <f>IFERROR(INDEX('שיבוץ'!$C$3:$C$152,MATCH('קבוצות'!$A$5&amp;"|"&amp;18,'שיבוץ'!$K$3:$K$152,0)),"")</f>
        <v/>
      </c>
      <c r="L72">
        <f>IFERROR(INDEX('שיבוץ'!$E$3:$E$152,MATCH('קבוצות'!$A$5&amp;"|"&amp;18,'שיבוץ'!$K$3:$K$152,0))&amp;"","")</f>
        <v/>
      </c>
    </row>
    <row r="73" ht="18" customHeight="1">
      <c r="A73" s="35">
        <f>IF(COUNTIF('שיבוץ'!$A$3:$A$152,'קבוצות'!$A$5)&gt;18,"⚠ לקבוצה יש עוד משימות שלא נכנסו לכרטיסייה — ראו «טופס נקי»","")</f>
        <v/>
      </c>
    </row>
    <row r="76" ht="42" customHeight="1">
      <c r="A76" s="44">
        <f>IF('קבוצות'!$A$6="","",'קבוצות'!$A$6)</f>
        <v/>
      </c>
    </row>
    <row r="77" ht="60" customHeight="1">
      <c r="A77" s="45">
        <f>IF('קבוצות'!$C$6="","",'קבוצות'!$C$6)</f>
        <v/>
      </c>
    </row>
    <row r="78" ht="20" customHeight="1">
      <c r="A7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9" ht="22" customHeight="1">
      <c r="A79" s="28" t="inlineStr">
        <is>
          <t>מתי</t>
        </is>
      </c>
      <c r="B79" s="28" t="inlineStr">
        <is>
          <t>שעה</t>
        </is>
      </c>
      <c r="C79" s="28" t="inlineStr">
        <is>
          <t>קטגוריה</t>
        </is>
      </c>
      <c r="D79" s="28" t="inlineStr">
        <is>
          <t>משימה</t>
        </is>
      </c>
      <c r="F79" s="28" t="inlineStr">
        <is>
          <t>פרטים</t>
        </is>
      </c>
    </row>
    <row r="80" ht="28" customHeight="1">
      <c r="A80" s="47">
        <f>IF($H80="","",IF($H80=$H79,"",$H80))</f>
        <v/>
      </c>
      <c r="B80" s="30">
        <f>IF(N($K80)=0,"",TEXT(HOUR($K80),"00")&amp;":"&amp;TEXT(MINUTE($K80),"00"))</f>
        <v/>
      </c>
      <c r="C80" s="31">
        <f>$L80</f>
        <v/>
      </c>
      <c r="D80" s="32">
        <f>$I80</f>
        <v/>
      </c>
      <c r="E80" s="33" t="n"/>
      <c r="F80" s="34">
        <f>$J80</f>
        <v/>
      </c>
      <c r="H80">
        <f>IFERROR(INDEX('שיבוץ'!$B$3:$B$152,MATCH('קבוצות'!$A$6&amp;"|"&amp;1,'שיבוץ'!$K$3:$K$152,0))&amp;"","")</f>
        <v/>
      </c>
      <c r="I80">
        <f>IFERROR(INDEX('שיבוץ'!$D$3:$D$152,MATCH('קבוצות'!$A$6&amp;"|"&amp;1,'שיבוץ'!$K$3:$K$152,0))&amp;"","")</f>
        <v/>
      </c>
      <c r="J80">
        <f>IFERROR(INDEX('שיבוץ'!$F$3:$F$152,MATCH('קבוצות'!$A$6&amp;"|"&amp;1,'שיבוץ'!$K$3:$K$152,0))&amp;"","")</f>
        <v/>
      </c>
      <c r="K80">
        <f>IFERROR(INDEX('שיבוץ'!$C$3:$C$152,MATCH('קבוצות'!$A$6&amp;"|"&amp;1,'שיבוץ'!$K$3:$K$152,0)),"")</f>
        <v/>
      </c>
      <c r="L80">
        <f>IFERROR(INDEX('שיבוץ'!$E$3:$E$152,MATCH('קבוצות'!$A$6&amp;"|"&amp;1,'שיבוץ'!$K$3:$K$152,0))&amp;"","")</f>
        <v/>
      </c>
    </row>
    <row r="81" ht="28" customHeight="1">
      <c r="A81" s="47">
        <f>IF($H81="","",IF($H81=$H80,"",$H81))</f>
        <v/>
      </c>
      <c r="B81" s="30">
        <f>IF(N($K81)=0,"",TEXT(HOUR($K81),"00")&amp;":"&amp;TEXT(MINUTE($K81),"00"))</f>
        <v/>
      </c>
      <c r="C81" s="31">
        <f>$L81</f>
        <v/>
      </c>
      <c r="D81" s="32">
        <f>$I81</f>
        <v/>
      </c>
      <c r="E81" s="33" t="n"/>
      <c r="F81" s="34">
        <f>$J81</f>
        <v/>
      </c>
      <c r="H81">
        <f>IFERROR(INDEX('שיבוץ'!$B$3:$B$152,MATCH('קבוצות'!$A$6&amp;"|"&amp;2,'שיבוץ'!$K$3:$K$152,0))&amp;"","")</f>
        <v/>
      </c>
      <c r="I81">
        <f>IFERROR(INDEX('שיבוץ'!$D$3:$D$152,MATCH('קבוצות'!$A$6&amp;"|"&amp;2,'שיבוץ'!$K$3:$K$152,0))&amp;"","")</f>
        <v/>
      </c>
      <c r="J81">
        <f>IFERROR(INDEX('שיבוץ'!$F$3:$F$152,MATCH('קבוצות'!$A$6&amp;"|"&amp;2,'שיבוץ'!$K$3:$K$152,0))&amp;"","")</f>
        <v/>
      </c>
      <c r="K81">
        <f>IFERROR(INDEX('שיבוץ'!$C$3:$C$152,MATCH('קבוצות'!$A$6&amp;"|"&amp;2,'שיבוץ'!$K$3:$K$152,0)),"")</f>
        <v/>
      </c>
      <c r="L81">
        <f>IFERROR(INDEX('שיבוץ'!$E$3:$E$152,MATCH('קבוצות'!$A$6&amp;"|"&amp;2,'שיבוץ'!$K$3:$K$152,0))&amp;"","")</f>
        <v/>
      </c>
    </row>
    <row r="82" ht="28" customHeight="1">
      <c r="A82" s="47">
        <f>IF($H82="","",IF($H82=$H81,"",$H82))</f>
        <v/>
      </c>
      <c r="B82" s="30">
        <f>IF(N($K82)=0,"",TEXT(HOUR($K82),"00")&amp;":"&amp;TEXT(MINUTE($K82),"00"))</f>
        <v/>
      </c>
      <c r="C82" s="31">
        <f>$L82</f>
        <v/>
      </c>
      <c r="D82" s="32">
        <f>$I82</f>
        <v/>
      </c>
      <c r="E82" s="33" t="n"/>
      <c r="F82" s="34">
        <f>$J82</f>
        <v/>
      </c>
      <c r="H82">
        <f>IFERROR(INDEX('שיבוץ'!$B$3:$B$152,MATCH('קבוצות'!$A$6&amp;"|"&amp;3,'שיבוץ'!$K$3:$K$152,0))&amp;"","")</f>
        <v/>
      </c>
      <c r="I82">
        <f>IFERROR(INDEX('שיבוץ'!$D$3:$D$152,MATCH('קבוצות'!$A$6&amp;"|"&amp;3,'שיבוץ'!$K$3:$K$152,0))&amp;"","")</f>
        <v/>
      </c>
      <c r="J82">
        <f>IFERROR(INDEX('שיבוץ'!$F$3:$F$152,MATCH('קבוצות'!$A$6&amp;"|"&amp;3,'שיבוץ'!$K$3:$K$152,0))&amp;"","")</f>
        <v/>
      </c>
      <c r="K82">
        <f>IFERROR(INDEX('שיבוץ'!$C$3:$C$152,MATCH('קבוצות'!$A$6&amp;"|"&amp;3,'שיבוץ'!$K$3:$K$152,0)),"")</f>
        <v/>
      </c>
      <c r="L82">
        <f>IFERROR(INDEX('שיבוץ'!$E$3:$E$152,MATCH('קבוצות'!$A$6&amp;"|"&amp;3,'שיבוץ'!$K$3:$K$152,0))&amp;"","")</f>
        <v/>
      </c>
    </row>
    <row r="83" ht="28" customHeight="1">
      <c r="A83" s="47">
        <f>IF($H83="","",IF($H83=$H82,"",$H83))</f>
        <v/>
      </c>
      <c r="B83" s="30">
        <f>IF(N($K83)=0,"",TEXT(HOUR($K83),"00")&amp;":"&amp;TEXT(MINUTE($K83),"00"))</f>
        <v/>
      </c>
      <c r="C83" s="31">
        <f>$L83</f>
        <v/>
      </c>
      <c r="D83" s="32">
        <f>$I83</f>
        <v/>
      </c>
      <c r="E83" s="33" t="n"/>
      <c r="F83" s="34">
        <f>$J83</f>
        <v/>
      </c>
      <c r="H83">
        <f>IFERROR(INDEX('שיבוץ'!$B$3:$B$152,MATCH('קבוצות'!$A$6&amp;"|"&amp;4,'שיבוץ'!$K$3:$K$152,0))&amp;"","")</f>
        <v/>
      </c>
      <c r="I83">
        <f>IFERROR(INDEX('שיבוץ'!$D$3:$D$152,MATCH('קבוצות'!$A$6&amp;"|"&amp;4,'שיבוץ'!$K$3:$K$152,0))&amp;"","")</f>
        <v/>
      </c>
      <c r="J83">
        <f>IFERROR(INDEX('שיבוץ'!$F$3:$F$152,MATCH('קבוצות'!$A$6&amp;"|"&amp;4,'שיבוץ'!$K$3:$K$152,0))&amp;"","")</f>
        <v/>
      </c>
      <c r="K83">
        <f>IFERROR(INDEX('שיבוץ'!$C$3:$C$152,MATCH('קבוצות'!$A$6&amp;"|"&amp;4,'שיבוץ'!$K$3:$K$152,0)),"")</f>
        <v/>
      </c>
      <c r="L83">
        <f>IFERROR(INDEX('שיבוץ'!$E$3:$E$152,MATCH('קבוצות'!$A$6&amp;"|"&amp;4,'שיבוץ'!$K$3:$K$152,0))&amp;"","")</f>
        <v/>
      </c>
    </row>
    <row r="84" ht="28" customHeight="1">
      <c r="A84" s="47">
        <f>IF($H84="","",IF($H84=$H83,"",$H84))</f>
        <v/>
      </c>
      <c r="B84" s="30">
        <f>IF(N($K84)=0,"",TEXT(HOUR($K84),"00")&amp;":"&amp;TEXT(MINUTE($K84),"00"))</f>
        <v/>
      </c>
      <c r="C84" s="31">
        <f>$L84</f>
        <v/>
      </c>
      <c r="D84" s="32">
        <f>$I84</f>
        <v/>
      </c>
      <c r="E84" s="33" t="n"/>
      <c r="F84" s="34">
        <f>$J84</f>
        <v/>
      </c>
      <c r="H84">
        <f>IFERROR(INDEX('שיבוץ'!$B$3:$B$152,MATCH('קבוצות'!$A$6&amp;"|"&amp;5,'שיבוץ'!$K$3:$K$152,0))&amp;"","")</f>
        <v/>
      </c>
      <c r="I84">
        <f>IFERROR(INDEX('שיבוץ'!$D$3:$D$152,MATCH('קבוצות'!$A$6&amp;"|"&amp;5,'שיבוץ'!$K$3:$K$152,0))&amp;"","")</f>
        <v/>
      </c>
      <c r="J84">
        <f>IFERROR(INDEX('שיבוץ'!$F$3:$F$152,MATCH('קבוצות'!$A$6&amp;"|"&amp;5,'שיבוץ'!$K$3:$K$152,0))&amp;"","")</f>
        <v/>
      </c>
      <c r="K84">
        <f>IFERROR(INDEX('שיבוץ'!$C$3:$C$152,MATCH('קבוצות'!$A$6&amp;"|"&amp;5,'שיבוץ'!$K$3:$K$152,0)),"")</f>
        <v/>
      </c>
      <c r="L84">
        <f>IFERROR(INDEX('שיבוץ'!$E$3:$E$152,MATCH('קבוצות'!$A$6&amp;"|"&amp;5,'שיבוץ'!$K$3:$K$152,0))&amp;"","")</f>
        <v/>
      </c>
    </row>
    <row r="85" ht="28" customHeight="1">
      <c r="A85" s="47">
        <f>IF($H85="","",IF($H85=$H84,"",$H85))</f>
        <v/>
      </c>
      <c r="B85" s="30">
        <f>IF(N($K85)=0,"",TEXT(HOUR($K85),"00")&amp;":"&amp;TEXT(MINUTE($K85),"00"))</f>
        <v/>
      </c>
      <c r="C85" s="31">
        <f>$L85</f>
        <v/>
      </c>
      <c r="D85" s="32">
        <f>$I85</f>
        <v/>
      </c>
      <c r="E85" s="33" t="n"/>
      <c r="F85" s="34">
        <f>$J85</f>
        <v/>
      </c>
      <c r="H85">
        <f>IFERROR(INDEX('שיבוץ'!$B$3:$B$152,MATCH('קבוצות'!$A$6&amp;"|"&amp;6,'שיבוץ'!$K$3:$K$152,0))&amp;"","")</f>
        <v/>
      </c>
      <c r="I85">
        <f>IFERROR(INDEX('שיבוץ'!$D$3:$D$152,MATCH('קבוצות'!$A$6&amp;"|"&amp;6,'שיבוץ'!$K$3:$K$152,0))&amp;"","")</f>
        <v/>
      </c>
      <c r="J85">
        <f>IFERROR(INDEX('שיבוץ'!$F$3:$F$152,MATCH('קבוצות'!$A$6&amp;"|"&amp;6,'שיבוץ'!$K$3:$K$152,0))&amp;"","")</f>
        <v/>
      </c>
      <c r="K85">
        <f>IFERROR(INDEX('שיבוץ'!$C$3:$C$152,MATCH('קבוצות'!$A$6&amp;"|"&amp;6,'שיבוץ'!$K$3:$K$152,0)),"")</f>
        <v/>
      </c>
      <c r="L85">
        <f>IFERROR(INDEX('שיבוץ'!$E$3:$E$152,MATCH('קבוצות'!$A$6&amp;"|"&amp;6,'שיבוץ'!$K$3:$K$152,0))&amp;"","")</f>
        <v/>
      </c>
    </row>
    <row r="86" ht="28" customHeight="1">
      <c r="A86" s="47">
        <f>IF($H86="","",IF($H86=$H85,"",$H86))</f>
        <v/>
      </c>
      <c r="B86" s="30">
        <f>IF(N($K86)=0,"",TEXT(HOUR($K86),"00")&amp;":"&amp;TEXT(MINUTE($K86),"00"))</f>
        <v/>
      </c>
      <c r="C86" s="31">
        <f>$L86</f>
        <v/>
      </c>
      <c r="D86" s="32">
        <f>$I86</f>
        <v/>
      </c>
      <c r="E86" s="33" t="n"/>
      <c r="F86" s="34">
        <f>$J86</f>
        <v/>
      </c>
      <c r="H86">
        <f>IFERROR(INDEX('שיבוץ'!$B$3:$B$152,MATCH('קבוצות'!$A$6&amp;"|"&amp;7,'שיבוץ'!$K$3:$K$152,0))&amp;"","")</f>
        <v/>
      </c>
      <c r="I86">
        <f>IFERROR(INDEX('שיבוץ'!$D$3:$D$152,MATCH('קבוצות'!$A$6&amp;"|"&amp;7,'שיבוץ'!$K$3:$K$152,0))&amp;"","")</f>
        <v/>
      </c>
      <c r="J86">
        <f>IFERROR(INDEX('שיבוץ'!$F$3:$F$152,MATCH('קבוצות'!$A$6&amp;"|"&amp;7,'שיבוץ'!$K$3:$K$152,0))&amp;"","")</f>
        <v/>
      </c>
      <c r="K86">
        <f>IFERROR(INDEX('שיבוץ'!$C$3:$C$152,MATCH('קבוצות'!$A$6&amp;"|"&amp;7,'שיבוץ'!$K$3:$K$152,0)),"")</f>
        <v/>
      </c>
      <c r="L86">
        <f>IFERROR(INDEX('שיבוץ'!$E$3:$E$152,MATCH('קבוצות'!$A$6&amp;"|"&amp;7,'שיבוץ'!$K$3:$K$152,0))&amp;"","")</f>
        <v/>
      </c>
    </row>
    <row r="87" ht="28" customHeight="1">
      <c r="A87" s="47">
        <f>IF($H87="","",IF($H87=$H86,"",$H87))</f>
        <v/>
      </c>
      <c r="B87" s="30">
        <f>IF(N($K87)=0,"",TEXT(HOUR($K87),"00")&amp;":"&amp;TEXT(MINUTE($K87),"00"))</f>
        <v/>
      </c>
      <c r="C87" s="31">
        <f>$L87</f>
        <v/>
      </c>
      <c r="D87" s="32">
        <f>$I87</f>
        <v/>
      </c>
      <c r="E87" s="33" t="n"/>
      <c r="F87" s="34">
        <f>$J87</f>
        <v/>
      </c>
      <c r="H87">
        <f>IFERROR(INDEX('שיבוץ'!$B$3:$B$152,MATCH('קבוצות'!$A$6&amp;"|"&amp;8,'שיבוץ'!$K$3:$K$152,0))&amp;"","")</f>
        <v/>
      </c>
      <c r="I87">
        <f>IFERROR(INDEX('שיבוץ'!$D$3:$D$152,MATCH('קבוצות'!$A$6&amp;"|"&amp;8,'שיבוץ'!$K$3:$K$152,0))&amp;"","")</f>
        <v/>
      </c>
      <c r="J87">
        <f>IFERROR(INDEX('שיבוץ'!$F$3:$F$152,MATCH('קבוצות'!$A$6&amp;"|"&amp;8,'שיבוץ'!$K$3:$K$152,0))&amp;"","")</f>
        <v/>
      </c>
      <c r="K87">
        <f>IFERROR(INDEX('שיבוץ'!$C$3:$C$152,MATCH('קבוצות'!$A$6&amp;"|"&amp;8,'שיבוץ'!$K$3:$K$152,0)),"")</f>
        <v/>
      </c>
      <c r="L87">
        <f>IFERROR(INDEX('שיבוץ'!$E$3:$E$152,MATCH('קבוצות'!$A$6&amp;"|"&amp;8,'שיבוץ'!$K$3:$K$152,0))&amp;"","")</f>
        <v/>
      </c>
    </row>
    <row r="88" ht="28" customHeight="1">
      <c r="A88" s="47">
        <f>IF($H88="","",IF($H88=$H87,"",$H88))</f>
        <v/>
      </c>
      <c r="B88" s="30">
        <f>IF(N($K88)=0,"",TEXT(HOUR($K88),"00")&amp;":"&amp;TEXT(MINUTE($K88),"00"))</f>
        <v/>
      </c>
      <c r="C88" s="31">
        <f>$L88</f>
        <v/>
      </c>
      <c r="D88" s="32">
        <f>$I88</f>
        <v/>
      </c>
      <c r="E88" s="33" t="n"/>
      <c r="F88" s="34">
        <f>$J88</f>
        <v/>
      </c>
      <c r="H88">
        <f>IFERROR(INDEX('שיבוץ'!$B$3:$B$152,MATCH('קבוצות'!$A$6&amp;"|"&amp;9,'שיבוץ'!$K$3:$K$152,0))&amp;"","")</f>
        <v/>
      </c>
      <c r="I88">
        <f>IFERROR(INDEX('שיבוץ'!$D$3:$D$152,MATCH('קבוצות'!$A$6&amp;"|"&amp;9,'שיבוץ'!$K$3:$K$152,0))&amp;"","")</f>
        <v/>
      </c>
      <c r="J88">
        <f>IFERROR(INDEX('שיבוץ'!$F$3:$F$152,MATCH('קבוצות'!$A$6&amp;"|"&amp;9,'שיבוץ'!$K$3:$K$152,0))&amp;"","")</f>
        <v/>
      </c>
      <c r="K88">
        <f>IFERROR(INDEX('שיבוץ'!$C$3:$C$152,MATCH('קבוצות'!$A$6&amp;"|"&amp;9,'שיבוץ'!$K$3:$K$152,0)),"")</f>
        <v/>
      </c>
      <c r="L88">
        <f>IFERROR(INDEX('שיבוץ'!$E$3:$E$152,MATCH('קבוצות'!$A$6&amp;"|"&amp;9,'שיבוץ'!$K$3:$K$152,0))&amp;"","")</f>
        <v/>
      </c>
    </row>
    <row r="89" ht="28" customHeight="1">
      <c r="A89" s="47">
        <f>IF($H89="","",IF($H89=$H88,"",$H89))</f>
        <v/>
      </c>
      <c r="B89" s="30">
        <f>IF(N($K89)=0,"",TEXT(HOUR($K89),"00")&amp;":"&amp;TEXT(MINUTE($K89),"00"))</f>
        <v/>
      </c>
      <c r="C89" s="31">
        <f>$L89</f>
        <v/>
      </c>
      <c r="D89" s="32">
        <f>$I89</f>
        <v/>
      </c>
      <c r="E89" s="33" t="n"/>
      <c r="F89" s="34">
        <f>$J89</f>
        <v/>
      </c>
      <c r="H89">
        <f>IFERROR(INDEX('שיבוץ'!$B$3:$B$152,MATCH('קבוצות'!$A$6&amp;"|"&amp;10,'שיבוץ'!$K$3:$K$152,0))&amp;"","")</f>
        <v/>
      </c>
      <c r="I89">
        <f>IFERROR(INDEX('שיבוץ'!$D$3:$D$152,MATCH('קבוצות'!$A$6&amp;"|"&amp;10,'שיבוץ'!$K$3:$K$152,0))&amp;"","")</f>
        <v/>
      </c>
      <c r="J89">
        <f>IFERROR(INDEX('שיבוץ'!$F$3:$F$152,MATCH('קבוצות'!$A$6&amp;"|"&amp;10,'שיבוץ'!$K$3:$K$152,0))&amp;"","")</f>
        <v/>
      </c>
      <c r="K89">
        <f>IFERROR(INDEX('שיבוץ'!$C$3:$C$152,MATCH('קבוצות'!$A$6&amp;"|"&amp;10,'שיבוץ'!$K$3:$K$152,0)),"")</f>
        <v/>
      </c>
      <c r="L89">
        <f>IFERROR(INDEX('שיבוץ'!$E$3:$E$152,MATCH('קבוצות'!$A$6&amp;"|"&amp;10,'שיבוץ'!$K$3:$K$152,0))&amp;"","")</f>
        <v/>
      </c>
    </row>
    <row r="90" ht="28" customHeight="1">
      <c r="A90" s="47">
        <f>IF($H90="","",IF($H90=$H89,"",$H90))</f>
        <v/>
      </c>
      <c r="B90" s="30">
        <f>IF(N($K90)=0,"",TEXT(HOUR($K90),"00")&amp;":"&amp;TEXT(MINUTE($K90),"00"))</f>
        <v/>
      </c>
      <c r="C90" s="31">
        <f>$L90</f>
        <v/>
      </c>
      <c r="D90" s="32">
        <f>$I90</f>
        <v/>
      </c>
      <c r="E90" s="33" t="n"/>
      <c r="F90" s="34">
        <f>$J90</f>
        <v/>
      </c>
      <c r="H90">
        <f>IFERROR(INDEX('שיבוץ'!$B$3:$B$152,MATCH('קבוצות'!$A$6&amp;"|"&amp;11,'שיבוץ'!$K$3:$K$152,0))&amp;"","")</f>
        <v/>
      </c>
      <c r="I90">
        <f>IFERROR(INDEX('שיבוץ'!$D$3:$D$152,MATCH('קבוצות'!$A$6&amp;"|"&amp;11,'שיבוץ'!$K$3:$K$152,0))&amp;"","")</f>
        <v/>
      </c>
      <c r="J90">
        <f>IFERROR(INDEX('שיבוץ'!$F$3:$F$152,MATCH('קבוצות'!$A$6&amp;"|"&amp;11,'שיבוץ'!$K$3:$K$152,0))&amp;"","")</f>
        <v/>
      </c>
      <c r="K90">
        <f>IFERROR(INDEX('שיבוץ'!$C$3:$C$152,MATCH('קבוצות'!$A$6&amp;"|"&amp;11,'שיבוץ'!$K$3:$K$152,0)),"")</f>
        <v/>
      </c>
      <c r="L90">
        <f>IFERROR(INDEX('שיבוץ'!$E$3:$E$152,MATCH('קבוצות'!$A$6&amp;"|"&amp;11,'שיבוץ'!$K$3:$K$152,0))&amp;"","")</f>
        <v/>
      </c>
    </row>
    <row r="91" ht="28" customHeight="1">
      <c r="A91" s="47">
        <f>IF($H91="","",IF($H91=$H90,"",$H91))</f>
        <v/>
      </c>
      <c r="B91" s="30">
        <f>IF(N($K91)=0,"",TEXT(HOUR($K91),"00")&amp;":"&amp;TEXT(MINUTE($K91),"00"))</f>
        <v/>
      </c>
      <c r="C91" s="31">
        <f>$L91</f>
        <v/>
      </c>
      <c r="D91" s="32">
        <f>$I91</f>
        <v/>
      </c>
      <c r="E91" s="33" t="n"/>
      <c r="F91" s="34">
        <f>$J91</f>
        <v/>
      </c>
      <c r="H91">
        <f>IFERROR(INDEX('שיבוץ'!$B$3:$B$152,MATCH('קבוצות'!$A$6&amp;"|"&amp;12,'שיבוץ'!$K$3:$K$152,0))&amp;"","")</f>
        <v/>
      </c>
      <c r="I91">
        <f>IFERROR(INDEX('שיבוץ'!$D$3:$D$152,MATCH('קבוצות'!$A$6&amp;"|"&amp;12,'שיבוץ'!$K$3:$K$152,0))&amp;"","")</f>
        <v/>
      </c>
      <c r="J91">
        <f>IFERROR(INDEX('שיבוץ'!$F$3:$F$152,MATCH('קבוצות'!$A$6&amp;"|"&amp;12,'שיבוץ'!$K$3:$K$152,0))&amp;"","")</f>
        <v/>
      </c>
      <c r="K91">
        <f>IFERROR(INDEX('שיבוץ'!$C$3:$C$152,MATCH('קבוצות'!$A$6&amp;"|"&amp;12,'שיבוץ'!$K$3:$K$152,0)),"")</f>
        <v/>
      </c>
      <c r="L91">
        <f>IFERROR(INDEX('שיבוץ'!$E$3:$E$152,MATCH('קבוצות'!$A$6&amp;"|"&amp;12,'שיבוץ'!$K$3:$K$152,0))&amp;"","")</f>
        <v/>
      </c>
    </row>
    <row r="92" ht="28" customHeight="1">
      <c r="A92" s="47">
        <f>IF($H92="","",IF($H92=$H91,"",$H92))</f>
        <v/>
      </c>
      <c r="B92" s="30">
        <f>IF(N($K92)=0,"",TEXT(HOUR($K92),"00")&amp;":"&amp;TEXT(MINUTE($K92),"00"))</f>
        <v/>
      </c>
      <c r="C92" s="31">
        <f>$L92</f>
        <v/>
      </c>
      <c r="D92" s="32">
        <f>$I92</f>
        <v/>
      </c>
      <c r="E92" s="33" t="n"/>
      <c r="F92" s="34">
        <f>$J92</f>
        <v/>
      </c>
      <c r="H92">
        <f>IFERROR(INDEX('שיבוץ'!$B$3:$B$152,MATCH('קבוצות'!$A$6&amp;"|"&amp;13,'שיבוץ'!$K$3:$K$152,0))&amp;"","")</f>
        <v/>
      </c>
      <c r="I92">
        <f>IFERROR(INDEX('שיבוץ'!$D$3:$D$152,MATCH('קבוצות'!$A$6&amp;"|"&amp;13,'שיבוץ'!$K$3:$K$152,0))&amp;"","")</f>
        <v/>
      </c>
      <c r="J92">
        <f>IFERROR(INDEX('שיבוץ'!$F$3:$F$152,MATCH('קבוצות'!$A$6&amp;"|"&amp;13,'שיבוץ'!$K$3:$K$152,0))&amp;"","")</f>
        <v/>
      </c>
      <c r="K92">
        <f>IFERROR(INDEX('שיבוץ'!$C$3:$C$152,MATCH('קבוצות'!$A$6&amp;"|"&amp;13,'שיבוץ'!$K$3:$K$152,0)),"")</f>
        <v/>
      </c>
      <c r="L92">
        <f>IFERROR(INDEX('שיבוץ'!$E$3:$E$152,MATCH('קבוצות'!$A$6&amp;"|"&amp;13,'שיבוץ'!$K$3:$K$152,0))&amp;"","")</f>
        <v/>
      </c>
    </row>
    <row r="93" ht="28" customHeight="1">
      <c r="A93" s="47">
        <f>IF($H93="","",IF($H93=$H92,"",$H93))</f>
        <v/>
      </c>
      <c r="B93" s="30">
        <f>IF(N($K93)=0,"",TEXT(HOUR($K93),"00")&amp;":"&amp;TEXT(MINUTE($K93),"00"))</f>
        <v/>
      </c>
      <c r="C93" s="31">
        <f>$L93</f>
        <v/>
      </c>
      <c r="D93" s="32">
        <f>$I93</f>
        <v/>
      </c>
      <c r="E93" s="33" t="n"/>
      <c r="F93" s="34">
        <f>$J93</f>
        <v/>
      </c>
      <c r="H93">
        <f>IFERROR(INDEX('שיבוץ'!$B$3:$B$152,MATCH('קבוצות'!$A$6&amp;"|"&amp;14,'שיבוץ'!$K$3:$K$152,0))&amp;"","")</f>
        <v/>
      </c>
      <c r="I93">
        <f>IFERROR(INDEX('שיבוץ'!$D$3:$D$152,MATCH('קבוצות'!$A$6&amp;"|"&amp;14,'שיבוץ'!$K$3:$K$152,0))&amp;"","")</f>
        <v/>
      </c>
      <c r="J93">
        <f>IFERROR(INDEX('שיבוץ'!$F$3:$F$152,MATCH('קבוצות'!$A$6&amp;"|"&amp;14,'שיבוץ'!$K$3:$K$152,0))&amp;"","")</f>
        <v/>
      </c>
      <c r="K93">
        <f>IFERROR(INDEX('שיבוץ'!$C$3:$C$152,MATCH('קבוצות'!$A$6&amp;"|"&amp;14,'שיבוץ'!$K$3:$K$152,0)),"")</f>
        <v/>
      </c>
      <c r="L93">
        <f>IFERROR(INDEX('שיבוץ'!$E$3:$E$152,MATCH('קבוצות'!$A$6&amp;"|"&amp;14,'שיבוץ'!$K$3:$K$152,0))&amp;"","")</f>
        <v/>
      </c>
    </row>
    <row r="94" ht="28" customHeight="1">
      <c r="A94" s="47">
        <f>IF($H94="","",IF($H94=$H93,"",$H94))</f>
        <v/>
      </c>
      <c r="B94" s="30">
        <f>IF(N($K94)=0,"",TEXT(HOUR($K94),"00")&amp;":"&amp;TEXT(MINUTE($K94),"00"))</f>
        <v/>
      </c>
      <c r="C94" s="31">
        <f>$L94</f>
        <v/>
      </c>
      <c r="D94" s="32">
        <f>$I94</f>
        <v/>
      </c>
      <c r="E94" s="33" t="n"/>
      <c r="F94" s="34">
        <f>$J94</f>
        <v/>
      </c>
      <c r="H94">
        <f>IFERROR(INDEX('שיבוץ'!$B$3:$B$152,MATCH('קבוצות'!$A$6&amp;"|"&amp;15,'שיבוץ'!$K$3:$K$152,0))&amp;"","")</f>
        <v/>
      </c>
      <c r="I94">
        <f>IFERROR(INDEX('שיבוץ'!$D$3:$D$152,MATCH('קבוצות'!$A$6&amp;"|"&amp;15,'שיבוץ'!$K$3:$K$152,0))&amp;"","")</f>
        <v/>
      </c>
      <c r="J94">
        <f>IFERROR(INDEX('שיבוץ'!$F$3:$F$152,MATCH('קבוצות'!$A$6&amp;"|"&amp;15,'שיבוץ'!$K$3:$K$152,0))&amp;"","")</f>
        <v/>
      </c>
      <c r="K94">
        <f>IFERROR(INDEX('שיבוץ'!$C$3:$C$152,MATCH('קבוצות'!$A$6&amp;"|"&amp;15,'שיבוץ'!$K$3:$K$152,0)),"")</f>
        <v/>
      </c>
      <c r="L94">
        <f>IFERROR(INDEX('שיבוץ'!$E$3:$E$152,MATCH('קבוצות'!$A$6&amp;"|"&amp;15,'שיבוץ'!$K$3:$K$152,0))&amp;"","")</f>
        <v/>
      </c>
    </row>
    <row r="95" ht="28" customHeight="1">
      <c r="A95" s="47">
        <f>IF($H95="","",IF($H95=$H94,"",$H95))</f>
        <v/>
      </c>
      <c r="B95" s="30">
        <f>IF(N($K95)=0,"",TEXT(HOUR($K95),"00")&amp;":"&amp;TEXT(MINUTE($K95),"00"))</f>
        <v/>
      </c>
      <c r="C95" s="31">
        <f>$L95</f>
        <v/>
      </c>
      <c r="D95" s="32">
        <f>$I95</f>
        <v/>
      </c>
      <c r="E95" s="33" t="n"/>
      <c r="F95" s="34">
        <f>$J95</f>
        <v/>
      </c>
      <c r="H95">
        <f>IFERROR(INDEX('שיבוץ'!$B$3:$B$152,MATCH('קבוצות'!$A$6&amp;"|"&amp;16,'שיבוץ'!$K$3:$K$152,0))&amp;"","")</f>
        <v/>
      </c>
      <c r="I95">
        <f>IFERROR(INDEX('שיבוץ'!$D$3:$D$152,MATCH('קבוצות'!$A$6&amp;"|"&amp;16,'שיבוץ'!$K$3:$K$152,0))&amp;"","")</f>
        <v/>
      </c>
      <c r="J95">
        <f>IFERROR(INDEX('שיבוץ'!$F$3:$F$152,MATCH('קבוצות'!$A$6&amp;"|"&amp;16,'שיבוץ'!$K$3:$K$152,0))&amp;"","")</f>
        <v/>
      </c>
      <c r="K95">
        <f>IFERROR(INDEX('שיבוץ'!$C$3:$C$152,MATCH('קבוצות'!$A$6&amp;"|"&amp;16,'שיבוץ'!$K$3:$K$152,0)),"")</f>
        <v/>
      </c>
      <c r="L95">
        <f>IFERROR(INDEX('שיבוץ'!$E$3:$E$152,MATCH('קבוצות'!$A$6&amp;"|"&amp;16,'שיבוץ'!$K$3:$K$152,0))&amp;"","")</f>
        <v/>
      </c>
    </row>
    <row r="96" ht="28" customHeight="1">
      <c r="A96" s="47">
        <f>IF($H96="","",IF($H96=$H95,"",$H96))</f>
        <v/>
      </c>
      <c r="B96" s="30">
        <f>IF(N($K96)=0,"",TEXT(HOUR($K96),"00")&amp;":"&amp;TEXT(MINUTE($K96),"00"))</f>
        <v/>
      </c>
      <c r="C96" s="31">
        <f>$L96</f>
        <v/>
      </c>
      <c r="D96" s="32">
        <f>$I96</f>
        <v/>
      </c>
      <c r="E96" s="33" t="n"/>
      <c r="F96" s="34">
        <f>$J96</f>
        <v/>
      </c>
      <c r="H96">
        <f>IFERROR(INDEX('שיבוץ'!$B$3:$B$152,MATCH('קבוצות'!$A$6&amp;"|"&amp;17,'שיבוץ'!$K$3:$K$152,0))&amp;"","")</f>
        <v/>
      </c>
      <c r="I96">
        <f>IFERROR(INDEX('שיבוץ'!$D$3:$D$152,MATCH('קבוצות'!$A$6&amp;"|"&amp;17,'שיבוץ'!$K$3:$K$152,0))&amp;"","")</f>
        <v/>
      </c>
      <c r="J96">
        <f>IFERROR(INDEX('שיבוץ'!$F$3:$F$152,MATCH('קבוצות'!$A$6&amp;"|"&amp;17,'שיבוץ'!$K$3:$K$152,0))&amp;"","")</f>
        <v/>
      </c>
      <c r="K96">
        <f>IFERROR(INDEX('שיבוץ'!$C$3:$C$152,MATCH('קבוצות'!$A$6&amp;"|"&amp;17,'שיבוץ'!$K$3:$K$152,0)),"")</f>
        <v/>
      </c>
      <c r="L96">
        <f>IFERROR(INDEX('שיבוץ'!$E$3:$E$152,MATCH('קבוצות'!$A$6&amp;"|"&amp;17,'שיבוץ'!$K$3:$K$152,0))&amp;"","")</f>
        <v/>
      </c>
    </row>
    <row r="97" ht="28" customHeight="1">
      <c r="A97" s="47">
        <f>IF($H97="","",IF($H97=$H96,"",$H97))</f>
        <v/>
      </c>
      <c r="B97" s="30">
        <f>IF(N($K97)=0,"",TEXT(HOUR($K97),"00")&amp;":"&amp;TEXT(MINUTE($K97),"00"))</f>
        <v/>
      </c>
      <c r="C97" s="31">
        <f>$L97</f>
        <v/>
      </c>
      <c r="D97" s="32">
        <f>$I97</f>
        <v/>
      </c>
      <c r="E97" s="33" t="n"/>
      <c r="F97" s="34">
        <f>$J97</f>
        <v/>
      </c>
      <c r="H97">
        <f>IFERROR(INDEX('שיבוץ'!$B$3:$B$152,MATCH('קבוצות'!$A$6&amp;"|"&amp;18,'שיבוץ'!$K$3:$K$152,0))&amp;"","")</f>
        <v/>
      </c>
      <c r="I97">
        <f>IFERROR(INDEX('שיבוץ'!$D$3:$D$152,MATCH('קבוצות'!$A$6&amp;"|"&amp;18,'שיבוץ'!$K$3:$K$152,0))&amp;"","")</f>
        <v/>
      </c>
      <c r="J97">
        <f>IFERROR(INDEX('שיבוץ'!$F$3:$F$152,MATCH('קבוצות'!$A$6&amp;"|"&amp;18,'שיבוץ'!$K$3:$K$152,0))&amp;"","")</f>
        <v/>
      </c>
      <c r="K97">
        <f>IFERROR(INDEX('שיבוץ'!$C$3:$C$152,MATCH('קבוצות'!$A$6&amp;"|"&amp;18,'שיבוץ'!$K$3:$K$152,0)),"")</f>
        <v/>
      </c>
      <c r="L97">
        <f>IFERROR(INDEX('שיבוץ'!$E$3:$E$152,MATCH('קבוצות'!$A$6&amp;"|"&amp;18,'שיבוץ'!$K$3:$K$152,0))&amp;"","")</f>
        <v/>
      </c>
    </row>
    <row r="98" ht="18" customHeight="1">
      <c r="A98" s="35">
        <f>IF(COUNTIF('שיבוץ'!$A$3:$A$152,'קבוצות'!$A$6)&gt;18,"⚠ לקבוצה יש עוד משימות שלא נכנסו לכרטיסייה — ראו «טופס נקי»","")</f>
        <v/>
      </c>
    </row>
    <row r="101" ht="42" customHeight="1">
      <c r="A101" s="48">
        <f>IF('קבוצות'!$A$7="","",'קבוצות'!$A$7)</f>
        <v/>
      </c>
    </row>
    <row r="102" ht="60" customHeight="1">
      <c r="A102" s="49">
        <f>IF('קבוצות'!$C$7="","",'קבוצות'!$C$7)</f>
        <v/>
      </c>
    </row>
    <row r="103" ht="20" customHeight="1">
      <c r="A10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04" ht="22" customHeight="1">
      <c r="A104" s="28" t="inlineStr">
        <is>
          <t>מתי</t>
        </is>
      </c>
      <c r="B104" s="28" t="inlineStr">
        <is>
          <t>שעה</t>
        </is>
      </c>
      <c r="C104" s="28" t="inlineStr">
        <is>
          <t>קטגוריה</t>
        </is>
      </c>
      <c r="D104" s="28" t="inlineStr">
        <is>
          <t>משימה</t>
        </is>
      </c>
      <c r="F104" s="28" t="inlineStr">
        <is>
          <t>פרטים</t>
        </is>
      </c>
    </row>
    <row r="105" ht="28" customHeight="1">
      <c r="A105" s="51">
        <f>IF($H105="","",IF($H105=$H104,"",$H105))</f>
        <v/>
      </c>
      <c r="B105" s="30">
        <f>IF(N($K105)=0,"",TEXT(HOUR($K105),"00")&amp;":"&amp;TEXT(MINUTE($K105),"00"))</f>
        <v/>
      </c>
      <c r="C105" s="31">
        <f>$L105</f>
        <v/>
      </c>
      <c r="D105" s="32">
        <f>$I105</f>
        <v/>
      </c>
      <c r="E105" s="33" t="n"/>
      <c r="F105" s="34">
        <f>$J105</f>
        <v/>
      </c>
      <c r="H105">
        <f>IFERROR(INDEX('שיבוץ'!$B$3:$B$152,MATCH('קבוצות'!$A$7&amp;"|"&amp;1,'שיבוץ'!$K$3:$K$152,0))&amp;"","")</f>
        <v/>
      </c>
      <c r="I105">
        <f>IFERROR(INDEX('שיבוץ'!$D$3:$D$152,MATCH('קבוצות'!$A$7&amp;"|"&amp;1,'שיבוץ'!$K$3:$K$152,0))&amp;"","")</f>
        <v/>
      </c>
      <c r="J105">
        <f>IFERROR(INDEX('שיבוץ'!$F$3:$F$152,MATCH('קבוצות'!$A$7&amp;"|"&amp;1,'שיבוץ'!$K$3:$K$152,0))&amp;"","")</f>
        <v/>
      </c>
      <c r="K105">
        <f>IFERROR(INDEX('שיבוץ'!$C$3:$C$152,MATCH('קבוצות'!$A$7&amp;"|"&amp;1,'שיבוץ'!$K$3:$K$152,0)),"")</f>
        <v/>
      </c>
      <c r="L105">
        <f>IFERROR(INDEX('שיבוץ'!$E$3:$E$152,MATCH('קבוצות'!$A$7&amp;"|"&amp;1,'שיבוץ'!$K$3:$K$152,0))&amp;"","")</f>
        <v/>
      </c>
    </row>
    <row r="106" ht="28" customHeight="1">
      <c r="A106" s="51">
        <f>IF($H106="","",IF($H106=$H105,"",$H106))</f>
        <v/>
      </c>
      <c r="B106" s="30">
        <f>IF(N($K106)=0,"",TEXT(HOUR($K106),"00")&amp;":"&amp;TEXT(MINUTE($K106),"00"))</f>
        <v/>
      </c>
      <c r="C106" s="31">
        <f>$L106</f>
        <v/>
      </c>
      <c r="D106" s="32">
        <f>$I106</f>
        <v/>
      </c>
      <c r="E106" s="33" t="n"/>
      <c r="F106" s="34">
        <f>$J106</f>
        <v/>
      </c>
      <c r="H106">
        <f>IFERROR(INDEX('שיבוץ'!$B$3:$B$152,MATCH('קבוצות'!$A$7&amp;"|"&amp;2,'שיבוץ'!$K$3:$K$152,0))&amp;"","")</f>
        <v/>
      </c>
      <c r="I106">
        <f>IFERROR(INDEX('שיבוץ'!$D$3:$D$152,MATCH('קבוצות'!$A$7&amp;"|"&amp;2,'שיבוץ'!$K$3:$K$152,0))&amp;"","")</f>
        <v/>
      </c>
      <c r="J106">
        <f>IFERROR(INDEX('שיבוץ'!$F$3:$F$152,MATCH('קבוצות'!$A$7&amp;"|"&amp;2,'שיבוץ'!$K$3:$K$152,0))&amp;"","")</f>
        <v/>
      </c>
      <c r="K106">
        <f>IFERROR(INDEX('שיבוץ'!$C$3:$C$152,MATCH('קבוצות'!$A$7&amp;"|"&amp;2,'שיבוץ'!$K$3:$K$152,0)),"")</f>
        <v/>
      </c>
      <c r="L106">
        <f>IFERROR(INDEX('שיבוץ'!$E$3:$E$152,MATCH('קבוצות'!$A$7&amp;"|"&amp;2,'שיבוץ'!$K$3:$K$152,0))&amp;"","")</f>
        <v/>
      </c>
    </row>
    <row r="107" ht="28" customHeight="1">
      <c r="A107" s="51">
        <f>IF($H107="","",IF($H107=$H106,"",$H107))</f>
        <v/>
      </c>
      <c r="B107" s="30">
        <f>IF(N($K107)=0,"",TEXT(HOUR($K107),"00")&amp;":"&amp;TEXT(MINUTE($K107),"00"))</f>
        <v/>
      </c>
      <c r="C107" s="31">
        <f>$L107</f>
        <v/>
      </c>
      <c r="D107" s="32">
        <f>$I107</f>
        <v/>
      </c>
      <c r="E107" s="33" t="n"/>
      <c r="F107" s="34">
        <f>$J107</f>
        <v/>
      </c>
      <c r="H107">
        <f>IFERROR(INDEX('שיבוץ'!$B$3:$B$152,MATCH('קבוצות'!$A$7&amp;"|"&amp;3,'שיבוץ'!$K$3:$K$152,0))&amp;"","")</f>
        <v/>
      </c>
      <c r="I107">
        <f>IFERROR(INDEX('שיבוץ'!$D$3:$D$152,MATCH('קבוצות'!$A$7&amp;"|"&amp;3,'שיבוץ'!$K$3:$K$152,0))&amp;"","")</f>
        <v/>
      </c>
      <c r="J107">
        <f>IFERROR(INDEX('שיבוץ'!$F$3:$F$152,MATCH('קבוצות'!$A$7&amp;"|"&amp;3,'שיבוץ'!$K$3:$K$152,0))&amp;"","")</f>
        <v/>
      </c>
      <c r="K107">
        <f>IFERROR(INDEX('שיבוץ'!$C$3:$C$152,MATCH('קבוצות'!$A$7&amp;"|"&amp;3,'שיבוץ'!$K$3:$K$152,0)),"")</f>
        <v/>
      </c>
      <c r="L107">
        <f>IFERROR(INDEX('שיבוץ'!$E$3:$E$152,MATCH('קבוצות'!$A$7&amp;"|"&amp;3,'שיבוץ'!$K$3:$K$152,0))&amp;"","")</f>
        <v/>
      </c>
    </row>
    <row r="108" ht="28" customHeight="1">
      <c r="A108" s="51">
        <f>IF($H108="","",IF($H108=$H107,"",$H108))</f>
        <v/>
      </c>
      <c r="B108" s="30">
        <f>IF(N($K108)=0,"",TEXT(HOUR($K108),"00")&amp;":"&amp;TEXT(MINUTE($K108),"00"))</f>
        <v/>
      </c>
      <c r="C108" s="31">
        <f>$L108</f>
        <v/>
      </c>
      <c r="D108" s="32">
        <f>$I108</f>
        <v/>
      </c>
      <c r="E108" s="33" t="n"/>
      <c r="F108" s="34">
        <f>$J108</f>
        <v/>
      </c>
      <c r="H108">
        <f>IFERROR(INDEX('שיבוץ'!$B$3:$B$152,MATCH('קבוצות'!$A$7&amp;"|"&amp;4,'שיבוץ'!$K$3:$K$152,0))&amp;"","")</f>
        <v/>
      </c>
      <c r="I108">
        <f>IFERROR(INDEX('שיבוץ'!$D$3:$D$152,MATCH('קבוצות'!$A$7&amp;"|"&amp;4,'שיבוץ'!$K$3:$K$152,0))&amp;"","")</f>
        <v/>
      </c>
      <c r="J108">
        <f>IFERROR(INDEX('שיבוץ'!$F$3:$F$152,MATCH('קבוצות'!$A$7&amp;"|"&amp;4,'שיבוץ'!$K$3:$K$152,0))&amp;"","")</f>
        <v/>
      </c>
      <c r="K108">
        <f>IFERROR(INDEX('שיבוץ'!$C$3:$C$152,MATCH('קבוצות'!$A$7&amp;"|"&amp;4,'שיבוץ'!$K$3:$K$152,0)),"")</f>
        <v/>
      </c>
      <c r="L108">
        <f>IFERROR(INDEX('שיבוץ'!$E$3:$E$152,MATCH('קבוצות'!$A$7&amp;"|"&amp;4,'שיבוץ'!$K$3:$K$152,0))&amp;"","")</f>
        <v/>
      </c>
    </row>
    <row r="109" ht="28" customHeight="1">
      <c r="A109" s="51">
        <f>IF($H109="","",IF($H109=$H108,"",$H109))</f>
        <v/>
      </c>
      <c r="B109" s="30">
        <f>IF(N($K109)=0,"",TEXT(HOUR($K109),"00")&amp;":"&amp;TEXT(MINUTE($K109),"00"))</f>
        <v/>
      </c>
      <c r="C109" s="31">
        <f>$L109</f>
        <v/>
      </c>
      <c r="D109" s="32">
        <f>$I109</f>
        <v/>
      </c>
      <c r="E109" s="33" t="n"/>
      <c r="F109" s="34">
        <f>$J109</f>
        <v/>
      </c>
      <c r="H109">
        <f>IFERROR(INDEX('שיבוץ'!$B$3:$B$152,MATCH('קבוצות'!$A$7&amp;"|"&amp;5,'שיבוץ'!$K$3:$K$152,0))&amp;"","")</f>
        <v/>
      </c>
      <c r="I109">
        <f>IFERROR(INDEX('שיבוץ'!$D$3:$D$152,MATCH('קבוצות'!$A$7&amp;"|"&amp;5,'שיבוץ'!$K$3:$K$152,0))&amp;"","")</f>
        <v/>
      </c>
      <c r="J109">
        <f>IFERROR(INDEX('שיבוץ'!$F$3:$F$152,MATCH('קבוצות'!$A$7&amp;"|"&amp;5,'שיבוץ'!$K$3:$K$152,0))&amp;"","")</f>
        <v/>
      </c>
      <c r="K109">
        <f>IFERROR(INDEX('שיבוץ'!$C$3:$C$152,MATCH('קבוצות'!$A$7&amp;"|"&amp;5,'שיבוץ'!$K$3:$K$152,0)),"")</f>
        <v/>
      </c>
      <c r="L109">
        <f>IFERROR(INDEX('שיבוץ'!$E$3:$E$152,MATCH('קבוצות'!$A$7&amp;"|"&amp;5,'שיבוץ'!$K$3:$K$152,0))&amp;"","")</f>
        <v/>
      </c>
    </row>
    <row r="110" ht="28" customHeight="1">
      <c r="A110" s="51">
        <f>IF($H110="","",IF($H110=$H109,"",$H110))</f>
        <v/>
      </c>
      <c r="B110" s="30">
        <f>IF(N($K110)=0,"",TEXT(HOUR($K110),"00")&amp;":"&amp;TEXT(MINUTE($K110),"00"))</f>
        <v/>
      </c>
      <c r="C110" s="31">
        <f>$L110</f>
        <v/>
      </c>
      <c r="D110" s="32">
        <f>$I110</f>
        <v/>
      </c>
      <c r="E110" s="33" t="n"/>
      <c r="F110" s="34">
        <f>$J110</f>
        <v/>
      </c>
      <c r="H110">
        <f>IFERROR(INDEX('שיבוץ'!$B$3:$B$152,MATCH('קבוצות'!$A$7&amp;"|"&amp;6,'שיבוץ'!$K$3:$K$152,0))&amp;"","")</f>
        <v/>
      </c>
      <c r="I110">
        <f>IFERROR(INDEX('שיבוץ'!$D$3:$D$152,MATCH('קבוצות'!$A$7&amp;"|"&amp;6,'שיבוץ'!$K$3:$K$152,0))&amp;"","")</f>
        <v/>
      </c>
      <c r="J110">
        <f>IFERROR(INDEX('שיבוץ'!$F$3:$F$152,MATCH('קבוצות'!$A$7&amp;"|"&amp;6,'שיבוץ'!$K$3:$K$152,0))&amp;"","")</f>
        <v/>
      </c>
      <c r="K110">
        <f>IFERROR(INDEX('שיבוץ'!$C$3:$C$152,MATCH('קבוצות'!$A$7&amp;"|"&amp;6,'שיבוץ'!$K$3:$K$152,0)),"")</f>
        <v/>
      </c>
      <c r="L110">
        <f>IFERROR(INDEX('שיבוץ'!$E$3:$E$152,MATCH('קבוצות'!$A$7&amp;"|"&amp;6,'שיבוץ'!$K$3:$K$152,0))&amp;"","")</f>
        <v/>
      </c>
    </row>
    <row r="111" ht="28" customHeight="1">
      <c r="A111" s="51">
        <f>IF($H111="","",IF($H111=$H110,"",$H111))</f>
        <v/>
      </c>
      <c r="B111" s="30">
        <f>IF(N($K111)=0,"",TEXT(HOUR($K111),"00")&amp;":"&amp;TEXT(MINUTE($K111),"00"))</f>
        <v/>
      </c>
      <c r="C111" s="31">
        <f>$L111</f>
        <v/>
      </c>
      <c r="D111" s="32">
        <f>$I111</f>
        <v/>
      </c>
      <c r="E111" s="33" t="n"/>
      <c r="F111" s="34">
        <f>$J111</f>
        <v/>
      </c>
      <c r="H111">
        <f>IFERROR(INDEX('שיבוץ'!$B$3:$B$152,MATCH('קבוצות'!$A$7&amp;"|"&amp;7,'שיבוץ'!$K$3:$K$152,0))&amp;"","")</f>
        <v/>
      </c>
      <c r="I111">
        <f>IFERROR(INDEX('שיבוץ'!$D$3:$D$152,MATCH('קבוצות'!$A$7&amp;"|"&amp;7,'שיבוץ'!$K$3:$K$152,0))&amp;"","")</f>
        <v/>
      </c>
      <c r="J111">
        <f>IFERROR(INDEX('שיבוץ'!$F$3:$F$152,MATCH('קבוצות'!$A$7&amp;"|"&amp;7,'שיבוץ'!$K$3:$K$152,0))&amp;"","")</f>
        <v/>
      </c>
      <c r="K111">
        <f>IFERROR(INDEX('שיבוץ'!$C$3:$C$152,MATCH('קבוצות'!$A$7&amp;"|"&amp;7,'שיבוץ'!$K$3:$K$152,0)),"")</f>
        <v/>
      </c>
      <c r="L111">
        <f>IFERROR(INDEX('שיבוץ'!$E$3:$E$152,MATCH('קבוצות'!$A$7&amp;"|"&amp;7,'שיבוץ'!$K$3:$K$152,0))&amp;"","")</f>
        <v/>
      </c>
    </row>
    <row r="112" ht="28" customHeight="1">
      <c r="A112" s="51">
        <f>IF($H112="","",IF($H112=$H111,"",$H112))</f>
        <v/>
      </c>
      <c r="B112" s="30">
        <f>IF(N($K112)=0,"",TEXT(HOUR($K112),"00")&amp;":"&amp;TEXT(MINUTE($K112),"00"))</f>
        <v/>
      </c>
      <c r="C112" s="31">
        <f>$L112</f>
        <v/>
      </c>
      <c r="D112" s="32">
        <f>$I112</f>
        <v/>
      </c>
      <c r="E112" s="33" t="n"/>
      <c r="F112" s="34">
        <f>$J112</f>
        <v/>
      </c>
      <c r="H112">
        <f>IFERROR(INDEX('שיבוץ'!$B$3:$B$152,MATCH('קבוצות'!$A$7&amp;"|"&amp;8,'שיבוץ'!$K$3:$K$152,0))&amp;"","")</f>
        <v/>
      </c>
      <c r="I112">
        <f>IFERROR(INDEX('שיבוץ'!$D$3:$D$152,MATCH('קבוצות'!$A$7&amp;"|"&amp;8,'שיבוץ'!$K$3:$K$152,0))&amp;"","")</f>
        <v/>
      </c>
      <c r="J112">
        <f>IFERROR(INDEX('שיבוץ'!$F$3:$F$152,MATCH('קבוצות'!$A$7&amp;"|"&amp;8,'שיבוץ'!$K$3:$K$152,0))&amp;"","")</f>
        <v/>
      </c>
      <c r="K112">
        <f>IFERROR(INDEX('שיבוץ'!$C$3:$C$152,MATCH('קבוצות'!$A$7&amp;"|"&amp;8,'שיבוץ'!$K$3:$K$152,0)),"")</f>
        <v/>
      </c>
      <c r="L112">
        <f>IFERROR(INDEX('שיבוץ'!$E$3:$E$152,MATCH('קבוצות'!$A$7&amp;"|"&amp;8,'שיבוץ'!$K$3:$K$152,0))&amp;"","")</f>
        <v/>
      </c>
    </row>
    <row r="113" ht="28" customHeight="1">
      <c r="A113" s="51">
        <f>IF($H113="","",IF($H113=$H112,"",$H113))</f>
        <v/>
      </c>
      <c r="B113" s="30">
        <f>IF(N($K113)=0,"",TEXT(HOUR($K113),"00")&amp;":"&amp;TEXT(MINUTE($K113),"00"))</f>
        <v/>
      </c>
      <c r="C113" s="31">
        <f>$L113</f>
        <v/>
      </c>
      <c r="D113" s="32">
        <f>$I113</f>
        <v/>
      </c>
      <c r="E113" s="33" t="n"/>
      <c r="F113" s="34">
        <f>$J113</f>
        <v/>
      </c>
      <c r="H113">
        <f>IFERROR(INDEX('שיבוץ'!$B$3:$B$152,MATCH('קבוצות'!$A$7&amp;"|"&amp;9,'שיבוץ'!$K$3:$K$152,0))&amp;"","")</f>
        <v/>
      </c>
      <c r="I113">
        <f>IFERROR(INDEX('שיבוץ'!$D$3:$D$152,MATCH('קבוצות'!$A$7&amp;"|"&amp;9,'שיבוץ'!$K$3:$K$152,0))&amp;"","")</f>
        <v/>
      </c>
      <c r="J113">
        <f>IFERROR(INDEX('שיבוץ'!$F$3:$F$152,MATCH('קבוצות'!$A$7&amp;"|"&amp;9,'שיבוץ'!$K$3:$K$152,0))&amp;"","")</f>
        <v/>
      </c>
      <c r="K113">
        <f>IFERROR(INDEX('שיבוץ'!$C$3:$C$152,MATCH('קבוצות'!$A$7&amp;"|"&amp;9,'שיבוץ'!$K$3:$K$152,0)),"")</f>
        <v/>
      </c>
      <c r="L113">
        <f>IFERROR(INDEX('שיבוץ'!$E$3:$E$152,MATCH('קבוצות'!$A$7&amp;"|"&amp;9,'שיבוץ'!$K$3:$K$152,0))&amp;"","")</f>
        <v/>
      </c>
    </row>
    <row r="114" ht="28" customHeight="1">
      <c r="A114" s="51">
        <f>IF($H114="","",IF($H114=$H113,"",$H114))</f>
        <v/>
      </c>
      <c r="B114" s="30">
        <f>IF(N($K114)=0,"",TEXT(HOUR($K114),"00")&amp;":"&amp;TEXT(MINUTE($K114),"00"))</f>
        <v/>
      </c>
      <c r="C114" s="31">
        <f>$L114</f>
        <v/>
      </c>
      <c r="D114" s="32">
        <f>$I114</f>
        <v/>
      </c>
      <c r="E114" s="33" t="n"/>
      <c r="F114" s="34">
        <f>$J114</f>
        <v/>
      </c>
      <c r="H114">
        <f>IFERROR(INDEX('שיבוץ'!$B$3:$B$152,MATCH('קבוצות'!$A$7&amp;"|"&amp;10,'שיבוץ'!$K$3:$K$152,0))&amp;"","")</f>
        <v/>
      </c>
      <c r="I114">
        <f>IFERROR(INDEX('שיבוץ'!$D$3:$D$152,MATCH('קבוצות'!$A$7&amp;"|"&amp;10,'שיבוץ'!$K$3:$K$152,0))&amp;"","")</f>
        <v/>
      </c>
      <c r="J114">
        <f>IFERROR(INDEX('שיבוץ'!$F$3:$F$152,MATCH('קבוצות'!$A$7&amp;"|"&amp;10,'שיבוץ'!$K$3:$K$152,0))&amp;"","")</f>
        <v/>
      </c>
      <c r="K114">
        <f>IFERROR(INDEX('שיבוץ'!$C$3:$C$152,MATCH('קבוצות'!$A$7&amp;"|"&amp;10,'שיבוץ'!$K$3:$K$152,0)),"")</f>
        <v/>
      </c>
      <c r="L114">
        <f>IFERROR(INDEX('שיבוץ'!$E$3:$E$152,MATCH('קבוצות'!$A$7&amp;"|"&amp;10,'שיבוץ'!$K$3:$K$152,0))&amp;"","")</f>
        <v/>
      </c>
    </row>
    <row r="115" ht="28" customHeight="1">
      <c r="A115" s="51">
        <f>IF($H115="","",IF($H115=$H114,"",$H115))</f>
        <v/>
      </c>
      <c r="B115" s="30">
        <f>IF(N($K115)=0,"",TEXT(HOUR($K115),"00")&amp;":"&amp;TEXT(MINUTE($K115),"00"))</f>
        <v/>
      </c>
      <c r="C115" s="31">
        <f>$L115</f>
        <v/>
      </c>
      <c r="D115" s="32">
        <f>$I115</f>
        <v/>
      </c>
      <c r="E115" s="33" t="n"/>
      <c r="F115" s="34">
        <f>$J115</f>
        <v/>
      </c>
      <c r="H115">
        <f>IFERROR(INDEX('שיבוץ'!$B$3:$B$152,MATCH('קבוצות'!$A$7&amp;"|"&amp;11,'שיבוץ'!$K$3:$K$152,0))&amp;"","")</f>
        <v/>
      </c>
      <c r="I115">
        <f>IFERROR(INDEX('שיבוץ'!$D$3:$D$152,MATCH('קבוצות'!$A$7&amp;"|"&amp;11,'שיבוץ'!$K$3:$K$152,0))&amp;"","")</f>
        <v/>
      </c>
      <c r="J115">
        <f>IFERROR(INDEX('שיבוץ'!$F$3:$F$152,MATCH('קבוצות'!$A$7&amp;"|"&amp;11,'שיבוץ'!$K$3:$K$152,0))&amp;"","")</f>
        <v/>
      </c>
      <c r="K115">
        <f>IFERROR(INDEX('שיבוץ'!$C$3:$C$152,MATCH('קבוצות'!$A$7&amp;"|"&amp;11,'שיבוץ'!$K$3:$K$152,0)),"")</f>
        <v/>
      </c>
      <c r="L115">
        <f>IFERROR(INDEX('שיבוץ'!$E$3:$E$152,MATCH('קבוצות'!$A$7&amp;"|"&amp;11,'שיבוץ'!$K$3:$K$152,0))&amp;"","")</f>
        <v/>
      </c>
    </row>
    <row r="116" ht="28" customHeight="1">
      <c r="A116" s="51">
        <f>IF($H116="","",IF($H116=$H115,"",$H116))</f>
        <v/>
      </c>
      <c r="B116" s="30">
        <f>IF(N($K116)=0,"",TEXT(HOUR($K116),"00")&amp;":"&amp;TEXT(MINUTE($K116),"00"))</f>
        <v/>
      </c>
      <c r="C116" s="31">
        <f>$L116</f>
        <v/>
      </c>
      <c r="D116" s="32">
        <f>$I116</f>
        <v/>
      </c>
      <c r="E116" s="33" t="n"/>
      <c r="F116" s="34">
        <f>$J116</f>
        <v/>
      </c>
      <c r="H116">
        <f>IFERROR(INDEX('שיבוץ'!$B$3:$B$152,MATCH('קבוצות'!$A$7&amp;"|"&amp;12,'שיבוץ'!$K$3:$K$152,0))&amp;"","")</f>
        <v/>
      </c>
      <c r="I116">
        <f>IFERROR(INDEX('שיבוץ'!$D$3:$D$152,MATCH('קבוצות'!$A$7&amp;"|"&amp;12,'שיבוץ'!$K$3:$K$152,0))&amp;"","")</f>
        <v/>
      </c>
      <c r="J116">
        <f>IFERROR(INDEX('שיבוץ'!$F$3:$F$152,MATCH('קבוצות'!$A$7&amp;"|"&amp;12,'שיבוץ'!$K$3:$K$152,0))&amp;"","")</f>
        <v/>
      </c>
      <c r="K116">
        <f>IFERROR(INDEX('שיבוץ'!$C$3:$C$152,MATCH('קבוצות'!$A$7&amp;"|"&amp;12,'שיבוץ'!$K$3:$K$152,0)),"")</f>
        <v/>
      </c>
      <c r="L116">
        <f>IFERROR(INDEX('שיבוץ'!$E$3:$E$152,MATCH('קבוצות'!$A$7&amp;"|"&amp;12,'שיבוץ'!$K$3:$K$152,0))&amp;"","")</f>
        <v/>
      </c>
    </row>
    <row r="117" ht="28" customHeight="1">
      <c r="A117" s="51">
        <f>IF($H117="","",IF($H117=$H116,"",$H117))</f>
        <v/>
      </c>
      <c r="B117" s="30">
        <f>IF(N($K117)=0,"",TEXT(HOUR($K117),"00")&amp;":"&amp;TEXT(MINUTE($K117),"00"))</f>
        <v/>
      </c>
      <c r="C117" s="31">
        <f>$L117</f>
        <v/>
      </c>
      <c r="D117" s="32">
        <f>$I117</f>
        <v/>
      </c>
      <c r="E117" s="33" t="n"/>
      <c r="F117" s="34">
        <f>$J117</f>
        <v/>
      </c>
      <c r="H117">
        <f>IFERROR(INDEX('שיבוץ'!$B$3:$B$152,MATCH('קבוצות'!$A$7&amp;"|"&amp;13,'שיבוץ'!$K$3:$K$152,0))&amp;"","")</f>
        <v/>
      </c>
      <c r="I117">
        <f>IFERROR(INDEX('שיבוץ'!$D$3:$D$152,MATCH('קבוצות'!$A$7&amp;"|"&amp;13,'שיבוץ'!$K$3:$K$152,0))&amp;"","")</f>
        <v/>
      </c>
      <c r="J117">
        <f>IFERROR(INDEX('שיבוץ'!$F$3:$F$152,MATCH('קבוצות'!$A$7&amp;"|"&amp;13,'שיבוץ'!$K$3:$K$152,0))&amp;"","")</f>
        <v/>
      </c>
      <c r="K117">
        <f>IFERROR(INDEX('שיבוץ'!$C$3:$C$152,MATCH('קבוצות'!$A$7&amp;"|"&amp;13,'שיבוץ'!$K$3:$K$152,0)),"")</f>
        <v/>
      </c>
      <c r="L117">
        <f>IFERROR(INDEX('שיבוץ'!$E$3:$E$152,MATCH('קבוצות'!$A$7&amp;"|"&amp;13,'שיבוץ'!$K$3:$K$152,0))&amp;"","")</f>
        <v/>
      </c>
    </row>
    <row r="118" ht="28" customHeight="1">
      <c r="A118" s="51">
        <f>IF($H118="","",IF($H118=$H117,"",$H118))</f>
        <v/>
      </c>
      <c r="B118" s="30">
        <f>IF(N($K118)=0,"",TEXT(HOUR($K118),"00")&amp;":"&amp;TEXT(MINUTE($K118),"00"))</f>
        <v/>
      </c>
      <c r="C118" s="31">
        <f>$L118</f>
        <v/>
      </c>
      <c r="D118" s="32">
        <f>$I118</f>
        <v/>
      </c>
      <c r="E118" s="33" t="n"/>
      <c r="F118" s="34">
        <f>$J118</f>
        <v/>
      </c>
      <c r="H118">
        <f>IFERROR(INDEX('שיבוץ'!$B$3:$B$152,MATCH('קבוצות'!$A$7&amp;"|"&amp;14,'שיבוץ'!$K$3:$K$152,0))&amp;"","")</f>
        <v/>
      </c>
      <c r="I118">
        <f>IFERROR(INDEX('שיבוץ'!$D$3:$D$152,MATCH('קבוצות'!$A$7&amp;"|"&amp;14,'שיבוץ'!$K$3:$K$152,0))&amp;"","")</f>
        <v/>
      </c>
      <c r="J118">
        <f>IFERROR(INDEX('שיבוץ'!$F$3:$F$152,MATCH('קבוצות'!$A$7&amp;"|"&amp;14,'שיבוץ'!$K$3:$K$152,0))&amp;"","")</f>
        <v/>
      </c>
      <c r="K118">
        <f>IFERROR(INDEX('שיבוץ'!$C$3:$C$152,MATCH('קבוצות'!$A$7&amp;"|"&amp;14,'שיבוץ'!$K$3:$K$152,0)),"")</f>
        <v/>
      </c>
      <c r="L118">
        <f>IFERROR(INDEX('שיבוץ'!$E$3:$E$152,MATCH('קבוצות'!$A$7&amp;"|"&amp;14,'שיבוץ'!$K$3:$K$152,0))&amp;"","")</f>
        <v/>
      </c>
    </row>
    <row r="119" ht="28" customHeight="1">
      <c r="A119" s="51">
        <f>IF($H119="","",IF($H119=$H118,"",$H119))</f>
        <v/>
      </c>
      <c r="B119" s="30">
        <f>IF(N($K119)=0,"",TEXT(HOUR($K119),"00")&amp;":"&amp;TEXT(MINUTE($K119),"00"))</f>
        <v/>
      </c>
      <c r="C119" s="31">
        <f>$L119</f>
        <v/>
      </c>
      <c r="D119" s="32">
        <f>$I119</f>
        <v/>
      </c>
      <c r="E119" s="33" t="n"/>
      <c r="F119" s="34">
        <f>$J119</f>
        <v/>
      </c>
      <c r="H119">
        <f>IFERROR(INDEX('שיבוץ'!$B$3:$B$152,MATCH('קבוצות'!$A$7&amp;"|"&amp;15,'שיבוץ'!$K$3:$K$152,0))&amp;"","")</f>
        <v/>
      </c>
      <c r="I119">
        <f>IFERROR(INDEX('שיבוץ'!$D$3:$D$152,MATCH('קבוצות'!$A$7&amp;"|"&amp;15,'שיבוץ'!$K$3:$K$152,0))&amp;"","")</f>
        <v/>
      </c>
      <c r="J119">
        <f>IFERROR(INDEX('שיבוץ'!$F$3:$F$152,MATCH('קבוצות'!$A$7&amp;"|"&amp;15,'שיבוץ'!$K$3:$K$152,0))&amp;"","")</f>
        <v/>
      </c>
      <c r="K119">
        <f>IFERROR(INDEX('שיבוץ'!$C$3:$C$152,MATCH('קבוצות'!$A$7&amp;"|"&amp;15,'שיבוץ'!$K$3:$K$152,0)),"")</f>
        <v/>
      </c>
      <c r="L119">
        <f>IFERROR(INDEX('שיבוץ'!$E$3:$E$152,MATCH('קבוצות'!$A$7&amp;"|"&amp;15,'שיבוץ'!$K$3:$K$152,0))&amp;"","")</f>
        <v/>
      </c>
    </row>
    <row r="120" ht="28" customHeight="1">
      <c r="A120" s="51">
        <f>IF($H120="","",IF($H120=$H119,"",$H120))</f>
        <v/>
      </c>
      <c r="B120" s="30">
        <f>IF(N($K120)=0,"",TEXT(HOUR($K120),"00")&amp;":"&amp;TEXT(MINUTE($K120),"00"))</f>
        <v/>
      </c>
      <c r="C120" s="31">
        <f>$L120</f>
        <v/>
      </c>
      <c r="D120" s="32">
        <f>$I120</f>
        <v/>
      </c>
      <c r="E120" s="33" t="n"/>
      <c r="F120" s="34">
        <f>$J120</f>
        <v/>
      </c>
      <c r="H120">
        <f>IFERROR(INDEX('שיבוץ'!$B$3:$B$152,MATCH('קבוצות'!$A$7&amp;"|"&amp;16,'שיבוץ'!$K$3:$K$152,0))&amp;"","")</f>
        <v/>
      </c>
      <c r="I120">
        <f>IFERROR(INDEX('שיבוץ'!$D$3:$D$152,MATCH('קבוצות'!$A$7&amp;"|"&amp;16,'שיבוץ'!$K$3:$K$152,0))&amp;"","")</f>
        <v/>
      </c>
      <c r="J120">
        <f>IFERROR(INDEX('שיבוץ'!$F$3:$F$152,MATCH('קבוצות'!$A$7&amp;"|"&amp;16,'שיבוץ'!$K$3:$K$152,0))&amp;"","")</f>
        <v/>
      </c>
      <c r="K120">
        <f>IFERROR(INDEX('שיבוץ'!$C$3:$C$152,MATCH('קבוצות'!$A$7&amp;"|"&amp;16,'שיבוץ'!$K$3:$K$152,0)),"")</f>
        <v/>
      </c>
      <c r="L120">
        <f>IFERROR(INDEX('שיבוץ'!$E$3:$E$152,MATCH('קבוצות'!$A$7&amp;"|"&amp;16,'שיבוץ'!$K$3:$K$152,0))&amp;"","")</f>
        <v/>
      </c>
    </row>
    <row r="121" ht="28" customHeight="1">
      <c r="A121" s="51">
        <f>IF($H121="","",IF($H121=$H120,"",$H121))</f>
        <v/>
      </c>
      <c r="B121" s="30">
        <f>IF(N($K121)=0,"",TEXT(HOUR($K121),"00")&amp;":"&amp;TEXT(MINUTE($K121),"00"))</f>
        <v/>
      </c>
      <c r="C121" s="31">
        <f>$L121</f>
        <v/>
      </c>
      <c r="D121" s="32">
        <f>$I121</f>
        <v/>
      </c>
      <c r="E121" s="33" t="n"/>
      <c r="F121" s="34">
        <f>$J121</f>
        <v/>
      </c>
      <c r="H121">
        <f>IFERROR(INDEX('שיבוץ'!$B$3:$B$152,MATCH('קבוצות'!$A$7&amp;"|"&amp;17,'שיבוץ'!$K$3:$K$152,0))&amp;"","")</f>
        <v/>
      </c>
      <c r="I121">
        <f>IFERROR(INDEX('שיבוץ'!$D$3:$D$152,MATCH('קבוצות'!$A$7&amp;"|"&amp;17,'שיבוץ'!$K$3:$K$152,0))&amp;"","")</f>
        <v/>
      </c>
      <c r="J121">
        <f>IFERROR(INDEX('שיבוץ'!$F$3:$F$152,MATCH('קבוצות'!$A$7&amp;"|"&amp;17,'שיבוץ'!$K$3:$K$152,0))&amp;"","")</f>
        <v/>
      </c>
      <c r="K121">
        <f>IFERROR(INDEX('שיבוץ'!$C$3:$C$152,MATCH('קבוצות'!$A$7&amp;"|"&amp;17,'שיבוץ'!$K$3:$K$152,0)),"")</f>
        <v/>
      </c>
      <c r="L121">
        <f>IFERROR(INDEX('שיבוץ'!$E$3:$E$152,MATCH('קבוצות'!$A$7&amp;"|"&amp;17,'שיבוץ'!$K$3:$K$152,0))&amp;"","")</f>
        <v/>
      </c>
    </row>
    <row r="122" ht="28" customHeight="1">
      <c r="A122" s="51">
        <f>IF($H122="","",IF($H122=$H121,"",$H122))</f>
        <v/>
      </c>
      <c r="B122" s="30">
        <f>IF(N($K122)=0,"",TEXT(HOUR($K122),"00")&amp;":"&amp;TEXT(MINUTE($K122),"00"))</f>
        <v/>
      </c>
      <c r="C122" s="31">
        <f>$L122</f>
        <v/>
      </c>
      <c r="D122" s="32">
        <f>$I122</f>
        <v/>
      </c>
      <c r="E122" s="33" t="n"/>
      <c r="F122" s="34">
        <f>$J122</f>
        <v/>
      </c>
      <c r="H122">
        <f>IFERROR(INDEX('שיבוץ'!$B$3:$B$152,MATCH('קבוצות'!$A$7&amp;"|"&amp;18,'שיבוץ'!$K$3:$K$152,0))&amp;"","")</f>
        <v/>
      </c>
      <c r="I122">
        <f>IFERROR(INDEX('שיבוץ'!$D$3:$D$152,MATCH('קבוצות'!$A$7&amp;"|"&amp;18,'שיבוץ'!$K$3:$K$152,0))&amp;"","")</f>
        <v/>
      </c>
      <c r="J122">
        <f>IFERROR(INDEX('שיבוץ'!$F$3:$F$152,MATCH('קבוצות'!$A$7&amp;"|"&amp;18,'שיבוץ'!$K$3:$K$152,0))&amp;"","")</f>
        <v/>
      </c>
      <c r="K122">
        <f>IFERROR(INDEX('שיבוץ'!$C$3:$C$152,MATCH('קבוצות'!$A$7&amp;"|"&amp;18,'שיבוץ'!$K$3:$K$152,0)),"")</f>
        <v/>
      </c>
      <c r="L122">
        <f>IFERROR(INDEX('שיבוץ'!$E$3:$E$152,MATCH('קבוצות'!$A$7&amp;"|"&amp;18,'שיבוץ'!$K$3:$K$152,0))&amp;"","")</f>
        <v/>
      </c>
    </row>
    <row r="123" ht="18" customHeight="1">
      <c r="A123" s="35">
        <f>IF(COUNTIF('שיבוץ'!$A$3:$A$152,'קבוצות'!$A$7)&gt;18,"⚠ לקבוצה יש עוד משימות שלא נכנסו לכרטיסייה — ראו «טופס נקי»","")</f>
        <v/>
      </c>
    </row>
    <row r="126" ht="42" customHeight="1">
      <c r="A126" s="52">
        <f>IF('קבוצות'!$A$8="","",'קבוצות'!$A$8)</f>
        <v/>
      </c>
    </row>
    <row r="127" ht="60" customHeight="1">
      <c r="A127" s="53">
        <f>IF('קבוצות'!$C$8="","",'קבוצות'!$C$8)</f>
        <v/>
      </c>
    </row>
    <row r="128" ht="20" customHeight="1">
      <c r="A12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29" ht="22" customHeight="1">
      <c r="A129" s="28" t="inlineStr">
        <is>
          <t>מתי</t>
        </is>
      </c>
      <c r="B129" s="28" t="inlineStr">
        <is>
          <t>שעה</t>
        </is>
      </c>
      <c r="C129" s="28" t="inlineStr">
        <is>
          <t>קטגוריה</t>
        </is>
      </c>
      <c r="D129" s="28" t="inlineStr">
        <is>
          <t>משימה</t>
        </is>
      </c>
      <c r="F129" s="28" t="inlineStr">
        <is>
          <t>פרטים</t>
        </is>
      </c>
    </row>
    <row r="130" ht="28" customHeight="1">
      <c r="A130" s="55">
        <f>IF($H130="","",IF($H130=$H129,"",$H130))</f>
        <v/>
      </c>
      <c r="B130" s="30">
        <f>IF(N($K130)=0,"",TEXT(HOUR($K130),"00")&amp;":"&amp;TEXT(MINUTE($K130),"00"))</f>
        <v/>
      </c>
      <c r="C130" s="31">
        <f>$L130</f>
        <v/>
      </c>
      <c r="D130" s="32">
        <f>$I130</f>
        <v/>
      </c>
      <c r="E130" s="33" t="n"/>
      <c r="F130" s="34">
        <f>$J130</f>
        <v/>
      </c>
      <c r="H130">
        <f>IFERROR(INDEX('שיבוץ'!$B$3:$B$152,MATCH('קבוצות'!$A$8&amp;"|"&amp;1,'שיבוץ'!$K$3:$K$152,0))&amp;"","")</f>
        <v/>
      </c>
      <c r="I130">
        <f>IFERROR(INDEX('שיבוץ'!$D$3:$D$152,MATCH('קבוצות'!$A$8&amp;"|"&amp;1,'שיבוץ'!$K$3:$K$152,0))&amp;"","")</f>
        <v/>
      </c>
      <c r="J130">
        <f>IFERROR(INDEX('שיבוץ'!$F$3:$F$152,MATCH('קבוצות'!$A$8&amp;"|"&amp;1,'שיבוץ'!$K$3:$K$152,0))&amp;"","")</f>
        <v/>
      </c>
      <c r="K130">
        <f>IFERROR(INDEX('שיבוץ'!$C$3:$C$152,MATCH('קבוצות'!$A$8&amp;"|"&amp;1,'שיבוץ'!$K$3:$K$152,0)),"")</f>
        <v/>
      </c>
      <c r="L130">
        <f>IFERROR(INDEX('שיבוץ'!$E$3:$E$152,MATCH('קבוצות'!$A$8&amp;"|"&amp;1,'שיבוץ'!$K$3:$K$152,0))&amp;"","")</f>
        <v/>
      </c>
    </row>
    <row r="131" ht="28" customHeight="1">
      <c r="A131" s="55">
        <f>IF($H131="","",IF($H131=$H130,"",$H131))</f>
        <v/>
      </c>
      <c r="B131" s="30">
        <f>IF(N($K131)=0,"",TEXT(HOUR($K131),"00")&amp;":"&amp;TEXT(MINUTE($K131),"00"))</f>
        <v/>
      </c>
      <c r="C131" s="31">
        <f>$L131</f>
        <v/>
      </c>
      <c r="D131" s="32">
        <f>$I131</f>
        <v/>
      </c>
      <c r="E131" s="33" t="n"/>
      <c r="F131" s="34">
        <f>$J131</f>
        <v/>
      </c>
      <c r="H131">
        <f>IFERROR(INDEX('שיבוץ'!$B$3:$B$152,MATCH('קבוצות'!$A$8&amp;"|"&amp;2,'שיבוץ'!$K$3:$K$152,0))&amp;"","")</f>
        <v/>
      </c>
      <c r="I131">
        <f>IFERROR(INDEX('שיבוץ'!$D$3:$D$152,MATCH('קבוצות'!$A$8&amp;"|"&amp;2,'שיבוץ'!$K$3:$K$152,0))&amp;"","")</f>
        <v/>
      </c>
      <c r="J131">
        <f>IFERROR(INDEX('שיבוץ'!$F$3:$F$152,MATCH('קבוצות'!$A$8&amp;"|"&amp;2,'שיבוץ'!$K$3:$K$152,0))&amp;"","")</f>
        <v/>
      </c>
      <c r="K131">
        <f>IFERROR(INDEX('שיבוץ'!$C$3:$C$152,MATCH('קבוצות'!$A$8&amp;"|"&amp;2,'שיבוץ'!$K$3:$K$152,0)),"")</f>
        <v/>
      </c>
      <c r="L131">
        <f>IFERROR(INDEX('שיבוץ'!$E$3:$E$152,MATCH('קבוצות'!$A$8&amp;"|"&amp;2,'שיבוץ'!$K$3:$K$152,0))&amp;"","")</f>
        <v/>
      </c>
    </row>
    <row r="132" ht="28" customHeight="1">
      <c r="A132" s="55">
        <f>IF($H132="","",IF($H132=$H131,"",$H132))</f>
        <v/>
      </c>
      <c r="B132" s="30">
        <f>IF(N($K132)=0,"",TEXT(HOUR($K132),"00")&amp;":"&amp;TEXT(MINUTE($K132),"00"))</f>
        <v/>
      </c>
      <c r="C132" s="31">
        <f>$L132</f>
        <v/>
      </c>
      <c r="D132" s="32">
        <f>$I132</f>
        <v/>
      </c>
      <c r="E132" s="33" t="n"/>
      <c r="F132" s="34">
        <f>$J132</f>
        <v/>
      </c>
      <c r="H132">
        <f>IFERROR(INDEX('שיבוץ'!$B$3:$B$152,MATCH('קבוצות'!$A$8&amp;"|"&amp;3,'שיבוץ'!$K$3:$K$152,0))&amp;"","")</f>
        <v/>
      </c>
      <c r="I132">
        <f>IFERROR(INDEX('שיבוץ'!$D$3:$D$152,MATCH('קבוצות'!$A$8&amp;"|"&amp;3,'שיבוץ'!$K$3:$K$152,0))&amp;"","")</f>
        <v/>
      </c>
      <c r="J132">
        <f>IFERROR(INDEX('שיבוץ'!$F$3:$F$152,MATCH('קבוצות'!$A$8&amp;"|"&amp;3,'שיבוץ'!$K$3:$K$152,0))&amp;"","")</f>
        <v/>
      </c>
      <c r="K132">
        <f>IFERROR(INDEX('שיבוץ'!$C$3:$C$152,MATCH('קבוצות'!$A$8&amp;"|"&amp;3,'שיבוץ'!$K$3:$K$152,0)),"")</f>
        <v/>
      </c>
      <c r="L132">
        <f>IFERROR(INDEX('שיבוץ'!$E$3:$E$152,MATCH('קבוצות'!$A$8&amp;"|"&amp;3,'שיבוץ'!$K$3:$K$152,0))&amp;"","")</f>
        <v/>
      </c>
    </row>
    <row r="133" ht="28" customHeight="1">
      <c r="A133" s="55">
        <f>IF($H133="","",IF($H133=$H132,"",$H133))</f>
        <v/>
      </c>
      <c r="B133" s="30">
        <f>IF(N($K133)=0,"",TEXT(HOUR($K133),"00")&amp;":"&amp;TEXT(MINUTE($K133),"00"))</f>
        <v/>
      </c>
      <c r="C133" s="31">
        <f>$L133</f>
        <v/>
      </c>
      <c r="D133" s="32">
        <f>$I133</f>
        <v/>
      </c>
      <c r="E133" s="33" t="n"/>
      <c r="F133" s="34">
        <f>$J133</f>
        <v/>
      </c>
      <c r="H133">
        <f>IFERROR(INDEX('שיבוץ'!$B$3:$B$152,MATCH('קבוצות'!$A$8&amp;"|"&amp;4,'שיבוץ'!$K$3:$K$152,0))&amp;"","")</f>
        <v/>
      </c>
      <c r="I133">
        <f>IFERROR(INDEX('שיבוץ'!$D$3:$D$152,MATCH('קבוצות'!$A$8&amp;"|"&amp;4,'שיבוץ'!$K$3:$K$152,0))&amp;"","")</f>
        <v/>
      </c>
      <c r="J133">
        <f>IFERROR(INDEX('שיבוץ'!$F$3:$F$152,MATCH('קבוצות'!$A$8&amp;"|"&amp;4,'שיבוץ'!$K$3:$K$152,0))&amp;"","")</f>
        <v/>
      </c>
      <c r="K133">
        <f>IFERROR(INDEX('שיבוץ'!$C$3:$C$152,MATCH('קבוצות'!$A$8&amp;"|"&amp;4,'שיבוץ'!$K$3:$K$152,0)),"")</f>
        <v/>
      </c>
      <c r="L133">
        <f>IFERROR(INDEX('שיבוץ'!$E$3:$E$152,MATCH('קבוצות'!$A$8&amp;"|"&amp;4,'שיבוץ'!$K$3:$K$152,0))&amp;"","")</f>
        <v/>
      </c>
    </row>
    <row r="134" ht="28" customHeight="1">
      <c r="A134" s="55">
        <f>IF($H134="","",IF($H134=$H133,"",$H134))</f>
        <v/>
      </c>
      <c r="B134" s="30">
        <f>IF(N($K134)=0,"",TEXT(HOUR($K134),"00")&amp;":"&amp;TEXT(MINUTE($K134),"00"))</f>
        <v/>
      </c>
      <c r="C134" s="31">
        <f>$L134</f>
        <v/>
      </c>
      <c r="D134" s="32">
        <f>$I134</f>
        <v/>
      </c>
      <c r="E134" s="33" t="n"/>
      <c r="F134" s="34">
        <f>$J134</f>
        <v/>
      </c>
      <c r="H134">
        <f>IFERROR(INDEX('שיבוץ'!$B$3:$B$152,MATCH('קבוצות'!$A$8&amp;"|"&amp;5,'שיבוץ'!$K$3:$K$152,0))&amp;"","")</f>
        <v/>
      </c>
      <c r="I134">
        <f>IFERROR(INDEX('שיבוץ'!$D$3:$D$152,MATCH('קבוצות'!$A$8&amp;"|"&amp;5,'שיבוץ'!$K$3:$K$152,0))&amp;"","")</f>
        <v/>
      </c>
      <c r="J134">
        <f>IFERROR(INDEX('שיבוץ'!$F$3:$F$152,MATCH('קבוצות'!$A$8&amp;"|"&amp;5,'שיבוץ'!$K$3:$K$152,0))&amp;"","")</f>
        <v/>
      </c>
      <c r="K134">
        <f>IFERROR(INDEX('שיבוץ'!$C$3:$C$152,MATCH('קבוצות'!$A$8&amp;"|"&amp;5,'שיבוץ'!$K$3:$K$152,0)),"")</f>
        <v/>
      </c>
      <c r="L134">
        <f>IFERROR(INDEX('שיבוץ'!$E$3:$E$152,MATCH('קבוצות'!$A$8&amp;"|"&amp;5,'שיבוץ'!$K$3:$K$152,0))&amp;"","")</f>
        <v/>
      </c>
    </row>
    <row r="135" ht="28" customHeight="1">
      <c r="A135" s="55">
        <f>IF($H135="","",IF($H135=$H134,"",$H135))</f>
        <v/>
      </c>
      <c r="B135" s="30">
        <f>IF(N($K135)=0,"",TEXT(HOUR($K135),"00")&amp;":"&amp;TEXT(MINUTE($K135),"00"))</f>
        <v/>
      </c>
      <c r="C135" s="31">
        <f>$L135</f>
        <v/>
      </c>
      <c r="D135" s="32">
        <f>$I135</f>
        <v/>
      </c>
      <c r="E135" s="33" t="n"/>
      <c r="F135" s="34">
        <f>$J135</f>
        <v/>
      </c>
      <c r="H135">
        <f>IFERROR(INDEX('שיבוץ'!$B$3:$B$152,MATCH('קבוצות'!$A$8&amp;"|"&amp;6,'שיבוץ'!$K$3:$K$152,0))&amp;"","")</f>
        <v/>
      </c>
      <c r="I135">
        <f>IFERROR(INDEX('שיבוץ'!$D$3:$D$152,MATCH('קבוצות'!$A$8&amp;"|"&amp;6,'שיבוץ'!$K$3:$K$152,0))&amp;"","")</f>
        <v/>
      </c>
      <c r="J135">
        <f>IFERROR(INDEX('שיבוץ'!$F$3:$F$152,MATCH('קבוצות'!$A$8&amp;"|"&amp;6,'שיבוץ'!$K$3:$K$152,0))&amp;"","")</f>
        <v/>
      </c>
      <c r="K135">
        <f>IFERROR(INDEX('שיבוץ'!$C$3:$C$152,MATCH('קבוצות'!$A$8&amp;"|"&amp;6,'שיבוץ'!$K$3:$K$152,0)),"")</f>
        <v/>
      </c>
      <c r="L135">
        <f>IFERROR(INDEX('שיבוץ'!$E$3:$E$152,MATCH('קבוצות'!$A$8&amp;"|"&amp;6,'שיבוץ'!$K$3:$K$152,0))&amp;"","")</f>
        <v/>
      </c>
    </row>
    <row r="136" ht="28" customHeight="1">
      <c r="A136" s="55">
        <f>IF($H136="","",IF($H136=$H135,"",$H136))</f>
        <v/>
      </c>
      <c r="B136" s="30">
        <f>IF(N($K136)=0,"",TEXT(HOUR($K136),"00")&amp;":"&amp;TEXT(MINUTE($K136),"00"))</f>
        <v/>
      </c>
      <c r="C136" s="31">
        <f>$L136</f>
        <v/>
      </c>
      <c r="D136" s="32">
        <f>$I136</f>
        <v/>
      </c>
      <c r="E136" s="33" t="n"/>
      <c r="F136" s="34">
        <f>$J136</f>
        <v/>
      </c>
      <c r="H136">
        <f>IFERROR(INDEX('שיבוץ'!$B$3:$B$152,MATCH('קבוצות'!$A$8&amp;"|"&amp;7,'שיבוץ'!$K$3:$K$152,0))&amp;"","")</f>
        <v/>
      </c>
      <c r="I136">
        <f>IFERROR(INDEX('שיבוץ'!$D$3:$D$152,MATCH('קבוצות'!$A$8&amp;"|"&amp;7,'שיבוץ'!$K$3:$K$152,0))&amp;"","")</f>
        <v/>
      </c>
      <c r="J136">
        <f>IFERROR(INDEX('שיבוץ'!$F$3:$F$152,MATCH('קבוצות'!$A$8&amp;"|"&amp;7,'שיבוץ'!$K$3:$K$152,0))&amp;"","")</f>
        <v/>
      </c>
      <c r="K136">
        <f>IFERROR(INDEX('שיבוץ'!$C$3:$C$152,MATCH('קבוצות'!$A$8&amp;"|"&amp;7,'שיבוץ'!$K$3:$K$152,0)),"")</f>
        <v/>
      </c>
      <c r="L136">
        <f>IFERROR(INDEX('שיבוץ'!$E$3:$E$152,MATCH('קבוצות'!$A$8&amp;"|"&amp;7,'שיבוץ'!$K$3:$K$152,0))&amp;"","")</f>
        <v/>
      </c>
    </row>
    <row r="137" ht="28" customHeight="1">
      <c r="A137" s="55">
        <f>IF($H137="","",IF($H137=$H136,"",$H137))</f>
        <v/>
      </c>
      <c r="B137" s="30">
        <f>IF(N($K137)=0,"",TEXT(HOUR($K137),"00")&amp;":"&amp;TEXT(MINUTE($K137),"00"))</f>
        <v/>
      </c>
      <c r="C137" s="31">
        <f>$L137</f>
        <v/>
      </c>
      <c r="D137" s="32">
        <f>$I137</f>
        <v/>
      </c>
      <c r="E137" s="33" t="n"/>
      <c r="F137" s="34">
        <f>$J137</f>
        <v/>
      </c>
      <c r="H137">
        <f>IFERROR(INDEX('שיבוץ'!$B$3:$B$152,MATCH('קבוצות'!$A$8&amp;"|"&amp;8,'שיבוץ'!$K$3:$K$152,0))&amp;"","")</f>
        <v/>
      </c>
      <c r="I137">
        <f>IFERROR(INDEX('שיבוץ'!$D$3:$D$152,MATCH('קבוצות'!$A$8&amp;"|"&amp;8,'שיבוץ'!$K$3:$K$152,0))&amp;"","")</f>
        <v/>
      </c>
      <c r="J137">
        <f>IFERROR(INDEX('שיבוץ'!$F$3:$F$152,MATCH('קבוצות'!$A$8&amp;"|"&amp;8,'שיבוץ'!$K$3:$K$152,0))&amp;"","")</f>
        <v/>
      </c>
      <c r="K137">
        <f>IFERROR(INDEX('שיבוץ'!$C$3:$C$152,MATCH('קבוצות'!$A$8&amp;"|"&amp;8,'שיבוץ'!$K$3:$K$152,0)),"")</f>
        <v/>
      </c>
      <c r="L137">
        <f>IFERROR(INDEX('שיבוץ'!$E$3:$E$152,MATCH('קבוצות'!$A$8&amp;"|"&amp;8,'שיבוץ'!$K$3:$K$152,0))&amp;"","")</f>
        <v/>
      </c>
    </row>
    <row r="138" ht="28" customHeight="1">
      <c r="A138" s="55">
        <f>IF($H138="","",IF($H138=$H137,"",$H138))</f>
        <v/>
      </c>
      <c r="B138" s="30">
        <f>IF(N($K138)=0,"",TEXT(HOUR($K138),"00")&amp;":"&amp;TEXT(MINUTE($K138),"00"))</f>
        <v/>
      </c>
      <c r="C138" s="31">
        <f>$L138</f>
        <v/>
      </c>
      <c r="D138" s="32">
        <f>$I138</f>
        <v/>
      </c>
      <c r="E138" s="33" t="n"/>
      <c r="F138" s="34">
        <f>$J138</f>
        <v/>
      </c>
      <c r="H138">
        <f>IFERROR(INDEX('שיבוץ'!$B$3:$B$152,MATCH('קבוצות'!$A$8&amp;"|"&amp;9,'שיבוץ'!$K$3:$K$152,0))&amp;"","")</f>
        <v/>
      </c>
      <c r="I138">
        <f>IFERROR(INDEX('שיבוץ'!$D$3:$D$152,MATCH('קבוצות'!$A$8&amp;"|"&amp;9,'שיבוץ'!$K$3:$K$152,0))&amp;"","")</f>
        <v/>
      </c>
      <c r="J138">
        <f>IFERROR(INDEX('שיבוץ'!$F$3:$F$152,MATCH('קבוצות'!$A$8&amp;"|"&amp;9,'שיבוץ'!$K$3:$K$152,0))&amp;"","")</f>
        <v/>
      </c>
      <c r="K138">
        <f>IFERROR(INDEX('שיבוץ'!$C$3:$C$152,MATCH('קבוצות'!$A$8&amp;"|"&amp;9,'שיבוץ'!$K$3:$K$152,0)),"")</f>
        <v/>
      </c>
      <c r="L138">
        <f>IFERROR(INDEX('שיבוץ'!$E$3:$E$152,MATCH('קבוצות'!$A$8&amp;"|"&amp;9,'שיבוץ'!$K$3:$K$152,0))&amp;"","")</f>
        <v/>
      </c>
    </row>
    <row r="139" ht="28" customHeight="1">
      <c r="A139" s="55">
        <f>IF($H139="","",IF($H139=$H138,"",$H139))</f>
        <v/>
      </c>
      <c r="B139" s="30">
        <f>IF(N($K139)=0,"",TEXT(HOUR($K139),"00")&amp;":"&amp;TEXT(MINUTE($K139),"00"))</f>
        <v/>
      </c>
      <c r="C139" s="31">
        <f>$L139</f>
        <v/>
      </c>
      <c r="D139" s="32">
        <f>$I139</f>
        <v/>
      </c>
      <c r="E139" s="33" t="n"/>
      <c r="F139" s="34">
        <f>$J139</f>
        <v/>
      </c>
      <c r="H139">
        <f>IFERROR(INDEX('שיבוץ'!$B$3:$B$152,MATCH('קבוצות'!$A$8&amp;"|"&amp;10,'שיבוץ'!$K$3:$K$152,0))&amp;"","")</f>
        <v/>
      </c>
      <c r="I139">
        <f>IFERROR(INDEX('שיבוץ'!$D$3:$D$152,MATCH('קבוצות'!$A$8&amp;"|"&amp;10,'שיבוץ'!$K$3:$K$152,0))&amp;"","")</f>
        <v/>
      </c>
      <c r="J139">
        <f>IFERROR(INDEX('שיבוץ'!$F$3:$F$152,MATCH('קבוצות'!$A$8&amp;"|"&amp;10,'שיבוץ'!$K$3:$K$152,0))&amp;"","")</f>
        <v/>
      </c>
      <c r="K139">
        <f>IFERROR(INDEX('שיבוץ'!$C$3:$C$152,MATCH('קבוצות'!$A$8&amp;"|"&amp;10,'שיבוץ'!$K$3:$K$152,0)),"")</f>
        <v/>
      </c>
      <c r="L139">
        <f>IFERROR(INDEX('שיבוץ'!$E$3:$E$152,MATCH('קבוצות'!$A$8&amp;"|"&amp;10,'שיבוץ'!$K$3:$K$152,0))&amp;"","")</f>
        <v/>
      </c>
    </row>
    <row r="140" ht="28" customHeight="1">
      <c r="A140" s="55">
        <f>IF($H140="","",IF($H140=$H139,"",$H140))</f>
        <v/>
      </c>
      <c r="B140" s="30">
        <f>IF(N($K140)=0,"",TEXT(HOUR($K140),"00")&amp;":"&amp;TEXT(MINUTE($K140),"00"))</f>
        <v/>
      </c>
      <c r="C140" s="31">
        <f>$L140</f>
        <v/>
      </c>
      <c r="D140" s="32">
        <f>$I140</f>
        <v/>
      </c>
      <c r="E140" s="33" t="n"/>
      <c r="F140" s="34">
        <f>$J140</f>
        <v/>
      </c>
      <c r="H140">
        <f>IFERROR(INDEX('שיבוץ'!$B$3:$B$152,MATCH('קבוצות'!$A$8&amp;"|"&amp;11,'שיבוץ'!$K$3:$K$152,0))&amp;"","")</f>
        <v/>
      </c>
      <c r="I140">
        <f>IFERROR(INDEX('שיבוץ'!$D$3:$D$152,MATCH('קבוצות'!$A$8&amp;"|"&amp;11,'שיבוץ'!$K$3:$K$152,0))&amp;"","")</f>
        <v/>
      </c>
      <c r="J140">
        <f>IFERROR(INDEX('שיבוץ'!$F$3:$F$152,MATCH('קבוצות'!$A$8&amp;"|"&amp;11,'שיבוץ'!$K$3:$K$152,0))&amp;"","")</f>
        <v/>
      </c>
      <c r="K140">
        <f>IFERROR(INDEX('שיבוץ'!$C$3:$C$152,MATCH('קבוצות'!$A$8&amp;"|"&amp;11,'שיבוץ'!$K$3:$K$152,0)),"")</f>
        <v/>
      </c>
      <c r="L140">
        <f>IFERROR(INDEX('שיבוץ'!$E$3:$E$152,MATCH('קבוצות'!$A$8&amp;"|"&amp;11,'שיבוץ'!$K$3:$K$152,0))&amp;"","")</f>
        <v/>
      </c>
    </row>
    <row r="141" ht="28" customHeight="1">
      <c r="A141" s="55">
        <f>IF($H141="","",IF($H141=$H140,"",$H141))</f>
        <v/>
      </c>
      <c r="B141" s="30">
        <f>IF(N($K141)=0,"",TEXT(HOUR($K141),"00")&amp;":"&amp;TEXT(MINUTE($K141),"00"))</f>
        <v/>
      </c>
      <c r="C141" s="31">
        <f>$L141</f>
        <v/>
      </c>
      <c r="D141" s="32">
        <f>$I141</f>
        <v/>
      </c>
      <c r="E141" s="33" t="n"/>
      <c r="F141" s="34">
        <f>$J141</f>
        <v/>
      </c>
      <c r="H141">
        <f>IFERROR(INDEX('שיבוץ'!$B$3:$B$152,MATCH('קבוצות'!$A$8&amp;"|"&amp;12,'שיבוץ'!$K$3:$K$152,0))&amp;"","")</f>
        <v/>
      </c>
      <c r="I141">
        <f>IFERROR(INDEX('שיבוץ'!$D$3:$D$152,MATCH('קבוצות'!$A$8&amp;"|"&amp;12,'שיבוץ'!$K$3:$K$152,0))&amp;"","")</f>
        <v/>
      </c>
      <c r="J141">
        <f>IFERROR(INDEX('שיבוץ'!$F$3:$F$152,MATCH('קבוצות'!$A$8&amp;"|"&amp;12,'שיבוץ'!$K$3:$K$152,0))&amp;"","")</f>
        <v/>
      </c>
      <c r="K141">
        <f>IFERROR(INDEX('שיבוץ'!$C$3:$C$152,MATCH('קבוצות'!$A$8&amp;"|"&amp;12,'שיבוץ'!$K$3:$K$152,0)),"")</f>
        <v/>
      </c>
      <c r="L141">
        <f>IFERROR(INDEX('שיבוץ'!$E$3:$E$152,MATCH('קבוצות'!$A$8&amp;"|"&amp;12,'שיבוץ'!$K$3:$K$152,0))&amp;"","")</f>
        <v/>
      </c>
    </row>
    <row r="142" ht="28" customHeight="1">
      <c r="A142" s="55">
        <f>IF($H142="","",IF($H142=$H141,"",$H142))</f>
        <v/>
      </c>
      <c r="B142" s="30">
        <f>IF(N($K142)=0,"",TEXT(HOUR($K142),"00")&amp;":"&amp;TEXT(MINUTE($K142),"00"))</f>
        <v/>
      </c>
      <c r="C142" s="31">
        <f>$L142</f>
        <v/>
      </c>
      <c r="D142" s="32">
        <f>$I142</f>
        <v/>
      </c>
      <c r="E142" s="33" t="n"/>
      <c r="F142" s="34">
        <f>$J142</f>
        <v/>
      </c>
      <c r="H142">
        <f>IFERROR(INDEX('שיבוץ'!$B$3:$B$152,MATCH('קבוצות'!$A$8&amp;"|"&amp;13,'שיבוץ'!$K$3:$K$152,0))&amp;"","")</f>
        <v/>
      </c>
      <c r="I142">
        <f>IFERROR(INDEX('שיבוץ'!$D$3:$D$152,MATCH('קבוצות'!$A$8&amp;"|"&amp;13,'שיבוץ'!$K$3:$K$152,0))&amp;"","")</f>
        <v/>
      </c>
      <c r="J142">
        <f>IFERROR(INDEX('שיבוץ'!$F$3:$F$152,MATCH('קבוצות'!$A$8&amp;"|"&amp;13,'שיבוץ'!$K$3:$K$152,0))&amp;"","")</f>
        <v/>
      </c>
      <c r="K142">
        <f>IFERROR(INDEX('שיבוץ'!$C$3:$C$152,MATCH('קבוצות'!$A$8&amp;"|"&amp;13,'שיבוץ'!$K$3:$K$152,0)),"")</f>
        <v/>
      </c>
      <c r="L142">
        <f>IFERROR(INDEX('שיבוץ'!$E$3:$E$152,MATCH('קבוצות'!$A$8&amp;"|"&amp;13,'שיבוץ'!$K$3:$K$152,0))&amp;"","")</f>
        <v/>
      </c>
    </row>
    <row r="143" ht="28" customHeight="1">
      <c r="A143" s="55">
        <f>IF($H143="","",IF($H143=$H142,"",$H143))</f>
        <v/>
      </c>
      <c r="B143" s="30">
        <f>IF(N($K143)=0,"",TEXT(HOUR($K143),"00")&amp;":"&amp;TEXT(MINUTE($K143),"00"))</f>
        <v/>
      </c>
      <c r="C143" s="31">
        <f>$L143</f>
        <v/>
      </c>
      <c r="D143" s="32">
        <f>$I143</f>
        <v/>
      </c>
      <c r="E143" s="33" t="n"/>
      <c r="F143" s="34">
        <f>$J143</f>
        <v/>
      </c>
      <c r="H143">
        <f>IFERROR(INDEX('שיבוץ'!$B$3:$B$152,MATCH('קבוצות'!$A$8&amp;"|"&amp;14,'שיבוץ'!$K$3:$K$152,0))&amp;"","")</f>
        <v/>
      </c>
      <c r="I143">
        <f>IFERROR(INDEX('שיבוץ'!$D$3:$D$152,MATCH('קבוצות'!$A$8&amp;"|"&amp;14,'שיבוץ'!$K$3:$K$152,0))&amp;"","")</f>
        <v/>
      </c>
      <c r="J143">
        <f>IFERROR(INDEX('שיבוץ'!$F$3:$F$152,MATCH('קבוצות'!$A$8&amp;"|"&amp;14,'שיבוץ'!$K$3:$K$152,0))&amp;"","")</f>
        <v/>
      </c>
      <c r="K143">
        <f>IFERROR(INDEX('שיבוץ'!$C$3:$C$152,MATCH('קבוצות'!$A$8&amp;"|"&amp;14,'שיבוץ'!$K$3:$K$152,0)),"")</f>
        <v/>
      </c>
      <c r="L143">
        <f>IFERROR(INDEX('שיבוץ'!$E$3:$E$152,MATCH('קבוצות'!$A$8&amp;"|"&amp;14,'שיבוץ'!$K$3:$K$152,0))&amp;"","")</f>
        <v/>
      </c>
    </row>
    <row r="144" ht="28" customHeight="1">
      <c r="A144" s="55">
        <f>IF($H144="","",IF($H144=$H143,"",$H144))</f>
        <v/>
      </c>
      <c r="B144" s="30">
        <f>IF(N($K144)=0,"",TEXT(HOUR($K144),"00")&amp;":"&amp;TEXT(MINUTE($K144),"00"))</f>
        <v/>
      </c>
      <c r="C144" s="31">
        <f>$L144</f>
        <v/>
      </c>
      <c r="D144" s="32">
        <f>$I144</f>
        <v/>
      </c>
      <c r="E144" s="33" t="n"/>
      <c r="F144" s="34">
        <f>$J144</f>
        <v/>
      </c>
      <c r="H144">
        <f>IFERROR(INDEX('שיבוץ'!$B$3:$B$152,MATCH('קבוצות'!$A$8&amp;"|"&amp;15,'שיבוץ'!$K$3:$K$152,0))&amp;"","")</f>
        <v/>
      </c>
      <c r="I144">
        <f>IFERROR(INDEX('שיבוץ'!$D$3:$D$152,MATCH('קבוצות'!$A$8&amp;"|"&amp;15,'שיבוץ'!$K$3:$K$152,0))&amp;"","")</f>
        <v/>
      </c>
      <c r="J144">
        <f>IFERROR(INDEX('שיבוץ'!$F$3:$F$152,MATCH('קבוצות'!$A$8&amp;"|"&amp;15,'שיבוץ'!$K$3:$K$152,0))&amp;"","")</f>
        <v/>
      </c>
      <c r="K144">
        <f>IFERROR(INDEX('שיבוץ'!$C$3:$C$152,MATCH('קבוצות'!$A$8&amp;"|"&amp;15,'שיבוץ'!$K$3:$K$152,0)),"")</f>
        <v/>
      </c>
      <c r="L144">
        <f>IFERROR(INDEX('שיבוץ'!$E$3:$E$152,MATCH('קבוצות'!$A$8&amp;"|"&amp;15,'שיבוץ'!$K$3:$K$152,0))&amp;"","")</f>
        <v/>
      </c>
    </row>
    <row r="145" ht="28" customHeight="1">
      <c r="A145" s="55">
        <f>IF($H145="","",IF($H145=$H144,"",$H145))</f>
        <v/>
      </c>
      <c r="B145" s="30">
        <f>IF(N($K145)=0,"",TEXT(HOUR($K145),"00")&amp;":"&amp;TEXT(MINUTE($K145),"00"))</f>
        <v/>
      </c>
      <c r="C145" s="31">
        <f>$L145</f>
        <v/>
      </c>
      <c r="D145" s="32">
        <f>$I145</f>
        <v/>
      </c>
      <c r="E145" s="33" t="n"/>
      <c r="F145" s="34">
        <f>$J145</f>
        <v/>
      </c>
      <c r="H145">
        <f>IFERROR(INDEX('שיבוץ'!$B$3:$B$152,MATCH('קבוצות'!$A$8&amp;"|"&amp;16,'שיבוץ'!$K$3:$K$152,0))&amp;"","")</f>
        <v/>
      </c>
      <c r="I145">
        <f>IFERROR(INDEX('שיבוץ'!$D$3:$D$152,MATCH('קבוצות'!$A$8&amp;"|"&amp;16,'שיבוץ'!$K$3:$K$152,0))&amp;"","")</f>
        <v/>
      </c>
      <c r="J145">
        <f>IFERROR(INDEX('שיבוץ'!$F$3:$F$152,MATCH('קבוצות'!$A$8&amp;"|"&amp;16,'שיבוץ'!$K$3:$K$152,0))&amp;"","")</f>
        <v/>
      </c>
      <c r="K145">
        <f>IFERROR(INDEX('שיבוץ'!$C$3:$C$152,MATCH('קבוצות'!$A$8&amp;"|"&amp;16,'שיבוץ'!$K$3:$K$152,0)),"")</f>
        <v/>
      </c>
      <c r="L145">
        <f>IFERROR(INDEX('שיבוץ'!$E$3:$E$152,MATCH('קבוצות'!$A$8&amp;"|"&amp;16,'שיבוץ'!$K$3:$K$152,0))&amp;"","")</f>
        <v/>
      </c>
    </row>
    <row r="146" ht="28" customHeight="1">
      <c r="A146" s="55">
        <f>IF($H146="","",IF($H146=$H145,"",$H146))</f>
        <v/>
      </c>
      <c r="B146" s="30">
        <f>IF(N($K146)=0,"",TEXT(HOUR($K146),"00")&amp;":"&amp;TEXT(MINUTE($K146),"00"))</f>
        <v/>
      </c>
      <c r="C146" s="31">
        <f>$L146</f>
        <v/>
      </c>
      <c r="D146" s="32">
        <f>$I146</f>
        <v/>
      </c>
      <c r="E146" s="33" t="n"/>
      <c r="F146" s="34">
        <f>$J146</f>
        <v/>
      </c>
      <c r="H146">
        <f>IFERROR(INDEX('שיבוץ'!$B$3:$B$152,MATCH('קבוצות'!$A$8&amp;"|"&amp;17,'שיבוץ'!$K$3:$K$152,0))&amp;"","")</f>
        <v/>
      </c>
      <c r="I146">
        <f>IFERROR(INDEX('שיבוץ'!$D$3:$D$152,MATCH('קבוצות'!$A$8&amp;"|"&amp;17,'שיבוץ'!$K$3:$K$152,0))&amp;"","")</f>
        <v/>
      </c>
      <c r="J146">
        <f>IFERROR(INDEX('שיבוץ'!$F$3:$F$152,MATCH('קבוצות'!$A$8&amp;"|"&amp;17,'שיבוץ'!$K$3:$K$152,0))&amp;"","")</f>
        <v/>
      </c>
      <c r="K146">
        <f>IFERROR(INDEX('שיבוץ'!$C$3:$C$152,MATCH('קבוצות'!$A$8&amp;"|"&amp;17,'שיבוץ'!$K$3:$K$152,0)),"")</f>
        <v/>
      </c>
      <c r="L146">
        <f>IFERROR(INDEX('שיבוץ'!$E$3:$E$152,MATCH('קבוצות'!$A$8&amp;"|"&amp;17,'שיבוץ'!$K$3:$K$152,0))&amp;"","")</f>
        <v/>
      </c>
    </row>
    <row r="147" ht="28" customHeight="1">
      <c r="A147" s="55">
        <f>IF($H147="","",IF($H147=$H146,"",$H147))</f>
        <v/>
      </c>
      <c r="B147" s="30">
        <f>IF(N($K147)=0,"",TEXT(HOUR($K147),"00")&amp;":"&amp;TEXT(MINUTE($K147),"00"))</f>
        <v/>
      </c>
      <c r="C147" s="31">
        <f>$L147</f>
        <v/>
      </c>
      <c r="D147" s="32">
        <f>$I147</f>
        <v/>
      </c>
      <c r="E147" s="33" t="n"/>
      <c r="F147" s="34">
        <f>$J147</f>
        <v/>
      </c>
      <c r="H147">
        <f>IFERROR(INDEX('שיבוץ'!$B$3:$B$152,MATCH('קבוצות'!$A$8&amp;"|"&amp;18,'שיבוץ'!$K$3:$K$152,0))&amp;"","")</f>
        <v/>
      </c>
      <c r="I147">
        <f>IFERROR(INDEX('שיבוץ'!$D$3:$D$152,MATCH('קבוצות'!$A$8&amp;"|"&amp;18,'שיבוץ'!$K$3:$K$152,0))&amp;"","")</f>
        <v/>
      </c>
      <c r="J147">
        <f>IFERROR(INDEX('שיבוץ'!$F$3:$F$152,MATCH('קבוצות'!$A$8&amp;"|"&amp;18,'שיבוץ'!$K$3:$K$152,0))&amp;"","")</f>
        <v/>
      </c>
      <c r="K147">
        <f>IFERROR(INDEX('שיבוץ'!$C$3:$C$152,MATCH('קבוצות'!$A$8&amp;"|"&amp;18,'שיבוץ'!$K$3:$K$152,0)),"")</f>
        <v/>
      </c>
      <c r="L147">
        <f>IFERROR(INDEX('שיבוץ'!$E$3:$E$152,MATCH('קבוצות'!$A$8&amp;"|"&amp;18,'שיבוץ'!$K$3:$K$152,0))&amp;"","")</f>
        <v/>
      </c>
    </row>
    <row r="148" ht="18" customHeight="1">
      <c r="A148" s="35">
        <f>IF(COUNTIF('שיבוץ'!$A$3:$A$152,'קבוצות'!$A$8)&gt;18,"⚠ לקבוצה יש עוד משימות שלא נכנסו לכרטיסייה — ראו «טופס נקי»","")</f>
        <v/>
      </c>
    </row>
  </sheetData>
  <mergeCells count="138">
    <mergeCell ref="D20:E20"/>
    <mergeCell ref="D60:E60"/>
    <mergeCell ref="D84:E84"/>
    <mergeCell ref="D22:E22"/>
    <mergeCell ref="A3:F3"/>
    <mergeCell ref="D31:E31"/>
    <mergeCell ref="D36:E36"/>
    <mergeCell ref="D45:E45"/>
    <mergeCell ref="D6:E6"/>
    <mergeCell ref="D108:E108"/>
    <mergeCell ref="D86:E86"/>
    <mergeCell ref="D13:E13"/>
    <mergeCell ref="D61:E61"/>
    <mergeCell ref="D141:E141"/>
    <mergeCell ref="D70:E70"/>
    <mergeCell ref="D135:E135"/>
    <mergeCell ref="D7:E7"/>
    <mergeCell ref="D72:E72"/>
    <mergeCell ref="D134:E134"/>
    <mergeCell ref="D112:E112"/>
    <mergeCell ref="D4:E4"/>
    <mergeCell ref="D62:E62"/>
    <mergeCell ref="D56:E56"/>
    <mergeCell ref="D71:E71"/>
    <mergeCell ref="D114:E114"/>
    <mergeCell ref="A73:F73"/>
    <mergeCell ref="A51:F51"/>
    <mergeCell ref="D64:E64"/>
    <mergeCell ref="D33:E33"/>
    <mergeCell ref="D113:E113"/>
    <mergeCell ref="D88:E88"/>
    <mergeCell ref="D35:E35"/>
    <mergeCell ref="D115:E115"/>
    <mergeCell ref="D10:E10"/>
    <mergeCell ref="D138:E138"/>
    <mergeCell ref="D19:E19"/>
    <mergeCell ref="D34:E34"/>
    <mergeCell ref="D90:E90"/>
    <mergeCell ref="A27:F27"/>
    <mergeCell ref="D131:E131"/>
    <mergeCell ref="A101:F101"/>
    <mergeCell ref="D140:E140"/>
    <mergeCell ref="A2:F2"/>
    <mergeCell ref="D11:E11"/>
    <mergeCell ref="A126:F126"/>
    <mergeCell ref="D66:E66"/>
    <mergeCell ref="D47:E47"/>
    <mergeCell ref="A28:F28"/>
    <mergeCell ref="D37:E37"/>
    <mergeCell ref="A127:F127"/>
    <mergeCell ref="A48:F48"/>
    <mergeCell ref="D9:E9"/>
    <mergeCell ref="D118:E118"/>
    <mergeCell ref="D39:E39"/>
    <mergeCell ref="A98:F98"/>
    <mergeCell ref="D15:E15"/>
    <mergeCell ref="D29:E29"/>
    <mergeCell ref="D142:E142"/>
    <mergeCell ref="D38:E38"/>
    <mergeCell ref="D89:E89"/>
    <mergeCell ref="D129:E129"/>
    <mergeCell ref="D79:E79"/>
    <mergeCell ref="D144:E144"/>
    <mergeCell ref="D63:E63"/>
    <mergeCell ref="D81:E81"/>
    <mergeCell ref="A26:F26"/>
    <mergeCell ref="D65:E65"/>
    <mergeCell ref="D96:E96"/>
    <mergeCell ref="D105:E105"/>
    <mergeCell ref="D139:E139"/>
    <mergeCell ref="A76:F76"/>
    <mergeCell ref="D120:E120"/>
    <mergeCell ref="D107:E107"/>
    <mergeCell ref="D116:E116"/>
    <mergeCell ref="D17:E17"/>
    <mergeCell ref="A53:F53"/>
    <mergeCell ref="D91:E91"/>
    <mergeCell ref="A102:F102"/>
    <mergeCell ref="D106:E106"/>
    <mergeCell ref="D146:E146"/>
    <mergeCell ref="D93:E93"/>
    <mergeCell ref="D12:E12"/>
    <mergeCell ref="D83:E83"/>
    <mergeCell ref="D143:E143"/>
    <mergeCell ref="D117:E117"/>
    <mergeCell ref="D92:E92"/>
    <mergeCell ref="D55:E55"/>
    <mergeCell ref="D30:E30"/>
    <mergeCell ref="A1:F1"/>
    <mergeCell ref="D67:E67"/>
    <mergeCell ref="D5:E5"/>
    <mergeCell ref="A103:F103"/>
    <mergeCell ref="D133:E133"/>
    <mergeCell ref="D14:E14"/>
    <mergeCell ref="D85:E85"/>
    <mergeCell ref="D54:E54"/>
    <mergeCell ref="A78:F78"/>
    <mergeCell ref="D94:E94"/>
    <mergeCell ref="D69:E69"/>
    <mergeCell ref="D109:E109"/>
    <mergeCell ref="A128:F128"/>
    <mergeCell ref="D119:E119"/>
    <mergeCell ref="D46:E46"/>
    <mergeCell ref="D40:E40"/>
    <mergeCell ref="D80:E80"/>
    <mergeCell ref="D111:E111"/>
    <mergeCell ref="D21:E21"/>
    <mergeCell ref="D95:E95"/>
    <mergeCell ref="D104:E104"/>
    <mergeCell ref="D57:E57"/>
    <mergeCell ref="A23:F23"/>
    <mergeCell ref="D136:E136"/>
    <mergeCell ref="D32:E32"/>
    <mergeCell ref="D145:E145"/>
    <mergeCell ref="D41:E41"/>
    <mergeCell ref="D97:E97"/>
    <mergeCell ref="D16:E16"/>
    <mergeCell ref="A52:F52"/>
    <mergeCell ref="D87:E87"/>
    <mergeCell ref="D147:E147"/>
    <mergeCell ref="D43:E43"/>
    <mergeCell ref="D122:E122"/>
    <mergeCell ref="D137:E137"/>
    <mergeCell ref="D18:E18"/>
    <mergeCell ref="D58:E58"/>
    <mergeCell ref="A77:F77"/>
    <mergeCell ref="A148:F148"/>
    <mergeCell ref="D8:E8"/>
    <mergeCell ref="D121:E121"/>
    <mergeCell ref="D130:E130"/>
    <mergeCell ref="D68:E68"/>
    <mergeCell ref="D42:E42"/>
    <mergeCell ref="A123:F123"/>
    <mergeCell ref="D82:E82"/>
    <mergeCell ref="D132:E132"/>
    <mergeCell ref="D110:E110"/>
    <mergeCell ref="D44:E44"/>
    <mergeCell ref="D59:E59"/>
  </mergeCells>
  <conditionalFormatting sqref="A2:F3">
    <cfRule type="expression" priority="1" dxfId="1">
      <formula>'קבוצות'!$D$3="ורוד"</formula>
    </cfRule>
    <cfRule type="expression" priority="4" dxfId="2">
      <formula>'קבוצות'!$D$3="ים"</formula>
    </cfRule>
    <cfRule type="expression" priority="7" dxfId="3">
      <formula>'קבוצות'!$D$3="ספארי"</formula>
    </cfRule>
    <cfRule type="expression" priority="10" dxfId="4">
      <formula>'קבוצות'!$D$3="שדה"</formula>
    </cfRule>
    <cfRule type="expression" priority="13" dxfId="5">
      <formula>'קבוצות'!$D$3="סגול"</formula>
    </cfRule>
    <cfRule type="expression" priority="16" dxfId="6">
      <formula>'קבוצות'!$D$3="ירוק"</formula>
    </cfRule>
  </conditionalFormatting>
  <conditionalFormatting sqref="A5:A22">
    <cfRule type="expression" priority="2" dxfId="1">
      <formula>'קבוצות'!$D$3="ורוד"</formula>
    </cfRule>
    <cfRule type="expression" priority="5" dxfId="2">
      <formula>'קבוצות'!$D$3="ים"</formula>
    </cfRule>
    <cfRule type="expression" priority="8" dxfId="3">
      <formula>'קבוצות'!$D$3="ספארי"</formula>
    </cfRule>
    <cfRule type="expression" priority="11" dxfId="4">
      <formula>'קבוצות'!$D$3="שדה"</formula>
    </cfRule>
    <cfRule type="expression" priority="14" dxfId="5">
      <formula>'קבוצות'!$D$3="סגול"</formula>
    </cfRule>
    <cfRule type="expression" priority="17" dxfId="6">
      <formula>'קבוצות'!$D$3="ירוק"</formula>
    </cfRule>
  </conditionalFormatting>
  <conditionalFormatting sqref="A1:F1">
    <cfRule type="expression" priority="3" dxfId="7">
      <formula>'קבוצות'!$D$3="ורוד"</formula>
    </cfRule>
    <cfRule type="expression" priority="6" dxfId="8">
      <formula>'קבוצות'!$D$3="ים"</formula>
    </cfRule>
    <cfRule type="expression" priority="9" dxfId="9">
      <formula>'קבוצות'!$D$3="ספארי"</formula>
    </cfRule>
    <cfRule type="expression" priority="12" dxfId="10">
      <formula>'קבוצות'!$D$3="שדה"</formula>
    </cfRule>
    <cfRule type="expression" priority="15" dxfId="11">
      <formula>'קבוצות'!$D$3="סגול"</formula>
    </cfRule>
    <cfRule type="expression" priority="18" dxfId="12">
      <formula>'קבוצות'!$D$3="ירוק"</formula>
    </cfRule>
  </conditionalFormatting>
  <conditionalFormatting sqref="A27:F28">
    <cfRule type="expression" priority="19" dxfId="1">
      <formula>'קבוצות'!$D$4="ורוד"</formula>
    </cfRule>
    <cfRule type="expression" priority="22" dxfId="2">
      <formula>'קבוצות'!$D$4="ים"</formula>
    </cfRule>
    <cfRule type="expression" priority="25" dxfId="3">
      <formula>'קבוצות'!$D$4="ספארי"</formula>
    </cfRule>
    <cfRule type="expression" priority="28" dxfId="4">
      <formula>'קבוצות'!$D$4="שדה"</formula>
    </cfRule>
    <cfRule type="expression" priority="31" dxfId="5">
      <formula>'קבוצות'!$D$4="סגול"</formula>
    </cfRule>
    <cfRule type="expression" priority="34" dxfId="6">
      <formula>'קבוצות'!$D$4="ירוק"</formula>
    </cfRule>
  </conditionalFormatting>
  <conditionalFormatting sqref="A30:A47">
    <cfRule type="expression" priority="20" dxfId="1">
      <formula>'קבוצות'!$D$4="ורוד"</formula>
    </cfRule>
    <cfRule type="expression" priority="23" dxfId="2">
      <formula>'קבוצות'!$D$4="ים"</formula>
    </cfRule>
    <cfRule type="expression" priority="26" dxfId="3">
      <formula>'קבוצות'!$D$4="ספארי"</formula>
    </cfRule>
    <cfRule type="expression" priority="29" dxfId="4">
      <formula>'קבוצות'!$D$4="שדה"</formula>
    </cfRule>
    <cfRule type="expression" priority="32" dxfId="5">
      <formula>'קבוצות'!$D$4="סגול"</formula>
    </cfRule>
    <cfRule type="expression" priority="35" dxfId="6">
      <formula>'קבוצות'!$D$4="ירוק"</formula>
    </cfRule>
  </conditionalFormatting>
  <conditionalFormatting sqref="A26:F26">
    <cfRule type="expression" priority="21" dxfId="7">
      <formula>'קבוצות'!$D$4="ורוד"</formula>
    </cfRule>
    <cfRule type="expression" priority="24" dxfId="8">
      <formula>'קבוצות'!$D$4="ים"</formula>
    </cfRule>
    <cfRule type="expression" priority="27" dxfId="9">
      <formula>'קבוצות'!$D$4="ספארי"</formula>
    </cfRule>
    <cfRule type="expression" priority="30" dxfId="10">
      <formula>'קבוצות'!$D$4="שדה"</formula>
    </cfRule>
    <cfRule type="expression" priority="33" dxfId="11">
      <formula>'קבוצות'!$D$4="סגול"</formula>
    </cfRule>
    <cfRule type="expression" priority="36" dxfId="12">
      <formula>'קבוצות'!$D$4="ירוק"</formula>
    </cfRule>
  </conditionalFormatting>
  <conditionalFormatting sqref="A52:F53">
    <cfRule type="expression" priority="37" dxfId="1">
      <formula>'קבוצות'!$D$5="ורוד"</formula>
    </cfRule>
    <cfRule type="expression" priority="40" dxfId="2">
      <formula>'קבוצות'!$D$5="ים"</formula>
    </cfRule>
    <cfRule type="expression" priority="43" dxfId="3">
      <formula>'קבוצות'!$D$5="ספארי"</formula>
    </cfRule>
    <cfRule type="expression" priority="46" dxfId="4">
      <formula>'קבוצות'!$D$5="שדה"</formula>
    </cfRule>
    <cfRule type="expression" priority="49" dxfId="5">
      <formula>'קבוצות'!$D$5="סגול"</formula>
    </cfRule>
    <cfRule type="expression" priority="52" dxfId="6">
      <formula>'קבוצות'!$D$5="ירוק"</formula>
    </cfRule>
  </conditionalFormatting>
  <conditionalFormatting sqref="A55:A72">
    <cfRule type="expression" priority="38" dxfId="1">
      <formula>'קבוצות'!$D$5="ורוד"</formula>
    </cfRule>
    <cfRule type="expression" priority="41" dxfId="2">
      <formula>'קבוצות'!$D$5="ים"</formula>
    </cfRule>
    <cfRule type="expression" priority="44" dxfId="3">
      <formula>'קבוצות'!$D$5="ספארי"</formula>
    </cfRule>
    <cfRule type="expression" priority="47" dxfId="4">
      <formula>'קבוצות'!$D$5="שדה"</formula>
    </cfRule>
    <cfRule type="expression" priority="50" dxfId="5">
      <formula>'קבוצות'!$D$5="סגול"</formula>
    </cfRule>
    <cfRule type="expression" priority="53" dxfId="6">
      <formula>'קבוצות'!$D$5="ירוק"</formula>
    </cfRule>
  </conditionalFormatting>
  <conditionalFormatting sqref="A51:F51">
    <cfRule type="expression" priority="39" dxfId="7">
      <formula>'קבוצות'!$D$5="ורוד"</formula>
    </cfRule>
    <cfRule type="expression" priority="42" dxfId="8">
      <formula>'קבוצות'!$D$5="ים"</formula>
    </cfRule>
    <cfRule type="expression" priority="45" dxfId="9">
      <formula>'קבוצות'!$D$5="ספארי"</formula>
    </cfRule>
    <cfRule type="expression" priority="48" dxfId="10">
      <formula>'קבוצות'!$D$5="שדה"</formula>
    </cfRule>
    <cfRule type="expression" priority="51" dxfId="11">
      <formula>'קבוצות'!$D$5="סגול"</formula>
    </cfRule>
    <cfRule type="expression" priority="54" dxfId="12">
      <formula>'קבוצות'!$D$5="ירוק"</formula>
    </cfRule>
  </conditionalFormatting>
  <conditionalFormatting sqref="A77:F78">
    <cfRule type="expression" priority="55" dxfId="1">
      <formula>'קבוצות'!$D$6="ורוד"</formula>
    </cfRule>
    <cfRule type="expression" priority="58" dxfId="2">
      <formula>'קבוצות'!$D$6="ים"</formula>
    </cfRule>
    <cfRule type="expression" priority="61" dxfId="3">
      <formula>'קבוצות'!$D$6="ספארי"</formula>
    </cfRule>
    <cfRule type="expression" priority="64" dxfId="4">
      <formula>'קבוצות'!$D$6="שדה"</formula>
    </cfRule>
    <cfRule type="expression" priority="67" dxfId="5">
      <formula>'קבוצות'!$D$6="סגול"</formula>
    </cfRule>
    <cfRule type="expression" priority="70" dxfId="6">
      <formula>'קבוצות'!$D$6="ירוק"</formula>
    </cfRule>
  </conditionalFormatting>
  <conditionalFormatting sqref="A80:A97">
    <cfRule type="expression" priority="56" dxfId="1">
      <formula>'קבוצות'!$D$6="ורוד"</formula>
    </cfRule>
    <cfRule type="expression" priority="59" dxfId="2">
      <formula>'קבוצות'!$D$6="ים"</formula>
    </cfRule>
    <cfRule type="expression" priority="62" dxfId="3">
      <formula>'קבוצות'!$D$6="ספארי"</formula>
    </cfRule>
    <cfRule type="expression" priority="65" dxfId="4">
      <formula>'קבוצות'!$D$6="שדה"</formula>
    </cfRule>
    <cfRule type="expression" priority="68" dxfId="5">
      <formula>'קבוצות'!$D$6="סגול"</formula>
    </cfRule>
    <cfRule type="expression" priority="71" dxfId="6">
      <formula>'קבוצות'!$D$6="ירוק"</formula>
    </cfRule>
  </conditionalFormatting>
  <conditionalFormatting sqref="A76:F76">
    <cfRule type="expression" priority="57" dxfId="7">
      <formula>'קבוצות'!$D$6="ורוד"</formula>
    </cfRule>
    <cfRule type="expression" priority="60" dxfId="8">
      <formula>'קבוצות'!$D$6="ים"</formula>
    </cfRule>
    <cfRule type="expression" priority="63" dxfId="9">
      <formula>'קבוצות'!$D$6="ספארי"</formula>
    </cfRule>
    <cfRule type="expression" priority="66" dxfId="10">
      <formula>'קבוצות'!$D$6="שדה"</formula>
    </cfRule>
    <cfRule type="expression" priority="69" dxfId="11">
      <formula>'קבוצות'!$D$6="סגול"</formula>
    </cfRule>
    <cfRule type="expression" priority="72" dxfId="12">
      <formula>'קבוצות'!$D$6="ירוק"</formula>
    </cfRule>
  </conditionalFormatting>
  <conditionalFormatting sqref="A102:F103">
    <cfRule type="expression" priority="73" dxfId="1">
      <formula>'קבוצות'!$D$7="ורוד"</formula>
    </cfRule>
    <cfRule type="expression" priority="76" dxfId="2">
      <formula>'קבוצות'!$D$7="ים"</formula>
    </cfRule>
    <cfRule type="expression" priority="79" dxfId="3">
      <formula>'קבוצות'!$D$7="ספארי"</formula>
    </cfRule>
    <cfRule type="expression" priority="82" dxfId="4">
      <formula>'קבוצות'!$D$7="שדה"</formula>
    </cfRule>
    <cfRule type="expression" priority="85" dxfId="5">
      <formula>'קבוצות'!$D$7="סגול"</formula>
    </cfRule>
    <cfRule type="expression" priority="88" dxfId="6">
      <formula>'קבוצות'!$D$7="ירוק"</formula>
    </cfRule>
  </conditionalFormatting>
  <conditionalFormatting sqref="A105:A122">
    <cfRule type="expression" priority="74" dxfId="1">
      <formula>'קבוצות'!$D$7="ורוד"</formula>
    </cfRule>
    <cfRule type="expression" priority="77" dxfId="2">
      <formula>'קבוצות'!$D$7="ים"</formula>
    </cfRule>
    <cfRule type="expression" priority="80" dxfId="3">
      <formula>'קבוצות'!$D$7="ספארי"</formula>
    </cfRule>
    <cfRule type="expression" priority="83" dxfId="4">
      <formula>'קבוצות'!$D$7="שדה"</formula>
    </cfRule>
    <cfRule type="expression" priority="86" dxfId="5">
      <formula>'קבוצות'!$D$7="סגול"</formula>
    </cfRule>
    <cfRule type="expression" priority="89" dxfId="6">
      <formula>'קבוצות'!$D$7="ירוק"</formula>
    </cfRule>
  </conditionalFormatting>
  <conditionalFormatting sqref="A101:F101">
    <cfRule type="expression" priority="75" dxfId="7">
      <formula>'קבוצות'!$D$7="ורוד"</formula>
    </cfRule>
    <cfRule type="expression" priority="78" dxfId="8">
      <formula>'קבוצות'!$D$7="ים"</formula>
    </cfRule>
    <cfRule type="expression" priority="81" dxfId="9">
      <formula>'קבוצות'!$D$7="ספארי"</formula>
    </cfRule>
    <cfRule type="expression" priority="84" dxfId="10">
      <formula>'קבוצות'!$D$7="שדה"</formula>
    </cfRule>
    <cfRule type="expression" priority="87" dxfId="11">
      <formula>'קבוצות'!$D$7="סגול"</formula>
    </cfRule>
    <cfRule type="expression" priority="90" dxfId="12">
      <formula>'קבוצות'!$D$7="ירוק"</formula>
    </cfRule>
  </conditionalFormatting>
  <conditionalFormatting sqref="A127:F128">
    <cfRule type="expression" priority="91" dxfId="1">
      <formula>'קבוצות'!$D$8="ורוד"</formula>
    </cfRule>
    <cfRule type="expression" priority="94" dxfId="2">
      <formula>'קבוצות'!$D$8="ים"</formula>
    </cfRule>
    <cfRule type="expression" priority="97" dxfId="3">
      <formula>'קבוצות'!$D$8="ספארי"</formula>
    </cfRule>
    <cfRule type="expression" priority="100" dxfId="4">
      <formula>'קבוצות'!$D$8="שדה"</formula>
    </cfRule>
    <cfRule type="expression" priority="103" dxfId="5">
      <formula>'קבוצות'!$D$8="סגול"</formula>
    </cfRule>
    <cfRule type="expression" priority="106" dxfId="6">
      <formula>'קבוצות'!$D$8="ירוק"</formula>
    </cfRule>
  </conditionalFormatting>
  <conditionalFormatting sqref="A130:A147">
    <cfRule type="expression" priority="92" dxfId="1">
      <formula>'קבוצות'!$D$8="ורוד"</formula>
    </cfRule>
    <cfRule type="expression" priority="95" dxfId="2">
      <formula>'קבוצות'!$D$8="ים"</formula>
    </cfRule>
    <cfRule type="expression" priority="98" dxfId="3">
      <formula>'קבוצות'!$D$8="ספארי"</formula>
    </cfRule>
    <cfRule type="expression" priority="101" dxfId="4">
      <formula>'קבוצות'!$D$8="שדה"</formula>
    </cfRule>
    <cfRule type="expression" priority="104" dxfId="5">
      <formula>'קבוצות'!$D$8="סגול"</formula>
    </cfRule>
    <cfRule type="expression" priority="107" dxfId="6">
      <formula>'קבוצות'!$D$8="ירוק"</formula>
    </cfRule>
  </conditionalFormatting>
  <conditionalFormatting sqref="A126:F126">
    <cfRule type="expression" priority="93" dxfId="7">
      <formula>'קבוצות'!$D$8="ורוד"</formula>
    </cfRule>
    <cfRule type="expression" priority="96" dxfId="8">
      <formula>'קבוצות'!$D$8="ים"</formula>
    </cfRule>
    <cfRule type="expression" priority="99" dxfId="9">
      <formula>'קבוצות'!$D$8="ספארי"</formula>
    </cfRule>
    <cfRule type="expression" priority="102" dxfId="10">
      <formula>'קבוצות'!$D$8="שדה"</formula>
    </cfRule>
    <cfRule type="expression" priority="105" dxfId="11">
      <formula>'קבוצות'!$D$8="סגול"</formula>
    </cfRule>
    <cfRule type="expression" priority="108" dxfId="12">
      <formula>'קבוצות'!$D$8="ירוק"</formula>
    </cfRule>
  </conditionalFormatting>
  <pageMargins left="0.4" right="0.4" top="0.5" bottom="0.5" header="0.5" footer="0.5"/>
  <pageSetup orientation="portrait" paperSize="9" fitToHeight="0" fitToWidth="1"/>
  <rowBreaks count="5" manualBreakCount="5">
    <brk id="25" min="0" max="16383" man="1"/>
    <brk id="50" min="0" max="16383" man="1"/>
    <brk id="75" min="0" max="16383" man="1"/>
    <brk id="100" min="0" max="16383" man="1"/>
    <brk id="125" min="0" max="16383" man="1"/>
  </rowBreaks>
</worksheet>
</file>

<file path=xl/worksheets/sheet5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10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30" customWidth="1" min="3" max="3"/>
    <col width="30" customWidth="1" min="4" max="4"/>
    <col width="30" customWidth="1" min="5" max="5"/>
    <col hidden="1" width="13" customWidth="1" min="7" max="7"/>
  </cols>
  <sheetData>
    <row r="1" ht="40" customHeight="1">
      <c r="A1" s="1" t="inlineStr">
        <is>
          <t>לו"ז צל — מי עושה מה ומתי</t>
        </is>
      </c>
    </row>
    <row r="2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3" ht="24" customHeight="1">
      <c r="A3" s="56">
        <f>"משימות בשיבוץ: "&amp;COUNTA('שיבוץ'!$D$3:$D$152)&amp;"   ·   עוגנו: "&amp;(COUNTA('שיבוץ'!$D$3:$D$152)-COUNTIF('שיבוץ'!$J$3:$J$152,"(ללא עוגן)"))&amp;"   ·   ללא עוגן: "&amp;COUNTIF('שיבוץ'!$J$3:$J$152,"(ללא עוגן)")&amp;IF(COUNTIF('שיבוץ'!$J$3:$J$152,"(ללא עוגן)")=0,"   ✔ הכל מופיע כאן","   ⚠ ראו «ללא עוגן» בתחתית")</f>
        <v/>
      </c>
    </row>
    <row r="4" ht="24" customHeight="1">
      <c r="A4" s="16" t="inlineStr">
        <is>
          <t>שעה</t>
        </is>
      </c>
      <c r="B4" s="16" t="inlineStr">
        <is>
          <t>בלו"ז</t>
        </is>
      </c>
      <c r="C4" s="16" t="inlineStr">
        <is>
          <t>מה קורה מאחורי הקלעים</t>
        </is>
      </c>
      <c r="D4" s="57" t="n"/>
      <c r="E4" s="58" t="n"/>
    </row>
    <row r="5" ht="24" customHeight="1">
      <c r="A5" s="59" t="n"/>
      <c r="B5" s="60" t="inlineStr">
        <is>
          <t>חמישי — הכנות</t>
        </is>
      </c>
      <c r="C5" s="21">
        <f>$G5</f>
        <v/>
      </c>
      <c r="D5" s="33" t="n"/>
      <c r="E5" s="33" t="n"/>
      <c r="G5">
        <f>IFERROR(INDEX('שיבוץ'!$H$3:$H$152,MATCH("חמישי — הכנות"&amp;"|"&amp;1,'שיבוץ'!$L$3:$L$152,0))&amp;"","")</f>
        <v/>
      </c>
    </row>
    <row r="6" ht="24" customHeight="1">
      <c r="A6" s="33" t="n"/>
      <c r="B6" s="33" t="n"/>
      <c r="C6" s="21">
        <f>$G6</f>
        <v/>
      </c>
      <c r="D6" s="33" t="n"/>
      <c r="E6" s="33" t="n"/>
      <c r="G6">
        <f>IFERROR(INDEX('שיבוץ'!$H$3:$H$152,MATCH("חמישי — הכנות"&amp;"|"&amp;2,'שיבוץ'!$L$3:$L$152,0))&amp;"","")</f>
        <v/>
      </c>
    </row>
    <row r="7" ht="24" customHeight="1">
      <c r="A7" s="33" t="n"/>
      <c r="B7" s="33" t="n"/>
      <c r="C7" s="21">
        <f>$G7</f>
        <v/>
      </c>
      <c r="D7" s="33" t="n"/>
      <c r="E7" s="33" t="n"/>
      <c r="G7">
        <f>IFERROR(INDEX('שיבוץ'!$H$3:$H$152,MATCH("חמישי — הכנות"&amp;"|"&amp;3,'שיבוץ'!$L$3:$L$152,0))&amp;"","")</f>
        <v/>
      </c>
    </row>
    <row r="8" ht="24" customHeight="1">
      <c r="A8" s="33" t="n"/>
      <c r="B8" s="33" t="n"/>
      <c r="C8" s="21">
        <f>$G8</f>
        <v/>
      </c>
      <c r="D8" s="33" t="n"/>
      <c r="E8" s="33" t="n"/>
      <c r="G8">
        <f>IFERROR(INDEX('שיבוץ'!$H$3:$H$152,MATCH("חמישי — הכנות"&amp;"|"&amp;4,'שיבוץ'!$L$3:$L$152,0))&amp;"","")</f>
        <v/>
      </c>
    </row>
    <row r="9" ht="24" customHeight="1">
      <c r="A9" s="33" t="n"/>
      <c r="B9" s="33" t="n"/>
      <c r="C9" s="21">
        <f>$G9</f>
        <v/>
      </c>
      <c r="D9" s="33" t="n"/>
      <c r="E9" s="33" t="n"/>
      <c r="G9">
        <f>IFERROR(INDEX('שיבוץ'!$H$3:$H$152,MATCH("חמישי — הכנות"&amp;"|"&amp;5,'שיבוץ'!$L$3:$L$152,0))&amp;"","")</f>
        <v/>
      </c>
    </row>
    <row r="10" ht="24" customHeight="1">
      <c r="A10" s="59" t="n"/>
      <c r="B10" s="60" t="inlineStr">
        <is>
          <t>שישי — ארוחת בוקר</t>
        </is>
      </c>
      <c r="C10" s="21">
        <f>$G10</f>
        <v/>
      </c>
      <c r="D10" s="33" t="n"/>
      <c r="E10" s="33" t="n"/>
      <c r="G10">
        <f>IFERROR(INDEX('שיבוץ'!$H$3:$H$152,MATCH("שישי — ארוחת בוקר"&amp;"|"&amp;1,'שיבוץ'!$L$3:$L$152,0))&amp;"","")</f>
        <v/>
      </c>
    </row>
    <row r="11" ht="24" customHeight="1">
      <c r="A11" s="33" t="n"/>
      <c r="B11" s="33" t="n"/>
      <c r="C11" s="21">
        <f>$G11</f>
        <v/>
      </c>
      <c r="D11" s="33" t="n"/>
      <c r="E11" s="33" t="n"/>
      <c r="G11">
        <f>IFERROR(INDEX('שיבוץ'!$H$3:$H$152,MATCH("שישי — ארוחת בוקר"&amp;"|"&amp;2,'שיבוץ'!$L$3:$L$152,0))&amp;"","")</f>
        <v/>
      </c>
    </row>
    <row r="12" ht="24" customHeight="1">
      <c r="A12" s="33" t="n"/>
      <c r="B12" s="33" t="n"/>
      <c r="C12" s="21">
        <f>$G12</f>
        <v/>
      </c>
      <c r="D12" s="33" t="n"/>
      <c r="E12" s="33" t="n"/>
      <c r="G12">
        <f>IFERROR(INDEX('שיבוץ'!$H$3:$H$152,MATCH("שישי — ארוחת בוקר"&amp;"|"&amp;3,'שיבוץ'!$L$3:$L$152,0))&amp;"","")</f>
        <v/>
      </c>
    </row>
    <row r="13" ht="24" customHeight="1">
      <c r="A13" s="33" t="n"/>
      <c r="B13" s="33" t="n"/>
      <c r="C13" s="21">
        <f>$G13</f>
        <v/>
      </c>
      <c r="D13" s="33" t="n"/>
      <c r="E13" s="33" t="n"/>
      <c r="G13">
        <f>IFERROR(INDEX('שיבוץ'!$H$3:$H$152,MATCH("שישי — ארוחת בוקר"&amp;"|"&amp;4,'שיבוץ'!$L$3:$L$152,0))&amp;"","")</f>
        <v/>
      </c>
    </row>
    <row r="14" ht="24" customHeight="1">
      <c r="A14" s="33" t="n"/>
      <c r="B14" s="33" t="n"/>
      <c r="C14" s="21">
        <f>$G14</f>
        <v/>
      </c>
      <c r="D14" s="33" t="n"/>
      <c r="E14" s="33" t="n"/>
      <c r="G14">
        <f>IFERROR(INDEX('שיבוץ'!$H$3:$H$152,MATCH("שישי — ארוחת בוקר"&amp;"|"&amp;5,'שיבוץ'!$L$3:$L$152,0))&amp;"","")</f>
        <v/>
      </c>
    </row>
    <row r="15" ht="24" customHeight="1">
      <c r="A15" s="59" t="n"/>
      <c r="B15" s="60" t="inlineStr">
        <is>
          <t>שישי — הכנות ועבודה</t>
        </is>
      </c>
      <c r="C15" s="21">
        <f>$G15</f>
        <v/>
      </c>
      <c r="D15" s="33" t="n"/>
      <c r="E15" s="33" t="n"/>
      <c r="G15">
        <f>IFERROR(INDEX('שיבוץ'!$H$3:$H$152,MATCH("שישי — הכנות ועבודה"&amp;"|"&amp;1,'שיבוץ'!$L$3:$L$152,0))&amp;"","")</f>
        <v/>
      </c>
    </row>
    <row r="16" ht="24" customHeight="1">
      <c r="A16" s="33" t="n"/>
      <c r="B16" s="33" t="n"/>
      <c r="C16" s="21">
        <f>$G16</f>
        <v/>
      </c>
      <c r="D16" s="33" t="n"/>
      <c r="E16" s="33" t="n"/>
      <c r="G16">
        <f>IFERROR(INDEX('שיבוץ'!$H$3:$H$152,MATCH("שישי — הכנות ועבודה"&amp;"|"&amp;2,'שיבוץ'!$L$3:$L$152,0))&amp;"","")</f>
        <v/>
      </c>
    </row>
    <row r="17" ht="24" customHeight="1">
      <c r="A17" s="33" t="n"/>
      <c r="B17" s="33" t="n"/>
      <c r="C17" s="21">
        <f>$G17</f>
        <v/>
      </c>
      <c r="D17" s="33" t="n"/>
      <c r="E17" s="33" t="n"/>
      <c r="G17">
        <f>IFERROR(INDEX('שיבוץ'!$H$3:$H$152,MATCH("שישי — הכנות ועבודה"&amp;"|"&amp;3,'שיבוץ'!$L$3:$L$152,0))&amp;"","")</f>
        <v/>
      </c>
    </row>
    <row r="18" ht="24" customHeight="1">
      <c r="A18" s="33" t="n"/>
      <c r="B18" s="33" t="n"/>
      <c r="C18" s="21">
        <f>$G18</f>
        <v/>
      </c>
      <c r="D18" s="33" t="n"/>
      <c r="E18" s="33" t="n"/>
      <c r="G18">
        <f>IFERROR(INDEX('שיבוץ'!$H$3:$H$152,MATCH("שישי — הכנות ועבודה"&amp;"|"&amp;4,'שיבוץ'!$L$3:$L$152,0))&amp;"","")</f>
        <v/>
      </c>
    </row>
    <row r="19" ht="24" customHeight="1">
      <c r="A19" s="33" t="n"/>
      <c r="B19" s="33" t="n"/>
      <c r="C19" s="21">
        <f>$G19</f>
        <v/>
      </c>
      <c r="D19" s="33" t="n"/>
      <c r="E19" s="33" t="n"/>
      <c r="G19">
        <f>IFERROR(INDEX('שיבוץ'!$H$3:$H$152,MATCH("שישי — הכנות ועבודה"&amp;"|"&amp;5,'שיבוץ'!$L$3:$L$152,0))&amp;"","")</f>
        <v/>
      </c>
    </row>
    <row r="20" ht="24" customHeight="1">
      <c r="A20" s="59" t="n"/>
      <c r="B20" s="60" t="inlineStr">
        <is>
          <t>שישי — ארוחת צהריים</t>
        </is>
      </c>
      <c r="C20" s="21">
        <f>$G20</f>
        <v/>
      </c>
      <c r="D20" s="33" t="n"/>
      <c r="E20" s="33" t="n"/>
      <c r="G20">
        <f>IFERROR(INDEX('שיבוץ'!$H$3:$H$152,MATCH("שישי — ארוחת צהריים"&amp;"|"&amp;1,'שיבוץ'!$L$3:$L$152,0))&amp;"","")</f>
        <v/>
      </c>
    </row>
    <row r="21" ht="24" customHeight="1">
      <c r="A21" s="33" t="n"/>
      <c r="B21" s="33" t="n"/>
      <c r="C21" s="21">
        <f>$G21</f>
        <v/>
      </c>
      <c r="D21" s="33" t="n"/>
      <c r="E21" s="33" t="n"/>
      <c r="G21">
        <f>IFERROR(INDEX('שיבוץ'!$H$3:$H$152,MATCH("שישי — ארוחת צהריים"&amp;"|"&amp;2,'שיבוץ'!$L$3:$L$152,0))&amp;"","")</f>
        <v/>
      </c>
    </row>
    <row r="22" ht="24" customHeight="1">
      <c r="A22" s="33" t="n"/>
      <c r="B22" s="33" t="n"/>
      <c r="C22" s="21">
        <f>$G22</f>
        <v/>
      </c>
      <c r="D22" s="33" t="n"/>
      <c r="E22" s="33" t="n"/>
      <c r="G22">
        <f>IFERROR(INDEX('שיבוץ'!$H$3:$H$152,MATCH("שישי — ארוחת צהריים"&amp;"|"&amp;3,'שיבוץ'!$L$3:$L$152,0))&amp;"","")</f>
        <v/>
      </c>
    </row>
    <row r="23" ht="24" customHeight="1">
      <c r="A23" s="33" t="n"/>
      <c r="B23" s="33" t="n"/>
      <c r="C23" s="21">
        <f>$G23</f>
        <v/>
      </c>
      <c r="D23" s="33" t="n"/>
      <c r="E23" s="33" t="n"/>
      <c r="G23">
        <f>IFERROR(INDEX('שיבוץ'!$H$3:$H$152,MATCH("שישי — ארוחת צהריים"&amp;"|"&amp;4,'שיבוץ'!$L$3:$L$152,0))&amp;"","")</f>
        <v/>
      </c>
    </row>
    <row r="24" ht="24" customHeight="1">
      <c r="A24" s="33" t="n"/>
      <c r="B24" s="33" t="n"/>
      <c r="C24" s="21">
        <f>$G24</f>
        <v/>
      </c>
      <c r="D24" s="33" t="n"/>
      <c r="E24" s="33" t="n"/>
      <c r="G24">
        <f>IFERROR(INDEX('שיבוץ'!$H$3:$H$152,MATCH("שישי — ארוחת צהריים"&amp;"|"&amp;5,'שיבוץ'!$L$3:$L$152,0))&amp;"","")</f>
        <v/>
      </c>
    </row>
    <row r="25" ht="24" customHeight="1">
      <c r="A25" s="59">
        <f>IF(N('לוז'!$B$4)=0,"",TEXT(HOUR('לוז'!$B$4),"00")&amp;":"&amp;TEXT(MINUTE('לוז'!$B$4),"00"))</f>
        <v/>
      </c>
      <c r="B25" s="61" t="inlineStr">
        <is>
          <t>קבלת שבת ישראלית</t>
        </is>
      </c>
      <c r="C25" s="21">
        <f>$G25</f>
        <v/>
      </c>
      <c r="D25" s="33" t="n"/>
      <c r="E25" s="33" t="n"/>
      <c r="G25">
        <f>IFERROR(INDEX('שיבוץ'!$H$3:$H$152,MATCH("קבלת שבת ישראלית"&amp;"|"&amp;1,'שיבוץ'!$L$3:$L$152,0))&amp;"","")</f>
        <v/>
      </c>
    </row>
    <row r="26" ht="24" customHeight="1">
      <c r="A26" s="33" t="n"/>
      <c r="B26" s="33" t="n"/>
      <c r="C26" s="21">
        <f>$G26</f>
        <v/>
      </c>
      <c r="D26" s="33" t="n"/>
      <c r="E26" s="33" t="n"/>
      <c r="G26">
        <f>IFERROR(INDEX('שיבוץ'!$H$3:$H$152,MATCH("קבלת שבת ישראלית"&amp;"|"&amp;2,'שיבוץ'!$L$3:$L$152,0))&amp;"","")</f>
        <v/>
      </c>
    </row>
    <row r="27" ht="24" customHeight="1">
      <c r="A27" s="33" t="n"/>
      <c r="B27" s="33" t="n"/>
      <c r="C27" s="21">
        <f>$G27</f>
        <v/>
      </c>
      <c r="D27" s="33" t="n"/>
      <c r="E27" s="33" t="n"/>
      <c r="G27">
        <f>IFERROR(INDEX('שיבוץ'!$H$3:$H$152,MATCH("קבלת שבת ישראלית"&amp;"|"&amp;3,'שיבוץ'!$L$3:$L$152,0))&amp;"","")</f>
        <v/>
      </c>
    </row>
    <row r="28" ht="24" customHeight="1">
      <c r="A28" s="33" t="n"/>
      <c r="B28" s="33" t="n"/>
      <c r="C28" s="21">
        <f>$G28</f>
        <v/>
      </c>
      <c r="D28" s="33" t="n"/>
      <c r="E28" s="33" t="n"/>
      <c r="G28">
        <f>IFERROR(INDEX('שיבוץ'!$H$3:$H$152,MATCH("קבלת שבת ישראלית"&amp;"|"&amp;4,'שיבוץ'!$L$3:$L$152,0))&amp;"","")</f>
        <v/>
      </c>
    </row>
    <row r="29" ht="24" customHeight="1">
      <c r="A29" s="33" t="n"/>
      <c r="B29" s="33" t="n"/>
      <c r="C29" s="21">
        <f>$G29</f>
        <v/>
      </c>
      <c r="D29" s="33" t="n"/>
      <c r="E29" s="33" t="n"/>
      <c r="G29">
        <f>IFERROR(INDEX('שיבוץ'!$H$3:$H$152,MATCH("קבלת שבת ישראלית"&amp;"|"&amp;5,'שיבוץ'!$L$3:$L$152,0))&amp;"","")</f>
        <v/>
      </c>
    </row>
    <row r="30" ht="24" customHeight="1">
      <c r="A30" s="59">
        <f>IF(N('לוז'!$B$5)=0,"",TEXT(HOUR('לוז'!$B$5),"00")&amp;":"&amp;TEXT(MINUTE('לוז'!$B$5),"00"))</f>
        <v/>
      </c>
      <c r="B30" s="61" t="inlineStr">
        <is>
          <t>כניסת שבת</t>
        </is>
      </c>
      <c r="C30" s="21">
        <f>$G30</f>
        <v/>
      </c>
      <c r="D30" s="33" t="n"/>
      <c r="E30" s="33" t="n"/>
      <c r="G30">
        <f>IFERROR(INDEX('שיבוץ'!$H$3:$H$152,MATCH("כניסת שבת"&amp;"|"&amp;1,'שיבוץ'!$L$3:$L$152,0))&amp;"","")</f>
        <v/>
      </c>
    </row>
    <row r="31" ht="24" customHeight="1">
      <c r="A31" s="33" t="n"/>
      <c r="B31" s="33" t="n"/>
      <c r="C31" s="21">
        <f>$G31</f>
        <v/>
      </c>
      <c r="D31" s="33" t="n"/>
      <c r="E31" s="33" t="n"/>
      <c r="G31">
        <f>IFERROR(INDEX('שיבוץ'!$H$3:$H$152,MATCH("כניסת שבת"&amp;"|"&amp;2,'שיבוץ'!$L$3:$L$152,0))&amp;"","")</f>
        <v/>
      </c>
    </row>
    <row r="32" ht="24" customHeight="1">
      <c r="A32" s="33" t="n"/>
      <c r="B32" s="33" t="n"/>
      <c r="C32" s="21">
        <f>$G32</f>
        <v/>
      </c>
      <c r="D32" s="33" t="n"/>
      <c r="E32" s="33" t="n"/>
      <c r="G32">
        <f>IFERROR(INDEX('שיבוץ'!$H$3:$H$152,MATCH("כניסת שבת"&amp;"|"&amp;3,'שיבוץ'!$L$3:$L$152,0))&amp;"","")</f>
        <v/>
      </c>
    </row>
    <row r="33" ht="24" customHeight="1">
      <c r="A33" s="33" t="n"/>
      <c r="B33" s="33" t="n"/>
      <c r="C33" s="21">
        <f>$G33</f>
        <v/>
      </c>
      <c r="D33" s="33" t="n"/>
      <c r="E33" s="33" t="n"/>
      <c r="G33">
        <f>IFERROR(INDEX('שיבוץ'!$H$3:$H$152,MATCH("כניסת שבת"&amp;"|"&amp;4,'שיבוץ'!$L$3:$L$152,0))&amp;"","")</f>
        <v/>
      </c>
    </row>
    <row r="34" ht="24" customHeight="1">
      <c r="A34" s="33" t="n"/>
      <c r="B34" s="33" t="n"/>
      <c r="C34" s="21">
        <f>$G34</f>
        <v/>
      </c>
      <c r="D34" s="33" t="n"/>
      <c r="E34" s="33" t="n"/>
      <c r="G34">
        <f>IFERROR(INDEX('שיבוץ'!$H$3:$H$152,MATCH("כניסת שבת"&amp;"|"&amp;5,'שיבוץ'!$L$3:$L$152,0))&amp;"","")</f>
        <v/>
      </c>
    </row>
    <row r="35" ht="24" customHeight="1">
      <c r="A35" s="59">
        <f>IF(N('לוז'!$B$6)=0,"",TEXT(HOUR('לוז'!$B$6),"00")&amp;":"&amp;TEXT(MINUTE('לוז'!$B$6),"00"))</f>
        <v/>
      </c>
      <c r="B35" s="61" t="inlineStr">
        <is>
          <t>קבלת שבת וערבית</t>
        </is>
      </c>
      <c r="C35" s="21">
        <f>$G35</f>
        <v/>
      </c>
      <c r="D35" s="33" t="n"/>
      <c r="E35" s="33" t="n"/>
      <c r="G35">
        <f>IFERROR(INDEX('שיבוץ'!$H$3:$H$152,MATCH("קבלת שבת וערבית"&amp;"|"&amp;1,'שיבוץ'!$L$3:$L$152,0))&amp;"","")</f>
        <v/>
      </c>
    </row>
    <row r="36" ht="24" customHeight="1">
      <c r="A36" s="33" t="n"/>
      <c r="B36" s="33" t="n"/>
      <c r="C36" s="21">
        <f>$G36</f>
        <v/>
      </c>
      <c r="D36" s="33" t="n"/>
      <c r="E36" s="33" t="n"/>
      <c r="G36">
        <f>IFERROR(INDEX('שיבוץ'!$H$3:$H$152,MATCH("קבלת שבת וערבית"&amp;"|"&amp;2,'שיבוץ'!$L$3:$L$152,0))&amp;"","")</f>
        <v/>
      </c>
    </row>
    <row r="37" ht="24" customHeight="1">
      <c r="A37" s="33" t="n"/>
      <c r="B37" s="33" t="n"/>
      <c r="C37" s="21">
        <f>$G37</f>
        <v/>
      </c>
      <c r="D37" s="33" t="n"/>
      <c r="E37" s="33" t="n"/>
      <c r="G37">
        <f>IFERROR(INDEX('שיבוץ'!$H$3:$H$152,MATCH("קבלת שבת וערבית"&amp;"|"&amp;3,'שיבוץ'!$L$3:$L$152,0))&amp;"","")</f>
        <v/>
      </c>
    </row>
    <row r="38" ht="24" customHeight="1">
      <c r="A38" s="33" t="n"/>
      <c r="B38" s="33" t="n"/>
      <c r="C38" s="21">
        <f>$G38</f>
        <v/>
      </c>
      <c r="D38" s="33" t="n"/>
      <c r="E38" s="33" t="n"/>
      <c r="G38">
        <f>IFERROR(INDEX('שיבוץ'!$H$3:$H$152,MATCH("קבלת שבת וערבית"&amp;"|"&amp;4,'שיבוץ'!$L$3:$L$152,0))&amp;"","")</f>
        <v/>
      </c>
    </row>
    <row r="39" ht="24" customHeight="1">
      <c r="A39" s="33" t="n"/>
      <c r="B39" s="33" t="n"/>
      <c r="C39" s="21">
        <f>$G39</f>
        <v/>
      </c>
      <c r="D39" s="33" t="n"/>
      <c r="E39" s="33" t="n"/>
      <c r="G39">
        <f>IFERROR(INDEX('שיבוץ'!$H$3:$H$152,MATCH("קבלת שבת וערבית"&amp;"|"&amp;5,'שיבוץ'!$L$3:$L$152,0))&amp;"","")</f>
        <v/>
      </c>
    </row>
    <row r="40" ht="24" customHeight="1">
      <c r="A40" s="59">
        <f>IF(N('לוז'!$B$7)=0,"",TEXT(HOUR('לוז'!$B$7),"00")&amp;":"&amp;TEXT(MINUTE('לוז'!$B$7),"00"))</f>
        <v/>
      </c>
      <c r="B40" s="61" t="inlineStr">
        <is>
          <t>סעודת שבת</t>
        </is>
      </c>
      <c r="C40" s="21">
        <f>$G40</f>
        <v/>
      </c>
      <c r="D40" s="33" t="n"/>
      <c r="E40" s="33" t="n"/>
      <c r="G40">
        <f>IFERROR(INDEX('שיבוץ'!$H$3:$H$152,MATCH("סעודת שבת"&amp;"|"&amp;1,'שיבוץ'!$L$3:$L$152,0))&amp;"","")</f>
        <v/>
      </c>
    </row>
    <row r="41" ht="24" customHeight="1">
      <c r="A41" s="33" t="n"/>
      <c r="B41" s="33" t="n"/>
      <c r="C41" s="21">
        <f>$G41</f>
        <v/>
      </c>
      <c r="D41" s="33" t="n"/>
      <c r="E41" s="33" t="n"/>
      <c r="G41">
        <f>IFERROR(INDEX('שיבוץ'!$H$3:$H$152,MATCH("סעודת שבת"&amp;"|"&amp;2,'שיבוץ'!$L$3:$L$152,0))&amp;"","")</f>
        <v/>
      </c>
    </row>
    <row r="42" ht="24" customHeight="1">
      <c r="A42" s="33" t="n"/>
      <c r="B42" s="33" t="n"/>
      <c r="C42" s="21">
        <f>$G42</f>
        <v/>
      </c>
      <c r="D42" s="33" t="n"/>
      <c r="E42" s="33" t="n"/>
      <c r="G42">
        <f>IFERROR(INDEX('שיבוץ'!$H$3:$H$152,MATCH("סעודת שבת"&amp;"|"&amp;3,'שיבוץ'!$L$3:$L$152,0))&amp;"","")</f>
        <v/>
      </c>
    </row>
    <row r="43" ht="24" customHeight="1">
      <c r="A43" s="33" t="n"/>
      <c r="B43" s="33" t="n"/>
      <c r="C43" s="21">
        <f>$G43</f>
        <v/>
      </c>
      <c r="D43" s="33" t="n"/>
      <c r="E43" s="33" t="n"/>
      <c r="G43">
        <f>IFERROR(INDEX('שיבוץ'!$H$3:$H$152,MATCH("סעודת שבת"&amp;"|"&amp;4,'שיבוץ'!$L$3:$L$152,0))&amp;"","")</f>
        <v/>
      </c>
    </row>
    <row r="44" ht="24" customHeight="1">
      <c r="A44" s="33" t="n"/>
      <c r="B44" s="33" t="n"/>
      <c r="C44" s="21">
        <f>$G44</f>
        <v/>
      </c>
      <c r="D44" s="33" t="n"/>
      <c r="E44" s="33" t="n"/>
      <c r="G44">
        <f>IFERROR(INDEX('שיבוץ'!$H$3:$H$152,MATCH("סעודת שבת"&amp;"|"&amp;5,'שיבוץ'!$L$3:$L$152,0))&amp;"","")</f>
        <v/>
      </c>
    </row>
    <row r="45" ht="24" customHeight="1">
      <c r="A45" s="59">
        <f>IF(N('לוז'!$B$8)=0,"",TEXT(HOUR('לוז'!$B$8),"00")&amp;":"&amp;TEXT(MINUTE('לוז'!$B$8),"00"))</f>
        <v/>
      </c>
      <c r="B45" s="61" t="inlineStr">
        <is>
          <t>טיש עם איש צוות</t>
        </is>
      </c>
      <c r="C45" s="21">
        <f>$G45</f>
        <v/>
      </c>
      <c r="D45" s="33" t="n"/>
      <c r="E45" s="33" t="n"/>
      <c r="G45">
        <f>IFERROR(INDEX('שיבוץ'!$H$3:$H$152,MATCH("טיש עם איש צוות"&amp;"|"&amp;1,'שיבוץ'!$L$3:$L$152,0))&amp;"","")</f>
        <v/>
      </c>
    </row>
    <row r="46" ht="24" customHeight="1">
      <c r="A46" s="33" t="n"/>
      <c r="B46" s="33" t="n"/>
      <c r="C46" s="21">
        <f>$G46</f>
        <v/>
      </c>
      <c r="D46" s="33" t="n"/>
      <c r="E46" s="33" t="n"/>
      <c r="G46">
        <f>IFERROR(INDEX('שיבוץ'!$H$3:$H$152,MATCH("טיש עם איש צוות"&amp;"|"&amp;2,'שיבוץ'!$L$3:$L$152,0))&amp;"","")</f>
        <v/>
      </c>
    </row>
    <row r="47" ht="24" customHeight="1">
      <c r="A47" s="33" t="n"/>
      <c r="B47" s="33" t="n"/>
      <c r="C47" s="21">
        <f>$G47</f>
        <v/>
      </c>
      <c r="D47" s="33" t="n"/>
      <c r="E47" s="33" t="n"/>
      <c r="G47">
        <f>IFERROR(INDEX('שיבוץ'!$H$3:$H$152,MATCH("טיש עם איש צוות"&amp;"|"&amp;3,'שיבוץ'!$L$3:$L$152,0))&amp;"","")</f>
        <v/>
      </c>
    </row>
    <row r="48" ht="24" customHeight="1">
      <c r="A48" s="33" t="n"/>
      <c r="B48" s="33" t="n"/>
      <c r="C48" s="21">
        <f>$G48</f>
        <v/>
      </c>
      <c r="D48" s="33" t="n"/>
      <c r="E48" s="33" t="n"/>
      <c r="G48">
        <f>IFERROR(INDEX('שיבוץ'!$H$3:$H$152,MATCH("טיש עם איש צוות"&amp;"|"&amp;4,'שיבוץ'!$L$3:$L$152,0))&amp;"","")</f>
        <v/>
      </c>
    </row>
    <row r="49" ht="24" customHeight="1">
      <c r="A49" s="33" t="n"/>
      <c r="B49" s="33" t="n"/>
      <c r="C49" s="21">
        <f>$G49</f>
        <v/>
      </c>
      <c r="D49" s="33" t="n"/>
      <c r="E49" s="33" t="n"/>
      <c r="G49">
        <f>IFERROR(INDEX('שיבוץ'!$H$3:$H$152,MATCH("טיש עם איש צוות"&amp;"|"&amp;5,'שיבוץ'!$L$3:$L$152,0))&amp;"","")</f>
        <v/>
      </c>
    </row>
    <row r="50" ht="24" customHeight="1">
      <c r="A50" s="59">
        <f>IF(N('לוז'!$B$9)=0,"",TEXT(HOUR('לוז'!$B$9),"00")&amp;":"&amp;TEXT(MINUTE('לוז'!$B$9),"00"))</f>
        <v/>
      </c>
      <c r="B50" s="61" t="inlineStr">
        <is>
          <t>קידוש</t>
        </is>
      </c>
      <c r="C50" s="21">
        <f>$G50</f>
        <v/>
      </c>
      <c r="D50" s="33" t="n"/>
      <c r="E50" s="33" t="n"/>
      <c r="G50">
        <f>IFERROR(INDEX('שיבוץ'!$H$3:$H$152,MATCH("קידוש"&amp;"|"&amp;1,'שיבוץ'!$L$3:$L$152,0))&amp;"","")</f>
        <v/>
      </c>
    </row>
    <row r="51" ht="24" customHeight="1">
      <c r="A51" s="33" t="n"/>
      <c r="B51" s="33" t="n"/>
      <c r="C51" s="21">
        <f>$G51</f>
        <v/>
      </c>
      <c r="D51" s="33" t="n"/>
      <c r="E51" s="33" t="n"/>
      <c r="G51">
        <f>IFERROR(INDEX('שיבוץ'!$H$3:$H$152,MATCH("קידוש"&amp;"|"&amp;2,'שיבוץ'!$L$3:$L$152,0))&amp;"","")</f>
        <v/>
      </c>
    </row>
    <row r="52" ht="24" customHeight="1">
      <c r="A52" s="33" t="n"/>
      <c r="B52" s="33" t="n"/>
      <c r="C52" s="21">
        <f>$G52</f>
        <v/>
      </c>
      <c r="D52" s="33" t="n"/>
      <c r="E52" s="33" t="n"/>
      <c r="G52">
        <f>IFERROR(INDEX('שיבוץ'!$H$3:$H$152,MATCH("קידוש"&amp;"|"&amp;3,'שיבוץ'!$L$3:$L$152,0))&amp;"","")</f>
        <v/>
      </c>
    </row>
    <row r="53" ht="24" customHeight="1">
      <c r="A53" s="33" t="n"/>
      <c r="B53" s="33" t="n"/>
      <c r="C53" s="21">
        <f>$G53</f>
        <v/>
      </c>
      <c r="D53" s="33" t="n"/>
      <c r="E53" s="33" t="n"/>
      <c r="G53">
        <f>IFERROR(INDEX('שיבוץ'!$H$3:$H$152,MATCH("קידוש"&amp;"|"&amp;4,'שיבוץ'!$L$3:$L$152,0))&amp;"","")</f>
        <v/>
      </c>
    </row>
    <row r="54" ht="24" customHeight="1">
      <c r="A54" s="33" t="n"/>
      <c r="B54" s="33" t="n"/>
      <c r="C54" s="21">
        <f>$G54</f>
        <v/>
      </c>
      <c r="D54" s="33" t="n"/>
      <c r="E54" s="33" t="n"/>
      <c r="G54">
        <f>IFERROR(INDEX('שיבוץ'!$H$3:$H$152,MATCH("קידוש"&amp;"|"&amp;5,'שיבוץ'!$L$3:$L$152,0))&amp;"","")</f>
        <v/>
      </c>
    </row>
    <row r="55" ht="24" customHeight="1">
      <c r="A55" s="59">
        <f>IF(N('לוז'!$B$10)=0,"",TEXT(HOUR('לוז'!$B$10),"00")&amp;":"&amp;TEXT(MINUTE('לוז'!$B$10),"00"))</f>
        <v/>
      </c>
      <c r="B55" s="61" t="inlineStr">
        <is>
          <t>חבורות חניכים</t>
        </is>
      </c>
      <c r="C55" s="21">
        <f>$G55</f>
        <v/>
      </c>
      <c r="D55" s="33" t="n"/>
      <c r="E55" s="33" t="n"/>
      <c r="G55">
        <f>IFERROR(INDEX('שיבוץ'!$H$3:$H$152,MATCH("חבורות חניכים"&amp;"|"&amp;1,'שיבוץ'!$L$3:$L$152,0))&amp;"","")</f>
        <v/>
      </c>
    </row>
    <row r="56" ht="24" customHeight="1">
      <c r="A56" s="33" t="n"/>
      <c r="B56" s="33" t="n"/>
      <c r="C56" s="21">
        <f>$G56</f>
        <v/>
      </c>
      <c r="D56" s="33" t="n"/>
      <c r="E56" s="33" t="n"/>
      <c r="G56">
        <f>IFERROR(INDEX('שיבוץ'!$H$3:$H$152,MATCH("חבורות חניכים"&amp;"|"&amp;2,'שיבוץ'!$L$3:$L$152,0))&amp;"","")</f>
        <v/>
      </c>
    </row>
    <row r="57" ht="24" customHeight="1">
      <c r="A57" s="33" t="n"/>
      <c r="B57" s="33" t="n"/>
      <c r="C57" s="21">
        <f>$G57</f>
        <v/>
      </c>
      <c r="D57" s="33" t="n"/>
      <c r="E57" s="33" t="n"/>
      <c r="G57">
        <f>IFERROR(INDEX('שיבוץ'!$H$3:$H$152,MATCH("חבורות חניכים"&amp;"|"&amp;3,'שיבוץ'!$L$3:$L$152,0))&amp;"","")</f>
        <v/>
      </c>
    </row>
    <row r="58" ht="24" customHeight="1">
      <c r="A58" s="33" t="n"/>
      <c r="B58" s="33" t="n"/>
      <c r="C58" s="21">
        <f>$G58</f>
        <v/>
      </c>
      <c r="D58" s="33" t="n"/>
      <c r="E58" s="33" t="n"/>
      <c r="G58">
        <f>IFERROR(INDEX('שיבוץ'!$H$3:$H$152,MATCH("חבורות חניכים"&amp;"|"&amp;4,'שיבוץ'!$L$3:$L$152,0))&amp;"","")</f>
        <v/>
      </c>
    </row>
    <row r="59" ht="24" customHeight="1">
      <c r="A59" s="33" t="n"/>
      <c r="B59" s="33" t="n"/>
      <c r="C59" s="21">
        <f>$G59</f>
        <v/>
      </c>
      <c r="D59" s="33" t="n"/>
      <c r="E59" s="33" t="n"/>
      <c r="G59">
        <f>IFERROR(INDEX('שיבוץ'!$H$3:$H$152,MATCH("חבורות חניכים"&amp;"|"&amp;5,'שיבוץ'!$L$3:$L$152,0))&amp;"","")</f>
        <v/>
      </c>
    </row>
    <row r="60" ht="24" customHeight="1">
      <c r="A60" s="59">
        <f>IF(N('לוז'!$B$11)=0,"",TEXT(HOUR('לוז'!$B$11),"00")&amp;":"&amp;TEXT(MINUTE('לוז'!$B$11),"00"))</f>
        <v/>
      </c>
      <c r="B60" s="61" t="inlineStr">
        <is>
          <t>ארוחת צהריים</t>
        </is>
      </c>
      <c r="C60" s="21">
        <f>$G60</f>
        <v/>
      </c>
      <c r="D60" s="33" t="n"/>
      <c r="E60" s="33" t="n"/>
      <c r="G60">
        <f>IFERROR(INDEX('שיבוץ'!$H$3:$H$152,MATCH("ארוחת צהריים"&amp;"|"&amp;1,'שיבוץ'!$L$3:$L$152,0))&amp;"","")</f>
        <v/>
      </c>
    </row>
    <row r="61" ht="24" customHeight="1">
      <c r="A61" s="33" t="n"/>
      <c r="B61" s="33" t="n"/>
      <c r="C61" s="21">
        <f>$G61</f>
        <v/>
      </c>
      <c r="D61" s="33" t="n"/>
      <c r="E61" s="33" t="n"/>
      <c r="G61">
        <f>IFERROR(INDEX('שיבוץ'!$H$3:$H$152,MATCH("ארוחת צהריים"&amp;"|"&amp;2,'שיבוץ'!$L$3:$L$152,0))&amp;"","")</f>
        <v/>
      </c>
    </row>
    <row r="62" ht="24" customHeight="1">
      <c r="A62" s="33" t="n"/>
      <c r="B62" s="33" t="n"/>
      <c r="C62" s="21">
        <f>$G62</f>
        <v/>
      </c>
      <c r="D62" s="33" t="n"/>
      <c r="E62" s="33" t="n"/>
      <c r="G62">
        <f>IFERROR(INDEX('שיבוץ'!$H$3:$H$152,MATCH("ארוחת צהריים"&amp;"|"&amp;3,'שיבוץ'!$L$3:$L$152,0))&amp;"","")</f>
        <v/>
      </c>
    </row>
    <row r="63" ht="24" customHeight="1">
      <c r="A63" s="33" t="n"/>
      <c r="B63" s="33" t="n"/>
      <c r="C63" s="21">
        <f>$G63</f>
        <v/>
      </c>
      <c r="D63" s="33" t="n"/>
      <c r="E63" s="33" t="n"/>
      <c r="G63">
        <f>IFERROR(INDEX('שיבוץ'!$H$3:$H$152,MATCH("ארוחת צהריים"&amp;"|"&amp;4,'שיבוץ'!$L$3:$L$152,0))&amp;"","")</f>
        <v/>
      </c>
    </row>
    <row r="64" ht="24" customHeight="1">
      <c r="A64" s="33" t="n"/>
      <c r="B64" s="33" t="n"/>
      <c r="C64" s="21">
        <f>$G64</f>
        <v/>
      </c>
      <c r="D64" s="33" t="n"/>
      <c r="E64" s="33" t="n"/>
      <c r="G64">
        <f>IFERROR(INDEX('שיבוץ'!$H$3:$H$152,MATCH("ארוחת צהריים"&amp;"|"&amp;5,'שיבוץ'!$L$3:$L$152,0))&amp;"","")</f>
        <v/>
      </c>
    </row>
    <row r="65" ht="24" customHeight="1">
      <c r="A65" s="59">
        <f>IF(N('לוז'!$B$12)=0,"",TEXT(HOUR('לוז'!$B$12),"00")&amp;":"&amp;TEXT(MINUTE('לוז'!$B$12),"00"))</f>
        <v/>
      </c>
      <c r="B65" s="61" t="inlineStr">
        <is>
          <t>חבורה עם איש צוות</t>
        </is>
      </c>
      <c r="C65" s="21">
        <f>$G65</f>
        <v/>
      </c>
      <c r="D65" s="33" t="n"/>
      <c r="E65" s="33" t="n"/>
      <c r="G65">
        <f>IFERROR(INDEX('שיבוץ'!$H$3:$H$152,MATCH("חבורה עם איש צוות"&amp;"|"&amp;1,'שיבוץ'!$L$3:$L$152,0))&amp;"","")</f>
        <v/>
      </c>
    </row>
    <row r="66" ht="24" customHeight="1">
      <c r="A66" s="33" t="n"/>
      <c r="B66" s="33" t="n"/>
      <c r="C66" s="21">
        <f>$G66</f>
        <v/>
      </c>
      <c r="D66" s="33" t="n"/>
      <c r="E66" s="33" t="n"/>
      <c r="G66">
        <f>IFERROR(INDEX('שיבוץ'!$H$3:$H$152,MATCH("חבורה עם איש צוות"&amp;"|"&amp;2,'שיבוץ'!$L$3:$L$152,0))&amp;"","")</f>
        <v/>
      </c>
    </row>
    <row r="67" ht="24" customHeight="1">
      <c r="A67" s="33" t="n"/>
      <c r="B67" s="33" t="n"/>
      <c r="C67" s="21">
        <f>$G67</f>
        <v/>
      </c>
      <c r="D67" s="33" t="n"/>
      <c r="E67" s="33" t="n"/>
      <c r="G67">
        <f>IFERROR(INDEX('שיבוץ'!$H$3:$H$152,MATCH("חבורה עם איש צוות"&amp;"|"&amp;3,'שיבוץ'!$L$3:$L$152,0))&amp;"","")</f>
        <v/>
      </c>
    </row>
    <row r="68" ht="24" customHeight="1">
      <c r="A68" s="33" t="n"/>
      <c r="B68" s="33" t="n"/>
      <c r="C68" s="21">
        <f>$G68</f>
        <v/>
      </c>
      <c r="D68" s="33" t="n"/>
      <c r="E68" s="33" t="n"/>
      <c r="G68">
        <f>IFERROR(INDEX('שיבוץ'!$H$3:$H$152,MATCH("חבורה עם איש צוות"&amp;"|"&amp;4,'שיבוץ'!$L$3:$L$152,0))&amp;"","")</f>
        <v/>
      </c>
    </row>
    <row r="69" ht="24" customHeight="1">
      <c r="A69" s="33" t="n"/>
      <c r="B69" s="33" t="n"/>
      <c r="C69" s="21">
        <f>$G69</f>
        <v/>
      </c>
      <c r="D69" s="33" t="n"/>
      <c r="E69" s="33" t="n"/>
      <c r="G69">
        <f>IFERROR(INDEX('שיבוץ'!$H$3:$H$152,MATCH("חבורה עם איש צוות"&amp;"|"&amp;5,'שיבוץ'!$L$3:$L$152,0))&amp;"","")</f>
        <v/>
      </c>
    </row>
    <row r="70" ht="24" customHeight="1">
      <c r="A70" s="59">
        <f>IF(N('לוז'!$B$13)=0,"",TEXT(HOUR('לוז'!$B$13),"00")&amp;":"&amp;TEXT(MINUTE('לוז'!$B$13),"00"))</f>
        <v/>
      </c>
      <c r="B70" s="61" t="inlineStr">
        <is>
          <t>סעודה שלישית</t>
        </is>
      </c>
      <c r="C70" s="21">
        <f>$G70</f>
        <v/>
      </c>
      <c r="D70" s="33" t="n"/>
      <c r="E70" s="33" t="n"/>
      <c r="G70">
        <f>IFERROR(INDEX('שיבוץ'!$H$3:$H$152,MATCH("סעודה שלישית"&amp;"|"&amp;1,'שיבוץ'!$L$3:$L$152,0))&amp;"","")</f>
        <v/>
      </c>
    </row>
    <row r="71" ht="24" customHeight="1">
      <c r="A71" s="33" t="n"/>
      <c r="B71" s="33" t="n"/>
      <c r="C71" s="21">
        <f>$G71</f>
        <v/>
      </c>
      <c r="D71" s="33" t="n"/>
      <c r="E71" s="33" t="n"/>
      <c r="G71">
        <f>IFERROR(INDEX('שיבוץ'!$H$3:$H$152,MATCH("סעודה שלישית"&amp;"|"&amp;2,'שיבוץ'!$L$3:$L$152,0))&amp;"","")</f>
        <v/>
      </c>
    </row>
    <row r="72" ht="24" customHeight="1">
      <c r="A72" s="33" t="n"/>
      <c r="B72" s="33" t="n"/>
      <c r="C72" s="21">
        <f>$G72</f>
        <v/>
      </c>
      <c r="D72" s="33" t="n"/>
      <c r="E72" s="33" t="n"/>
      <c r="G72">
        <f>IFERROR(INDEX('שיבוץ'!$H$3:$H$152,MATCH("סעודה שלישית"&amp;"|"&amp;3,'שיבוץ'!$L$3:$L$152,0))&amp;"","")</f>
        <v/>
      </c>
    </row>
    <row r="73" ht="24" customHeight="1">
      <c r="A73" s="33" t="n"/>
      <c r="B73" s="33" t="n"/>
      <c r="C73" s="21">
        <f>$G73</f>
        <v/>
      </c>
      <c r="D73" s="33" t="n"/>
      <c r="E73" s="33" t="n"/>
      <c r="G73">
        <f>IFERROR(INDEX('שיבוץ'!$H$3:$H$152,MATCH("סעודה שלישית"&amp;"|"&amp;4,'שיבוץ'!$L$3:$L$152,0))&amp;"","")</f>
        <v/>
      </c>
    </row>
    <row r="74" ht="24" customHeight="1">
      <c r="A74" s="33" t="n"/>
      <c r="B74" s="33" t="n"/>
      <c r="C74" s="21">
        <f>$G74</f>
        <v/>
      </c>
      <c r="D74" s="33" t="n"/>
      <c r="E74" s="33" t="n"/>
      <c r="G74">
        <f>IFERROR(INDEX('שיבוץ'!$H$3:$H$152,MATCH("סעודה שלישית"&amp;"|"&amp;5,'שיבוץ'!$L$3:$L$152,0))&amp;"","")</f>
        <v/>
      </c>
    </row>
    <row r="75" ht="24" customHeight="1">
      <c r="A75" s="59">
        <f>IF(N('לוז'!$B$14)=0,"",TEXT(HOUR('לוז'!$B$14),"00")&amp;":"&amp;TEXT(MINUTE('לוז'!$B$14),"00"))</f>
        <v/>
      </c>
      <c r="B75" s="61" t="inlineStr">
        <is>
          <t>הבדלה</t>
        </is>
      </c>
      <c r="C75" s="21">
        <f>$G75</f>
        <v/>
      </c>
      <c r="D75" s="33" t="n"/>
      <c r="E75" s="33" t="n"/>
      <c r="G75">
        <f>IFERROR(INDEX('שיבוץ'!$H$3:$H$152,MATCH("הבדלה"&amp;"|"&amp;1,'שיבוץ'!$L$3:$L$152,0))&amp;"","")</f>
        <v/>
      </c>
    </row>
    <row r="76" ht="24" customHeight="1">
      <c r="A76" s="33" t="n"/>
      <c r="B76" s="33" t="n"/>
      <c r="C76" s="21">
        <f>$G76</f>
        <v/>
      </c>
      <c r="D76" s="33" t="n"/>
      <c r="E76" s="33" t="n"/>
      <c r="G76">
        <f>IFERROR(INDEX('שיבוץ'!$H$3:$H$152,MATCH("הבדלה"&amp;"|"&amp;2,'שיבוץ'!$L$3:$L$152,0))&amp;"","")</f>
        <v/>
      </c>
    </row>
    <row r="77" ht="24" customHeight="1">
      <c r="A77" s="33" t="n"/>
      <c r="B77" s="33" t="n"/>
      <c r="C77" s="21">
        <f>$G77</f>
        <v/>
      </c>
      <c r="D77" s="33" t="n"/>
      <c r="E77" s="33" t="n"/>
      <c r="G77">
        <f>IFERROR(INDEX('שיבוץ'!$H$3:$H$152,MATCH("הבדלה"&amp;"|"&amp;3,'שיבוץ'!$L$3:$L$152,0))&amp;"","")</f>
        <v/>
      </c>
    </row>
    <row r="78" ht="24" customHeight="1">
      <c r="A78" s="33" t="n"/>
      <c r="B78" s="33" t="n"/>
      <c r="C78" s="21">
        <f>$G78</f>
        <v/>
      </c>
      <c r="D78" s="33" t="n"/>
      <c r="E78" s="33" t="n"/>
      <c r="G78">
        <f>IFERROR(INDEX('שיבוץ'!$H$3:$H$152,MATCH("הבדלה"&amp;"|"&amp;4,'שיבוץ'!$L$3:$L$152,0))&amp;"","")</f>
        <v/>
      </c>
    </row>
    <row r="79" ht="24" customHeight="1">
      <c r="A79" s="33" t="n"/>
      <c r="B79" s="33" t="n"/>
      <c r="C79" s="21">
        <f>$G79</f>
        <v/>
      </c>
      <c r="D79" s="33" t="n"/>
      <c r="E79" s="33" t="n"/>
      <c r="G79">
        <f>IFERROR(INDEX('שיבוץ'!$H$3:$H$152,MATCH("הבדלה"&amp;"|"&amp;5,'שיבוץ'!$L$3:$L$152,0))&amp;"","")</f>
        <v/>
      </c>
    </row>
    <row r="80" ht="24" customHeight="1">
      <c r="A80" s="59">
        <f>IF(N('לוז'!$B$15)=0,"",TEXT(HOUR('לוז'!$B$15),"00")&amp;":"&amp;TEXT(MINUTE('לוז'!$B$15),"00"))</f>
        <v/>
      </c>
      <c r="B80" s="61" t="inlineStr">
        <is>
          <t>ניקיונות וארגון הקמפוס</t>
        </is>
      </c>
      <c r="C80" s="21">
        <f>$G80</f>
        <v/>
      </c>
      <c r="D80" s="33" t="n"/>
      <c r="E80" s="33" t="n"/>
      <c r="G80">
        <f>IFERROR(INDEX('שיבוץ'!$H$3:$H$152,MATCH("ניקיונות וארגון הקמפוס"&amp;"|"&amp;1,'שיבוץ'!$L$3:$L$152,0))&amp;"","")</f>
        <v/>
      </c>
    </row>
    <row r="81" ht="24" customHeight="1">
      <c r="A81" s="33" t="n"/>
      <c r="B81" s="33" t="n"/>
      <c r="C81" s="21">
        <f>$G81</f>
        <v/>
      </c>
      <c r="D81" s="33" t="n"/>
      <c r="E81" s="33" t="n"/>
      <c r="G81">
        <f>IFERROR(INDEX('שיבוץ'!$H$3:$H$152,MATCH("ניקיונות וארגון הקמפוס"&amp;"|"&amp;2,'שיבוץ'!$L$3:$L$152,0))&amp;"","")</f>
        <v/>
      </c>
    </row>
    <row r="82" ht="24" customHeight="1">
      <c r="A82" s="33" t="n"/>
      <c r="B82" s="33" t="n"/>
      <c r="C82" s="21">
        <f>$G82</f>
        <v/>
      </c>
      <c r="D82" s="33" t="n"/>
      <c r="E82" s="33" t="n"/>
      <c r="G82">
        <f>IFERROR(INDEX('שיבוץ'!$H$3:$H$152,MATCH("ניקיונות וארגון הקמפוס"&amp;"|"&amp;3,'שיבוץ'!$L$3:$L$152,0))&amp;"","")</f>
        <v/>
      </c>
    </row>
    <row r="83" ht="24" customHeight="1">
      <c r="A83" s="33" t="n"/>
      <c r="B83" s="33" t="n"/>
      <c r="C83" s="21">
        <f>$G83</f>
        <v/>
      </c>
      <c r="D83" s="33" t="n"/>
      <c r="E83" s="33" t="n"/>
      <c r="G83">
        <f>IFERROR(INDEX('שיבוץ'!$H$3:$H$152,MATCH("ניקיונות וארגון הקמפוס"&amp;"|"&amp;4,'שיבוץ'!$L$3:$L$152,0))&amp;"","")</f>
        <v/>
      </c>
    </row>
    <row r="84" ht="24" customHeight="1">
      <c r="A84" s="33" t="n"/>
      <c r="B84" s="33" t="n"/>
      <c r="C84" s="21">
        <f>$G84</f>
        <v/>
      </c>
      <c r="D84" s="33" t="n"/>
      <c r="E84" s="33" t="n"/>
      <c r="G84">
        <f>IFERROR(INDEX('שיבוץ'!$H$3:$H$152,MATCH("ניקיונות וארגון הקמפוס"&amp;"|"&amp;5,'שיבוץ'!$L$3:$L$152,0))&amp;"","")</f>
        <v/>
      </c>
    </row>
    <row r="85" ht="24" customHeight="1">
      <c r="A85" s="59">
        <f>IF(N('לוז'!$B$16)=0,"",TEXT(HOUR('לוז'!$B$16),"00")&amp;":"&amp;TEXT(MINUTE('לוז'!$B$16),"00"))</f>
        <v/>
      </c>
      <c r="B85" s="61" t="inlineStr">
        <is>
          <t>כריכה לכריכה</t>
        </is>
      </c>
      <c r="C85" s="21">
        <f>$G85</f>
        <v/>
      </c>
      <c r="D85" s="33" t="n"/>
      <c r="E85" s="33" t="n"/>
      <c r="G85">
        <f>IFERROR(INDEX('שיבוץ'!$H$3:$H$152,MATCH("כריכה לכריכה"&amp;"|"&amp;1,'שיבוץ'!$L$3:$L$152,0))&amp;"","")</f>
        <v/>
      </c>
    </row>
    <row r="86" ht="24" customHeight="1">
      <c r="A86" s="33" t="n"/>
      <c r="B86" s="33" t="n"/>
      <c r="C86" s="21">
        <f>$G86</f>
        <v/>
      </c>
      <c r="D86" s="33" t="n"/>
      <c r="E86" s="33" t="n"/>
      <c r="G86">
        <f>IFERROR(INDEX('שיבוץ'!$H$3:$H$152,MATCH("כריכה לכריכה"&amp;"|"&amp;2,'שיבוץ'!$L$3:$L$152,0))&amp;"","")</f>
        <v/>
      </c>
    </row>
    <row r="87" ht="24" customHeight="1">
      <c r="A87" s="33" t="n"/>
      <c r="B87" s="33" t="n"/>
      <c r="C87" s="21">
        <f>$G87</f>
        <v/>
      </c>
      <c r="D87" s="33" t="n"/>
      <c r="E87" s="33" t="n"/>
      <c r="G87">
        <f>IFERROR(INDEX('שיבוץ'!$H$3:$H$152,MATCH("כריכה לכריכה"&amp;"|"&amp;3,'שיבוץ'!$L$3:$L$152,0))&amp;"","")</f>
        <v/>
      </c>
    </row>
    <row r="88" ht="24" customHeight="1">
      <c r="A88" s="33" t="n"/>
      <c r="B88" s="33" t="n"/>
      <c r="C88" s="21">
        <f>$G88</f>
        <v/>
      </c>
      <c r="D88" s="33" t="n"/>
      <c r="E88" s="33" t="n"/>
      <c r="G88">
        <f>IFERROR(INDEX('שיבוץ'!$H$3:$H$152,MATCH("כריכה לכריכה"&amp;"|"&amp;4,'שיבוץ'!$L$3:$L$152,0))&amp;"","")</f>
        <v/>
      </c>
    </row>
    <row r="89" ht="24" customHeight="1">
      <c r="A89" s="33" t="n"/>
      <c r="B89" s="33" t="n"/>
      <c r="C89" s="21">
        <f>$G89</f>
        <v/>
      </c>
      <c r="D89" s="33" t="n"/>
      <c r="E89" s="33" t="n"/>
      <c r="G89">
        <f>IFERROR(INDEX('שיבוץ'!$H$3:$H$152,MATCH("כריכה לכריכה"&amp;"|"&amp;5,'שיבוץ'!$L$3:$L$152,0))&amp;"","")</f>
        <v/>
      </c>
    </row>
    <row r="90" ht="24" customHeight="1">
      <c r="A90" s="59" t="n"/>
      <c r="B90" s="62" t="inlineStr">
        <is>
          <t>(ללא עוגן)</t>
        </is>
      </c>
      <c r="C90" s="21">
        <f>$G90</f>
        <v/>
      </c>
      <c r="D90" s="33" t="n"/>
      <c r="E90" s="33" t="n"/>
      <c r="G90">
        <f>IFERROR(INDEX('שיבוץ'!$H$3:$H$152,MATCH("(ללא עוגן)"&amp;"|"&amp;1,'שיבוץ'!$L$3:$L$152,0))&amp;"","")</f>
        <v/>
      </c>
    </row>
    <row r="91" ht="24" customHeight="1">
      <c r="A91" s="33" t="n"/>
      <c r="B91" s="33" t="n"/>
      <c r="C91" s="21">
        <f>$G91</f>
        <v/>
      </c>
      <c r="D91" s="33" t="n"/>
      <c r="E91" s="33" t="n"/>
      <c r="G91">
        <f>IFERROR(INDEX('שיבוץ'!$H$3:$H$152,MATCH("(ללא עוגן)"&amp;"|"&amp;2,'שיבוץ'!$L$3:$L$152,0))&amp;"","")</f>
        <v/>
      </c>
    </row>
    <row r="92" ht="24" customHeight="1">
      <c r="A92" s="33" t="n"/>
      <c r="B92" s="33" t="n"/>
      <c r="C92" s="21">
        <f>$G92</f>
        <v/>
      </c>
      <c r="D92" s="33" t="n"/>
      <c r="E92" s="33" t="n"/>
      <c r="G92">
        <f>IFERROR(INDEX('שיבוץ'!$H$3:$H$152,MATCH("(ללא עוגן)"&amp;"|"&amp;3,'שיבוץ'!$L$3:$L$152,0))&amp;"","")</f>
        <v/>
      </c>
    </row>
    <row r="93" ht="24" customHeight="1">
      <c r="A93" s="33" t="n"/>
      <c r="B93" s="33" t="n"/>
      <c r="C93" s="21">
        <f>$G93</f>
        <v/>
      </c>
      <c r="D93" s="33" t="n"/>
      <c r="E93" s="33" t="n"/>
      <c r="G93">
        <f>IFERROR(INDEX('שיבוץ'!$H$3:$H$152,MATCH("(ללא עוגן)"&amp;"|"&amp;4,'שיבוץ'!$L$3:$L$152,0))&amp;"","")</f>
        <v/>
      </c>
    </row>
    <row r="94" ht="24" customHeight="1">
      <c r="A94" s="33" t="n"/>
      <c r="B94" s="33" t="n"/>
      <c r="C94" s="21">
        <f>$G94</f>
        <v/>
      </c>
      <c r="D94" s="33" t="n"/>
      <c r="E94" s="33" t="n"/>
      <c r="G94">
        <f>IFERROR(INDEX('שיבוץ'!$H$3:$H$152,MATCH("(ללא עוגן)"&amp;"|"&amp;5,'שיבוץ'!$L$3:$L$152,0))&amp;"","")</f>
        <v/>
      </c>
    </row>
    <row r="95" ht="24" customHeight="1">
      <c r="A95" s="33" t="n"/>
      <c r="B95" s="33" t="n"/>
      <c r="C95" s="21">
        <f>$G95</f>
        <v/>
      </c>
      <c r="D95" s="33" t="n"/>
      <c r="E95" s="33" t="n"/>
      <c r="G95">
        <f>IFERROR(INDEX('שיבוץ'!$H$3:$H$152,MATCH("(ללא עוגן)"&amp;"|"&amp;6,'שיבוץ'!$L$3:$L$152,0))&amp;"","")</f>
        <v/>
      </c>
    </row>
    <row r="96" ht="24" customHeight="1">
      <c r="A96" s="33" t="n"/>
      <c r="B96" s="33" t="n"/>
      <c r="C96" s="21">
        <f>$G96</f>
        <v/>
      </c>
      <c r="D96" s="33" t="n"/>
      <c r="E96" s="33" t="n"/>
      <c r="G96">
        <f>IFERROR(INDEX('שיבוץ'!$H$3:$H$152,MATCH("(ללא עוגן)"&amp;"|"&amp;7,'שיבוץ'!$L$3:$L$152,0))&amp;"","")</f>
        <v/>
      </c>
    </row>
    <row r="97" ht="24" customHeight="1">
      <c r="A97" s="33" t="n"/>
      <c r="B97" s="33" t="n"/>
      <c r="C97" s="21">
        <f>$G97</f>
        <v/>
      </c>
      <c r="D97" s="33" t="n"/>
      <c r="E97" s="33" t="n"/>
      <c r="G97">
        <f>IFERROR(INDEX('שיבוץ'!$H$3:$H$152,MATCH("(ללא עוגן)"&amp;"|"&amp;8,'שיבוץ'!$L$3:$L$152,0))&amp;"","")</f>
        <v/>
      </c>
    </row>
    <row r="98" ht="24" customHeight="1">
      <c r="A98" s="33" t="n"/>
      <c r="B98" s="33" t="n"/>
      <c r="C98" s="21">
        <f>$G98</f>
        <v/>
      </c>
      <c r="D98" s="33" t="n"/>
      <c r="E98" s="33" t="n"/>
      <c r="G98">
        <f>IFERROR(INDEX('שיבוץ'!$H$3:$H$152,MATCH("(ללא עוגן)"&amp;"|"&amp;9,'שיבוץ'!$L$3:$L$152,0))&amp;"","")</f>
        <v/>
      </c>
    </row>
    <row r="99" ht="24" customHeight="1">
      <c r="A99" s="33" t="n"/>
      <c r="B99" s="33" t="n"/>
      <c r="C99" s="21">
        <f>$G99</f>
        <v/>
      </c>
      <c r="D99" s="33" t="n"/>
      <c r="E99" s="33" t="n"/>
      <c r="G99">
        <f>IFERROR(INDEX('שיבוץ'!$H$3:$H$152,MATCH("(ללא עוגן)"&amp;"|"&amp;10,'שיבוץ'!$L$3:$L$152,0))&amp;"","")</f>
        <v/>
      </c>
    </row>
    <row r="100" ht="24" customHeight="1">
      <c r="A100" s="33" t="n"/>
      <c r="B100" s="33" t="n"/>
      <c r="C100" s="21">
        <f>$G100</f>
        <v/>
      </c>
      <c r="D100" s="33" t="n"/>
      <c r="E100" s="33" t="n"/>
      <c r="G100">
        <f>IFERROR(INDEX('שיבוץ'!$H$3:$H$152,MATCH("(ללא עוגן)"&amp;"|"&amp;11,'שיבוץ'!$L$3:$L$152,0))&amp;"","")</f>
        <v/>
      </c>
    </row>
    <row r="101" ht="24" customHeight="1">
      <c r="A101" s="33" t="n"/>
      <c r="B101" s="33" t="n"/>
      <c r="C101" s="21">
        <f>$G101</f>
        <v/>
      </c>
      <c r="D101" s="33" t="n"/>
      <c r="E101" s="33" t="n"/>
      <c r="G101">
        <f>IFERROR(INDEX('שיבוץ'!$H$3:$H$152,MATCH("(ללא עוגן)"&amp;"|"&amp;12,'שיבוץ'!$L$3:$L$152,0))&amp;"","")</f>
        <v/>
      </c>
    </row>
    <row r="102" ht="24" customHeight="1">
      <c r="A102" s="33" t="n"/>
      <c r="B102" s="33" t="n"/>
      <c r="C102" s="21">
        <f>$G102</f>
        <v/>
      </c>
      <c r="D102" s="33" t="n"/>
      <c r="E102" s="33" t="n"/>
      <c r="G102">
        <f>IFERROR(INDEX('שיבוץ'!$H$3:$H$152,MATCH("(ללא עוגן)"&amp;"|"&amp;13,'שיבוץ'!$L$3:$L$152,0))&amp;"","")</f>
        <v/>
      </c>
    </row>
    <row r="103" ht="24" customHeight="1">
      <c r="A103" s="33" t="n"/>
      <c r="B103" s="33" t="n"/>
      <c r="C103" s="21">
        <f>$G103</f>
        <v/>
      </c>
      <c r="D103" s="33" t="n"/>
      <c r="E103" s="33" t="n"/>
      <c r="G103">
        <f>IFERROR(INDEX('שיבוץ'!$H$3:$H$152,MATCH("(ללא עוגן)"&amp;"|"&amp;14,'שיבוץ'!$L$3:$L$152,0))&amp;"","")</f>
        <v/>
      </c>
    </row>
    <row r="105" ht="28" customHeight="1">
      <c r="A105" s="24" t="inlineStr">
        <is>
          <t>כל שורה כאן נבנית לבד מגיליון «שיבוץ»: שעה · משימה — קבוצה (פרטים). כדי שמשימה תופיע מול האירוע הנכון, בחרו לה «עוגן בלו"ז» בגיליון «שיבוץ». מה שאין לו עוגן מופיע בבלוק התחתון, כדי ששום דבר לא ייפול בין הכיסאות.</t>
        </is>
      </c>
    </row>
  </sheetData>
  <mergeCells count="140">
    <mergeCell ref="C44:E44"/>
    <mergeCell ref="B60:B64"/>
    <mergeCell ref="C31:E31"/>
    <mergeCell ref="C80:E80"/>
    <mergeCell ref="C40:E40"/>
    <mergeCell ref="A1:E1"/>
    <mergeCell ref="C21:E21"/>
    <mergeCell ref="B5:B9"/>
    <mergeCell ref="C51:E51"/>
    <mergeCell ref="C95:E95"/>
    <mergeCell ref="C60:E60"/>
    <mergeCell ref="C71:E71"/>
    <mergeCell ref="C23:E23"/>
    <mergeCell ref="C7:E7"/>
    <mergeCell ref="B45:B49"/>
    <mergeCell ref="C91:E91"/>
    <mergeCell ref="B85:B89"/>
    <mergeCell ref="A40:A44"/>
    <mergeCell ref="A105:E105"/>
    <mergeCell ref="C57:E57"/>
    <mergeCell ref="A15:A19"/>
    <mergeCell ref="C18:E18"/>
    <mergeCell ref="C49:E49"/>
    <mergeCell ref="A60:A64"/>
    <mergeCell ref="C101:E101"/>
    <mergeCell ref="C77:E77"/>
    <mergeCell ref="C34:E34"/>
    <mergeCell ref="C42:E42"/>
    <mergeCell ref="C74:E74"/>
    <mergeCell ref="A50:A54"/>
    <mergeCell ref="A55:A59"/>
    <mergeCell ref="B70:B74"/>
    <mergeCell ref="C20:E20"/>
    <mergeCell ref="C25:E25"/>
    <mergeCell ref="C103:E103"/>
    <mergeCell ref="C85:E85"/>
    <mergeCell ref="B10:B14"/>
    <mergeCell ref="C99:E99"/>
    <mergeCell ref="C94:E94"/>
    <mergeCell ref="A5:A9"/>
    <mergeCell ref="C75:E75"/>
    <mergeCell ref="C84:E84"/>
    <mergeCell ref="C22:E22"/>
    <mergeCell ref="B65:B69"/>
    <mergeCell ref="A20:A24"/>
    <mergeCell ref="C59:E59"/>
    <mergeCell ref="C12:E12"/>
    <mergeCell ref="C46:E46"/>
    <mergeCell ref="C52:E52"/>
    <mergeCell ref="C61:E61"/>
    <mergeCell ref="C39:E39"/>
    <mergeCell ref="C70:E70"/>
    <mergeCell ref="C48:E48"/>
    <mergeCell ref="C32:E32"/>
    <mergeCell ref="A3:E3"/>
    <mergeCell ref="B35:B39"/>
    <mergeCell ref="C38:E38"/>
    <mergeCell ref="B50:B54"/>
    <mergeCell ref="C81:E81"/>
    <mergeCell ref="A30:A34"/>
    <mergeCell ref="C13:E13"/>
    <mergeCell ref="B25:B29"/>
    <mergeCell ref="C87:E87"/>
    <mergeCell ref="B75:B79"/>
    <mergeCell ref="C15:E15"/>
    <mergeCell ref="C24:E24"/>
    <mergeCell ref="A70:A74"/>
    <mergeCell ref="C33:E33"/>
    <mergeCell ref="C89:E89"/>
    <mergeCell ref="C79:E79"/>
    <mergeCell ref="C73:E73"/>
    <mergeCell ref="C88:E88"/>
    <mergeCell ref="C26:E26"/>
    <mergeCell ref="C35:E35"/>
    <mergeCell ref="C63:E63"/>
    <mergeCell ref="C10:E10"/>
    <mergeCell ref="C16:E16"/>
    <mergeCell ref="C50:E50"/>
    <mergeCell ref="C55:E55"/>
    <mergeCell ref="C9:E9"/>
    <mergeCell ref="A85:A89"/>
    <mergeCell ref="B40:B44"/>
    <mergeCell ref="C36:E36"/>
    <mergeCell ref="C11:E11"/>
    <mergeCell ref="A35:A39"/>
    <mergeCell ref="A10:A14"/>
    <mergeCell ref="C67:E67"/>
    <mergeCell ref="C72:E72"/>
    <mergeCell ref="C28:E28"/>
    <mergeCell ref="A2:E2"/>
    <mergeCell ref="C37:E37"/>
    <mergeCell ref="C69:E69"/>
    <mergeCell ref="C96:E96"/>
    <mergeCell ref="C78:E78"/>
    <mergeCell ref="C92:E92"/>
    <mergeCell ref="C30:E30"/>
    <mergeCell ref="A45:A49"/>
    <mergeCell ref="C6:E6"/>
    <mergeCell ref="C62:E62"/>
    <mergeCell ref="C14:E14"/>
    <mergeCell ref="C98:E98"/>
    <mergeCell ref="A65:A69"/>
    <mergeCell ref="C4:E4"/>
    <mergeCell ref="C64:E64"/>
    <mergeCell ref="A80:A84"/>
    <mergeCell ref="C54:E54"/>
    <mergeCell ref="C41:E41"/>
    <mergeCell ref="C93:E93"/>
    <mergeCell ref="C56:E56"/>
    <mergeCell ref="C90:E90"/>
    <mergeCell ref="B15:B19"/>
    <mergeCell ref="C43:E43"/>
    <mergeCell ref="B55:B59"/>
    <mergeCell ref="C27:E27"/>
    <mergeCell ref="B30:B34"/>
    <mergeCell ref="C76:E76"/>
    <mergeCell ref="C8:E8"/>
    <mergeCell ref="B20:B24"/>
    <mergeCell ref="C17:E17"/>
    <mergeCell ref="B80:B84"/>
    <mergeCell ref="C82:E82"/>
    <mergeCell ref="C66:E66"/>
    <mergeCell ref="C19:E19"/>
    <mergeCell ref="C53:E53"/>
    <mergeCell ref="C102:E102"/>
    <mergeCell ref="B90:B103"/>
    <mergeCell ref="C86:E86"/>
    <mergeCell ref="C68:E68"/>
    <mergeCell ref="C83:E83"/>
    <mergeCell ref="A90:A103"/>
    <mergeCell ref="C58:E58"/>
    <mergeCell ref="C5:E5"/>
    <mergeCell ref="A25:A29"/>
    <mergeCell ref="C45:E45"/>
    <mergeCell ref="C97:E97"/>
    <mergeCell ref="C29:E29"/>
    <mergeCell ref="C100:E100"/>
    <mergeCell ref="A75:A79"/>
    <mergeCell ref="C65:E65"/>
    <mergeCell ref="C47:E47"/>
  </mergeCells>
  <conditionalFormatting sqref="A3:E3">
    <cfRule type="expression" priority="1" dxfId="13">
      <formula>ISNUMBER(SEARCH("⚠",$A$3))</formula>
    </cfRule>
  </conditionalFormatting>
  <conditionalFormatting sqref="C5:E9">
    <cfRule type="expression" priority="2" dxfId="14">
      <formula>$C5&lt;&gt;""</formula>
    </cfRule>
  </conditionalFormatting>
  <conditionalFormatting sqref="C10:E14">
    <cfRule type="expression" priority="3" dxfId="14">
      <formula>$C10&lt;&gt;""</formula>
    </cfRule>
  </conditionalFormatting>
  <conditionalFormatting sqref="C15:E19">
    <cfRule type="expression" priority="4" dxfId="14">
      <formula>$C15&lt;&gt;""</formula>
    </cfRule>
  </conditionalFormatting>
  <conditionalFormatting sqref="C20:E24">
    <cfRule type="expression" priority="5" dxfId="14">
      <formula>$C20&lt;&gt;""</formula>
    </cfRule>
  </conditionalFormatting>
  <conditionalFormatting sqref="C25:E29">
    <cfRule type="expression" priority="6" dxfId="14">
      <formula>$C25&lt;&gt;""</formula>
    </cfRule>
  </conditionalFormatting>
  <conditionalFormatting sqref="C30:E34">
    <cfRule type="expression" priority="7" dxfId="14">
      <formula>$C30&lt;&gt;""</formula>
    </cfRule>
  </conditionalFormatting>
  <conditionalFormatting sqref="C35:E39">
    <cfRule type="expression" priority="8" dxfId="14">
      <formula>$C35&lt;&gt;""</formula>
    </cfRule>
  </conditionalFormatting>
  <conditionalFormatting sqref="C40:E44">
    <cfRule type="expression" priority="9" dxfId="14">
      <formula>$C40&lt;&gt;""</formula>
    </cfRule>
  </conditionalFormatting>
  <conditionalFormatting sqref="C45:E49">
    <cfRule type="expression" priority="10" dxfId="14">
      <formula>$C45&lt;&gt;""</formula>
    </cfRule>
  </conditionalFormatting>
  <conditionalFormatting sqref="C50:E54">
    <cfRule type="expression" priority="11" dxfId="14">
      <formula>$C50&lt;&gt;""</formula>
    </cfRule>
  </conditionalFormatting>
  <conditionalFormatting sqref="C55:E59">
    <cfRule type="expression" priority="12" dxfId="14">
      <formula>$C55&lt;&gt;""</formula>
    </cfRule>
  </conditionalFormatting>
  <conditionalFormatting sqref="C60:E64">
    <cfRule type="expression" priority="13" dxfId="14">
      <formula>$C60&lt;&gt;""</formula>
    </cfRule>
  </conditionalFormatting>
  <conditionalFormatting sqref="C65:E69">
    <cfRule type="expression" priority="14" dxfId="14">
      <formula>$C65&lt;&gt;""</formula>
    </cfRule>
  </conditionalFormatting>
  <conditionalFormatting sqref="C70:E74">
    <cfRule type="expression" priority="15" dxfId="14">
      <formula>$C70&lt;&gt;""</formula>
    </cfRule>
  </conditionalFormatting>
  <conditionalFormatting sqref="C75:E79">
    <cfRule type="expression" priority="16" dxfId="14">
      <formula>$C75&lt;&gt;""</formula>
    </cfRule>
  </conditionalFormatting>
  <conditionalFormatting sqref="C80:E84">
    <cfRule type="expression" priority="17" dxfId="14">
      <formula>$C80&lt;&gt;""</formula>
    </cfRule>
  </conditionalFormatting>
  <conditionalFormatting sqref="C85:E89">
    <cfRule type="expression" priority="18" dxfId="14">
      <formula>$C85&lt;&gt;""</formula>
    </cfRule>
  </conditionalFormatting>
  <conditionalFormatting sqref="C90:E103">
    <cfRule type="expression" priority="19" dxfId="14">
      <formula>$C90&lt;&gt;""</formula>
    </cfRule>
  </conditionalFormatting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5" customWidth="1" min="4" max="4"/>
    <col width="38" customWidth="1" min="5" max="5"/>
    <col width="44" customWidth="1" min="6" max="6"/>
  </cols>
  <sheetData>
    <row r="1" ht="36" customHeight="1">
      <c r="A1" s="5" t="inlineStr">
        <is>
          <t>תורנויות שבת — טופס להדפסה</t>
        </is>
      </c>
    </row>
    <row r="2">
      <c r="A2" s="63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64" t="inlineStr">
        <is>
          <t>קבוצה</t>
        </is>
      </c>
      <c r="B3" s="64" t="inlineStr">
        <is>
          <t>מתי</t>
        </is>
      </c>
      <c r="C3" s="64" t="inlineStr">
        <is>
          <t>שעה</t>
        </is>
      </c>
      <c r="D3" s="64" t="inlineStr">
        <is>
          <t>קטגוריה</t>
        </is>
      </c>
      <c r="E3" s="64" t="inlineStr">
        <is>
          <t>משימה</t>
        </is>
      </c>
      <c r="F3" s="64" t="inlineStr">
        <is>
          <t>פרטים וכמויות</t>
        </is>
      </c>
    </row>
    <row r="4" ht="24" customHeight="1">
      <c r="A4" s="65">
        <f>IF('שיבוץ'!$A3="","",IF('שיבוץ'!$A3='שיבוץ'!$A2,"",'שיבוץ'!$A3))</f>
        <v/>
      </c>
      <c r="B4" s="66">
        <f>IF('שיבוץ'!$A3="","",'שיבוץ'!$B3&amp;"")</f>
        <v/>
      </c>
      <c r="C4" s="66">
        <f>IF(N('שיבוץ'!$C3)=0,"",TEXT(HOUR('שיבוץ'!$C3),"00")&amp;":"&amp;TEXT(MINUTE('שיבוץ'!$C3),"00"))</f>
        <v/>
      </c>
      <c r="D4" s="66">
        <f>IF('שיבוץ'!$A3="","",'שיבוץ'!$E3&amp;"")</f>
        <v/>
      </c>
      <c r="E4" s="67">
        <f>IF('שיבוץ'!$A3="","",'שיבוץ'!$D3&amp;"")</f>
        <v/>
      </c>
      <c r="F4" s="67">
        <f>IF('שיבוץ'!$A3="","",'שיבוץ'!$F3&amp;"")</f>
        <v/>
      </c>
    </row>
    <row r="5" ht="24" customHeight="1">
      <c r="A5" s="65">
        <f>IF('שיבוץ'!$A4="","",IF('שיבוץ'!$A4='שיבוץ'!$A3,"",'שיבוץ'!$A4))</f>
        <v/>
      </c>
      <c r="B5" s="66">
        <f>IF('שיבוץ'!$A4="","",'שיבוץ'!$B4&amp;"")</f>
        <v/>
      </c>
      <c r="C5" s="66">
        <f>IF(N('שיבוץ'!$C4)=0,"",TEXT(HOUR('שיבוץ'!$C4),"00")&amp;":"&amp;TEXT(MINUTE('שיבוץ'!$C4),"00"))</f>
        <v/>
      </c>
      <c r="D5" s="66">
        <f>IF('שיבוץ'!$A4="","",'שיבוץ'!$E4&amp;"")</f>
        <v/>
      </c>
      <c r="E5" s="67">
        <f>IF('שיבוץ'!$A4="","",'שיבוץ'!$D4&amp;"")</f>
        <v/>
      </c>
      <c r="F5" s="67">
        <f>IF('שיבוץ'!$A4="","",'שיבוץ'!$F4&amp;"")</f>
        <v/>
      </c>
    </row>
    <row r="6" ht="24" customHeight="1">
      <c r="A6" s="65">
        <f>IF('שיבוץ'!$A5="","",IF('שיבוץ'!$A5='שיבוץ'!$A4,"",'שיבוץ'!$A5))</f>
        <v/>
      </c>
      <c r="B6" s="66">
        <f>IF('שיבוץ'!$A5="","",'שיבוץ'!$B5&amp;"")</f>
        <v/>
      </c>
      <c r="C6" s="66">
        <f>IF(N('שיבוץ'!$C5)=0,"",TEXT(HOUR('שיבוץ'!$C5),"00")&amp;":"&amp;TEXT(MINUTE('שיבוץ'!$C5),"00"))</f>
        <v/>
      </c>
      <c r="D6" s="66">
        <f>IF('שיבוץ'!$A5="","",'שיבוץ'!$E5&amp;"")</f>
        <v/>
      </c>
      <c r="E6" s="67">
        <f>IF('שיבוץ'!$A5="","",'שיבוץ'!$D5&amp;"")</f>
        <v/>
      </c>
      <c r="F6" s="67">
        <f>IF('שיבוץ'!$A5="","",'שיבוץ'!$F5&amp;"")</f>
        <v/>
      </c>
    </row>
    <row r="7" ht="24" customHeight="1">
      <c r="A7" s="65">
        <f>IF('שיבוץ'!$A6="","",IF('שיבוץ'!$A6='שיבוץ'!$A5,"",'שיבוץ'!$A6))</f>
        <v/>
      </c>
      <c r="B7" s="66">
        <f>IF('שיבוץ'!$A6="","",'שיבוץ'!$B6&amp;"")</f>
        <v/>
      </c>
      <c r="C7" s="66">
        <f>IF(N('שיבוץ'!$C6)=0,"",TEXT(HOUR('שיבוץ'!$C6),"00")&amp;":"&amp;TEXT(MINUTE('שיבוץ'!$C6),"00"))</f>
        <v/>
      </c>
      <c r="D7" s="66">
        <f>IF('שיבוץ'!$A6="","",'שיבוץ'!$E6&amp;"")</f>
        <v/>
      </c>
      <c r="E7" s="67">
        <f>IF('שיבוץ'!$A6="","",'שיבוץ'!$D6&amp;"")</f>
        <v/>
      </c>
      <c r="F7" s="67">
        <f>IF('שיבוץ'!$A6="","",'שיבוץ'!$F6&amp;"")</f>
        <v/>
      </c>
    </row>
    <row r="8" ht="24" customHeight="1">
      <c r="A8" s="65">
        <f>IF('שיבוץ'!$A7="","",IF('שיבוץ'!$A7='שיבוץ'!$A6,"",'שיבוץ'!$A7))</f>
        <v/>
      </c>
      <c r="B8" s="66">
        <f>IF('שיבוץ'!$A7="","",'שיבוץ'!$B7&amp;"")</f>
        <v/>
      </c>
      <c r="C8" s="66">
        <f>IF(N('שיבוץ'!$C7)=0,"",TEXT(HOUR('שיבוץ'!$C7),"00")&amp;":"&amp;TEXT(MINUTE('שיבוץ'!$C7),"00"))</f>
        <v/>
      </c>
      <c r="D8" s="66">
        <f>IF('שיבוץ'!$A7="","",'שיבוץ'!$E7&amp;"")</f>
        <v/>
      </c>
      <c r="E8" s="67">
        <f>IF('שיבוץ'!$A7="","",'שיבוץ'!$D7&amp;"")</f>
        <v/>
      </c>
      <c r="F8" s="67">
        <f>IF('שיבוץ'!$A7="","",'שיבוץ'!$F7&amp;"")</f>
        <v/>
      </c>
    </row>
    <row r="9" ht="24" customHeight="1">
      <c r="A9" s="65">
        <f>IF('שיבוץ'!$A8="","",IF('שיבוץ'!$A8='שיבוץ'!$A7,"",'שיבוץ'!$A8))</f>
        <v/>
      </c>
      <c r="B9" s="66">
        <f>IF('שיבוץ'!$A8="","",'שיבוץ'!$B8&amp;"")</f>
        <v/>
      </c>
      <c r="C9" s="66">
        <f>IF(N('שיבוץ'!$C8)=0,"",TEXT(HOUR('שיבוץ'!$C8),"00")&amp;":"&amp;TEXT(MINUTE('שיבוץ'!$C8),"00"))</f>
        <v/>
      </c>
      <c r="D9" s="66">
        <f>IF('שיבוץ'!$A8="","",'שיבוץ'!$E8&amp;"")</f>
        <v/>
      </c>
      <c r="E9" s="67">
        <f>IF('שיבוץ'!$A8="","",'שיבוץ'!$D8&amp;"")</f>
        <v/>
      </c>
      <c r="F9" s="67">
        <f>IF('שיבוץ'!$A8="","",'שיבוץ'!$F8&amp;"")</f>
        <v/>
      </c>
    </row>
    <row r="10" ht="24" customHeight="1">
      <c r="A10" s="65">
        <f>IF('שיבוץ'!$A9="","",IF('שיבוץ'!$A9='שיבוץ'!$A8,"",'שיבוץ'!$A9))</f>
        <v/>
      </c>
      <c r="B10" s="66">
        <f>IF('שיבוץ'!$A9="","",'שיבוץ'!$B9&amp;"")</f>
        <v/>
      </c>
      <c r="C10" s="66">
        <f>IF(N('שיבוץ'!$C9)=0,"",TEXT(HOUR('שיבוץ'!$C9),"00")&amp;":"&amp;TEXT(MINUTE('שיבוץ'!$C9),"00"))</f>
        <v/>
      </c>
      <c r="D10" s="66">
        <f>IF('שיבוץ'!$A9="","",'שיבוץ'!$E9&amp;"")</f>
        <v/>
      </c>
      <c r="E10" s="67">
        <f>IF('שיבוץ'!$A9="","",'שיבוץ'!$D9&amp;"")</f>
        <v/>
      </c>
      <c r="F10" s="67">
        <f>IF('שיבוץ'!$A9="","",'שיבוץ'!$F9&amp;"")</f>
        <v/>
      </c>
    </row>
    <row r="11" ht="24" customHeight="1">
      <c r="A11" s="65">
        <f>IF('שיבוץ'!$A10="","",IF('שיבוץ'!$A10='שיבוץ'!$A9,"",'שיבוץ'!$A10))</f>
        <v/>
      </c>
      <c r="B11" s="66">
        <f>IF('שיבוץ'!$A10="","",'שיבוץ'!$B10&amp;"")</f>
        <v/>
      </c>
      <c r="C11" s="66">
        <f>IF(N('שיבוץ'!$C10)=0,"",TEXT(HOUR('שיבוץ'!$C10),"00")&amp;":"&amp;TEXT(MINUTE('שיבוץ'!$C10),"00"))</f>
        <v/>
      </c>
      <c r="D11" s="66">
        <f>IF('שיבוץ'!$A10="","",'שיבוץ'!$E10&amp;"")</f>
        <v/>
      </c>
      <c r="E11" s="67">
        <f>IF('שיבוץ'!$A10="","",'שיבוץ'!$D10&amp;"")</f>
        <v/>
      </c>
      <c r="F11" s="67">
        <f>IF('שיבוץ'!$A10="","",'שיבוץ'!$F10&amp;"")</f>
        <v/>
      </c>
    </row>
    <row r="12" ht="24" customHeight="1">
      <c r="A12" s="65">
        <f>IF('שיבוץ'!$A11="","",IF('שיבוץ'!$A11='שיבוץ'!$A10,"",'שיבוץ'!$A11))</f>
        <v/>
      </c>
      <c r="B12" s="66">
        <f>IF('שיבוץ'!$A11="","",'שיבוץ'!$B11&amp;"")</f>
        <v/>
      </c>
      <c r="C12" s="66">
        <f>IF(N('שיבוץ'!$C11)=0,"",TEXT(HOUR('שיבוץ'!$C11),"00")&amp;":"&amp;TEXT(MINUTE('שיבוץ'!$C11),"00"))</f>
        <v/>
      </c>
      <c r="D12" s="66">
        <f>IF('שיבוץ'!$A11="","",'שיבוץ'!$E11&amp;"")</f>
        <v/>
      </c>
      <c r="E12" s="67">
        <f>IF('שיבוץ'!$A11="","",'שיבוץ'!$D11&amp;"")</f>
        <v/>
      </c>
      <c r="F12" s="67">
        <f>IF('שיבוץ'!$A11="","",'שיבוץ'!$F11&amp;"")</f>
        <v/>
      </c>
    </row>
    <row r="13" ht="24" customHeight="1">
      <c r="A13" s="65">
        <f>IF('שיבוץ'!$A12="","",IF('שיבוץ'!$A12='שיבוץ'!$A11,"",'שיבוץ'!$A12))</f>
        <v/>
      </c>
      <c r="B13" s="66">
        <f>IF('שיבוץ'!$A12="","",'שיבוץ'!$B12&amp;"")</f>
        <v/>
      </c>
      <c r="C13" s="66">
        <f>IF(N('שיבוץ'!$C12)=0,"",TEXT(HOUR('שיבוץ'!$C12),"00")&amp;":"&amp;TEXT(MINUTE('שיבוץ'!$C12),"00"))</f>
        <v/>
      </c>
      <c r="D13" s="66">
        <f>IF('שיבוץ'!$A12="","",'שיבוץ'!$E12&amp;"")</f>
        <v/>
      </c>
      <c r="E13" s="67">
        <f>IF('שיבוץ'!$A12="","",'שיבוץ'!$D12&amp;"")</f>
        <v/>
      </c>
      <c r="F13" s="67">
        <f>IF('שיבוץ'!$A12="","",'שיבוץ'!$F12&amp;"")</f>
        <v/>
      </c>
    </row>
    <row r="14" ht="24" customHeight="1">
      <c r="A14" s="65">
        <f>IF('שיבוץ'!$A13="","",IF('שיבוץ'!$A13='שיבוץ'!$A12,"",'שיבוץ'!$A13))</f>
        <v/>
      </c>
      <c r="B14" s="66">
        <f>IF('שיבוץ'!$A13="","",'שיבוץ'!$B13&amp;"")</f>
        <v/>
      </c>
      <c r="C14" s="66">
        <f>IF(N('שיבוץ'!$C13)=0,"",TEXT(HOUR('שיבוץ'!$C13),"00")&amp;":"&amp;TEXT(MINUTE('שיבוץ'!$C13),"00"))</f>
        <v/>
      </c>
      <c r="D14" s="66">
        <f>IF('שיבוץ'!$A13="","",'שיבוץ'!$E13&amp;"")</f>
        <v/>
      </c>
      <c r="E14" s="67">
        <f>IF('שיבוץ'!$A13="","",'שיבוץ'!$D13&amp;"")</f>
        <v/>
      </c>
      <c r="F14" s="67">
        <f>IF('שיבוץ'!$A13="","",'שיבוץ'!$F13&amp;"")</f>
        <v/>
      </c>
    </row>
    <row r="15" ht="24" customHeight="1">
      <c r="A15" s="65">
        <f>IF('שיבוץ'!$A14="","",IF('שיבוץ'!$A14='שיבוץ'!$A13,"",'שיבוץ'!$A14))</f>
        <v/>
      </c>
      <c r="B15" s="66">
        <f>IF('שיבוץ'!$A14="","",'שיבוץ'!$B14&amp;"")</f>
        <v/>
      </c>
      <c r="C15" s="66">
        <f>IF(N('שיבוץ'!$C14)=0,"",TEXT(HOUR('שיבוץ'!$C14),"00")&amp;":"&amp;TEXT(MINUTE('שיבוץ'!$C14),"00"))</f>
        <v/>
      </c>
      <c r="D15" s="66">
        <f>IF('שיבוץ'!$A14="","",'שיבוץ'!$E14&amp;"")</f>
        <v/>
      </c>
      <c r="E15" s="67">
        <f>IF('שיבוץ'!$A14="","",'שיבוץ'!$D14&amp;"")</f>
        <v/>
      </c>
      <c r="F15" s="67">
        <f>IF('שיבוץ'!$A14="","",'שיבוץ'!$F14&amp;"")</f>
        <v/>
      </c>
    </row>
    <row r="16" ht="24" customHeight="1">
      <c r="A16" s="65">
        <f>IF('שיבוץ'!$A15="","",IF('שיבוץ'!$A15='שיבוץ'!$A14,"",'שיבוץ'!$A15))</f>
        <v/>
      </c>
      <c r="B16" s="66">
        <f>IF('שיבוץ'!$A15="","",'שיבוץ'!$B15&amp;"")</f>
        <v/>
      </c>
      <c r="C16" s="66">
        <f>IF(N('שיבוץ'!$C15)=0,"",TEXT(HOUR('שיבוץ'!$C15),"00")&amp;":"&amp;TEXT(MINUTE('שיבוץ'!$C15),"00"))</f>
        <v/>
      </c>
      <c r="D16" s="66">
        <f>IF('שיבוץ'!$A15="","",'שיבוץ'!$E15&amp;"")</f>
        <v/>
      </c>
      <c r="E16" s="67">
        <f>IF('שיבוץ'!$A15="","",'שיבוץ'!$D15&amp;"")</f>
        <v/>
      </c>
      <c r="F16" s="67">
        <f>IF('שיבוץ'!$A15="","",'שיבוץ'!$F15&amp;"")</f>
        <v/>
      </c>
    </row>
    <row r="17" ht="24" customHeight="1">
      <c r="A17" s="65">
        <f>IF('שיבוץ'!$A16="","",IF('שיבוץ'!$A16='שיבוץ'!$A15,"",'שיבוץ'!$A16))</f>
        <v/>
      </c>
      <c r="B17" s="66">
        <f>IF('שיבוץ'!$A16="","",'שיבוץ'!$B16&amp;"")</f>
        <v/>
      </c>
      <c r="C17" s="66">
        <f>IF(N('שיבוץ'!$C16)=0,"",TEXT(HOUR('שיבוץ'!$C16),"00")&amp;":"&amp;TEXT(MINUTE('שיבוץ'!$C16),"00"))</f>
        <v/>
      </c>
      <c r="D17" s="66">
        <f>IF('שיבוץ'!$A16="","",'שיבוץ'!$E16&amp;"")</f>
        <v/>
      </c>
      <c r="E17" s="67">
        <f>IF('שיבוץ'!$A16="","",'שיבוץ'!$D16&amp;"")</f>
        <v/>
      </c>
      <c r="F17" s="67">
        <f>IF('שיבוץ'!$A16="","",'שיבוץ'!$F16&amp;"")</f>
        <v/>
      </c>
    </row>
    <row r="18" ht="24" customHeight="1">
      <c r="A18" s="65">
        <f>IF('שיבוץ'!$A17="","",IF('שיבוץ'!$A17='שיבוץ'!$A16,"",'שיבוץ'!$A17))</f>
        <v/>
      </c>
      <c r="B18" s="66">
        <f>IF('שיבוץ'!$A17="","",'שיבוץ'!$B17&amp;"")</f>
        <v/>
      </c>
      <c r="C18" s="66">
        <f>IF(N('שיבוץ'!$C17)=0,"",TEXT(HOUR('שיבוץ'!$C17),"00")&amp;":"&amp;TEXT(MINUTE('שיבוץ'!$C17),"00"))</f>
        <v/>
      </c>
      <c r="D18" s="66">
        <f>IF('שיבוץ'!$A17="","",'שיבוץ'!$E17&amp;"")</f>
        <v/>
      </c>
      <c r="E18" s="67">
        <f>IF('שיבוץ'!$A17="","",'שיבוץ'!$D17&amp;"")</f>
        <v/>
      </c>
      <c r="F18" s="67">
        <f>IF('שיבוץ'!$A17="","",'שיבוץ'!$F17&amp;"")</f>
        <v/>
      </c>
    </row>
    <row r="19" ht="24" customHeight="1">
      <c r="A19" s="65">
        <f>IF('שיבוץ'!$A18="","",IF('שיבוץ'!$A18='שיבוץ'!$A17,"",'שיבוץ'!$A18))</f>
        <v/>
      </c>
      <c r="B19" s="66">
        <f>IF('שיבוץ'!$A18="","",'שיבוץ'!$B18&amp;"")</f>
        <v/>
      </c>
      <c r="C19" s="66">
        <f>IF(N('שיבוץ'!$C18)=0,"",TEXT(HOUR('שיבוץ'!$C18),"00")&amp;":"&amp;TEXT(MINUTE('שיבוץ'!$C18),"00"))</f>
        <v/>
      </c>
      <c r="D19" s="66">
        <f>IF('שיבוץ'!$A18="","",'שיבוץ'!$E18&amp;"")</f>
        <v/>
      </c>
      <c r="E19" s="67">
        <f>IF('שיבוץ'!$A18="","",'שיבוץ'!$D18&amp;"")</f>
        <v/>
      </c>
      <c r="F19" s="67">
        <f>IF('שיבוץ'!$A18="","",'שיבוץ'!$F18&amp;"")</f>
        <v/>
      </c>
    </row>
    <row r="20" ht="24" customHeight="1">
      <c r="A20" s="65">
        <f>IF('שיבוץ'!$A19="","",IF('שיבוץ'!$A19='שיבוץ'!$A18,"",'שיבוץ'!$A19))</f>
        <v/>
      </c>
      <c r="B20" s="66">
        <f>IF('שיבוץ'!$A19="","",'שיבוץ'!$B19&amp;"")</f>
        <v/>
      </c>
      <c r="C20" s="66">
        <f>IF(N('שיבוץ'!$C19)=0,"",TEXT(HOUR('שיבוץ'!$C19),"00")&amp;":"&amp;TEXT(MINUTE('שיבוץ'!$C19),"00"))</f>
        <v/>
      </c>
      <c r="D20" s="66">
        <f>IF('שיבוץ'!$A19="","",'שיבוץ'!$E19&amp;"")</f>
        <v/>
      </c>
      <c r="E20" s="67">
        <f>IF('שיבוץ'!$A19="","",'שיבוץ'!$D19&amp;"")</f>
        <v/>
      </c>
      <c r="F20" s="67">
        <f>IF('שיבוץ'!$A19="","",'שיבוץ'!$F19&amp;"")</f>
        <v/>
      </c>
    </row>
    <row r="21" ht="24" customHeight="1">
      <c r="A21" s="65">
        <f>IF('שיבוץ'!$A20="","",IF('שיבוץ'!$A20='שיבוץ'!$A19,"",'שיבוץ'!$A20))</f>
        <v/>
      </c>
      <c r="B21" s="66">
        <f>IF('שיבוץ'!$A20="","",'שיבוץ'!$B20&amp;"")</f>
        <v/>
      </c>
      <c r="C21" s="66">
        <f>IF(N('שיבוץ'!$C20)=0,"",TEXT(HOUR('שיבוץ'!$C20),"00")&amp;":"&amp;TEXT(MINUTE('שיבוץ'!$C20),"00"))</f>
        <v/>
      </c>
      <c r="D21" s="66">
        <f>IF('שיבוץ'!$A20="","",'שיבוץ'!$E20&amp;"")</f>
        <v/>
      </c>
      <c r="E21" s="67">
        <f>IF('שיבוץ'!$A20="","",'שיבוץ'!$D20&amp;"")</f>
        <v/>
      </c>
      <c r="F21" s="67">
        <f>IF('שיבוץ'!$A20="","",'שיבוץ'!$F20&amp;"")</f>
        <v/>
      </c>
    </row>
    <row r="22" ht="24" customHeight="1">
      <c r="A22" s="65">
        <f>IF('שיבוץ'!$A21="","",IF('שיבוץ'!$A21='שיבוץ'!$A20,"",'שיבוץ'!$A21))</f>
        <v/>
      </c>
      <c r="B22" s="66">
        <f>IF('שיבוץ'!$A21="","",'שיבוץ'!$B21&amp;"")</f>
        <v/>
      </c>
      <c r="C22" s="66">
        <f>IF(N('שיבוץ'!$C21)=0,"",TEXT(HOUR('שיבוץ'!$C21),"00")&amp;":"&amp;TEXT(MINUTE('שיבוץ'!$C21),"00"))</f>
        <v/>
      </c>
      <c r="D22" s="66">
        <f>IF('שיבוץ'!$A21="","",'שיבוץ'!$E21&amp;"")</f>
        <v/>
      </c>
      <c r="E22" s="67">
        <f>IF('שיבוץ'!$A21="","",'שיבוץ'!$D21&amp;"")</f>
        <v/>
      </c>
      <c r="F22" s="67">
        <f>IF('שיבוץ'!$A21="","",'שיבוץ'!$F21&amp;"")</f>
        <v/>
      </c>
    </row>
    <row r="23" ht="24" customHeight="1">
      <c r="A23" s="65">
        <f>IF('שיבוץ'!$A22="","",IF('שיבוץ'!$A22='שיבוץ'!$A21,"",'שיבוץ'!$A22))</f>
        <v/>
      </c>
      <c r="B23" s="66">
        <f>IF('שיבוץ'!$A22="","",'שיבוץ'!$B22&amp;"")</f>
        <v/>
      </c>
      <c r="C23" s="66">
        <f>IF(N('שיבוץ'!$C22)=0,"",TEXT(HOUR('שיבוץ'!$C22),"00")&amp;":"&amp;TEXT(MINUTE('שיבוץ'!$C22),"00"))</f>
        <v/>
      </c>
      <c r="D23" s="66">
        <f>IF('שיבוץ'!$A22="","",'שיבוץ'!$E22&amp;"")</f>
        <v/>
      </c>
      <c r="E23" s="67">
        <f>IF('שיבוץ'!$A22="","",'שיבוץ'!$D22&amp;"")</f>
        <v/>
      </c>
      <c r="F23" s="67">
        <f>IF('שיבוץ'!$A22="","",'שיבוץ'!$F22&amp;"")</f>
        <v/>
      </c>
    </row>
    <row r="24" ht="24" customHeight="1">
      <c r="A24" s="65">
        <f>IF('שיבוץ'!$A23="","",IF('שיבוץ'!$A23='שיבוץ'!$A22,"",'שיבוץ'!$A23))</f>
        <v/>
      </c>
      <c r="B24" s="66">
        <f>IF('שיבוץ'!$A23="","",'שיבוץ'!$B23&amp;"")</f>
        <v/>
      </c>
      <c r="C24" s="66">
        <f>IF(N('שיבוץ'!$C23)=0,"",TEXT(HOUR('שיבוץ'!$C23),"00")&amp;":"&amp;TEXT(MINUTE('שיבוץ'!$C23),"00"))</f>
        <v/>
      </c>
      <c r="D24" s="66">
        <f>IF('שיבוץ'!$A23="","",'שיבוץ'!$E23&amp;"")</f>
        <v/>
      </c>
      <c r="E24" s="67">
        <f>IF('שיבוץ'!$A23="","",'שיבוץ'!$D23&amp;"")</f>
        <v/>
      </c>
      <c r="F24" s="67">
        <f>IF('שיבוץ'!$A23="","",'שיבוץ'!$F23&amp;"")</f>
        <v/>
      </c>
    </row>
    <row r="25" ht="24" customHeight="1">
      <c r="A25" s="65">
        <f>IF('שיבוץ'!$A24="","",IF('שיבוץ'!$A24='שיבוץ'!$A23,"",'שיבוץ'!$A24))</f>
        <v/>
      </c>
      <c r="B25" s="66">
        <f>IF('שיבוץ'!$A24="","",'שיבוץ'!$B24&amp;"")</f>
        <v/>
      </c>
      <c r="C25" s="66">
        <f>IF(N('שיבוץ'!$C24)=0,"",TEXT(HOUR('שיבוץ'!$C24),"00")&amp;":"&amp;TEXT(MINUTE('שיבוץ'!$C24),"00"))</f>
        <v/>
      </c>
      <c r="D25" s="66">
        <f>IF('שיבוץ'!$A24="","",'שיבוץ'!$E24&amp;"")</f>
        <v/>
      </c>
      <c r="E25" s="67">
        <f>IF('שיבוץ'!$A24="","",'שיבוץ'!$D24&amp;"")</f>
        <v/>
      </c>
      <c r="F25" s="67">
        <f>IF('שיבוץ'!$A24="","",'שיבוץ'!$F24&amp;"")</f>
        <v/>
      </c>
    </row>
    <row r="26" ht="24" customHeight="1">
      <c r="A26" s="65">
        <f>IF('שיבוץ'!$A25="","",IF('שיבוץ'!$A25='שיבוץ'!$A24,"",'שיבוץ'!$A25))</f>
        <v/>
      </c>
      <c r="B26" s="66">
        <f>IF('שיבוץ'!$A25="","",'שיבוץ'!$B25&amp;"")</f>
        <v/>
      </c>
      <c r="C26" s="66">
        <f>IF(N('שיבוץ'!$C25)=0,"",TEXT(HOUR('שיבוץ'!$C25),"00")&amp;":"&amp;TEXT(MINUTE('שיבוץ'!$C25),"00"))</f>
        <v/>
      </c>
      <c r="D26" s="66">
        <f>IF('שיבוץ'!$A25="","",'שיבוץ'!$E25&amp;"")</f>
        <v/>
      </c>
      <c r="E26" s="67">
        <f>IF('שיבוץ'!$A25="","",'שיבוץ'!$D25&amp;"")</f>
        <v/>
      </c>
      <c r="F26" s="67">
        <f>IF('שיבוץ'!$A25="","",'שיבוץ'!$F25&amp;"")</f>
        <v/>
      </c>
    </row>
    <row r="27" ht="24" customHeight="1">
      <c r="A27" s="65">
        <f>IF('שיבוץ'!$A26="","",IF('שיבוץ'!$A26='שיבוץ'!$A25,"",'שיבוץ'!$A26))</f>
        <v/>
      </c>
      <c r="B27" s="66">
        <f>IF('שיבוץ'!$A26="","",'שיבוץ'!$B26&amp;"")</f>
        <v/>
      </c>
      <c r="C27" s="66">
        <f>IF(N('שיבוץ'!$C26)=0,"",TEXT(HOUR('שיבוץ'!$C26),"00")&amp;":"&amp;TEXT(MINUTE('שיבוץ'!$C26),"00"))</f>
        <v/>
      </c>
      <c r="D27" s="66">
        <f>IF('שיבוץ'!$A26="","",'שיבוץ'!$E26&amp;"")</f>
        <v/>
      </c>
      <c r="E27" s="67">
        <f>IF('שיבוץ'!$A26="","",'שיבוץ'!$D26&amp;"")</f>
        <v/>
      </c>
      <c r="F27" s="67">
        <f>IF('שיבוץ'!$A26="","",'שיבוץ'!$F26&amp;"")</f>
        <v/>
      </c>
    </row>
    <row r="28" ht="24" customHeight="1">
      <c r="A28" s="65">
        <f>IF('שיבוץ'!$A27="","",IF('שיבוץ'!$A27='שיבוץ'!$A26,"",'שיבוץ'!$A27))</f>
        <v/>
      </c>
      <c r="B28" s="66">
        <f>IF('שיבוץ'!$A27="","",'שיבוץ'!$B27&amp;"")</f>
        <v/>
      </c>
      <c r="C28" s="66">
        <f>IF(N('שיבוץ'!$C27)=0,"",TEXT(HOUR('שיבוץ'!$C27),"00")&amp;":"&amp;TEXT(MINUTE('שיבוץ'!$C27),"00"))</f>
        <v/>
      </c>
      <c r="D28" s="66">
        <f>IF('שיבוץ'!$A27="","",'שיבוץ'!$E27&amp;"")</f>
        <v/>
      </c>
      <c r="E28" s="67">
        <f>IF('שיבוץ'!$A27="","",'שיבוץ'!$D27&amp;"")</f>
        <v/>
      </c>
      <c r="F28" s="67">
        <f>IF('שיבוץ'!$A27="","",'שיבוץ'!$F27&amp;"")</f>
        <v/>
      </c>
    </row>
    <row r="29" ht="24" customHeight="1">
      <c r="A29" s="65">
        <f>IF('שיבוץ'!$A28="","",IF('שיבוץ'!$A28='שיבוץ'!$A27,"",'שיבוץ'!$A28))</f>
        <v/>
      </c>
      <c r="B29" s="66">
        <f>IF('שיבוץ'!$A28="","",'שיבוץ'!$B28&amp;"")</f>
        <v/>
      </c>
      <c r="C29" s="66">
        <f>IF(N('שיבוץ'!$C28)=0,"",TEXT(HOUR('שיבוץ'!$C28),"00")&amp;":"&amp;TEXT(MINUTE('שיבוץ'!$C28),"00"))</f>
        <v/>
      </c>
      <c r="D29" s="66">
        <f>IF('שיבוץ'!$A28="","",'שיבוץ'!$E28&amp;"")</f>
        <v/>
      </c>
      <c r="E29" s="67">
        <f>IF('שיבוץ'!$A28="","",'שיבוץ'!$D28&amp;"")</f>
        <v/>
      </c>
      <c r="F29" s="67">
        <f>IF('שיבוץ'!$A28="","",'שיבוץ'!$F28&amp;"")</f>
        <v/>
      </c>
    </row>
    <row r="30" ht="24" customHeight="1">
      <c r="A30" s="65">
        <f>IF('שיבוץ'!$A29="","",IF('שיבוץ'!$A29='שיבוץ'!$A28,"",'שיבוץ'!$A29))</f>
        <v/>
      </c>
      <c r="B30" s="66">
        <f>IF('שיבוץ'!$A29="","",'שיבוץ'!$B29&amp;"")</f>
        <v/>
      </c>
      <c r="C30" s="66">
        <f>IF(N('שיבוץ'!$C29)=0,"",TEXT(HOUR('שיבוץ'!$C29),"00")&amp;":"&amp;TEXT(MINUTE('שיבוץ'!$C29),"00"))</f>
        <v/>
      </c>
      <c r="D30" s="66">
        <f>IF('שיבוץ'!$A29="","",'שיבוץ'!$E29&amp;"")</f>
        <v/>
      </c>
      <c r="E30" s="67">
        <f>IF('שיבוץ'!$A29="","",'שיבוץ'!$D29&amp;"")</f>
        <v/>
      </c>
      <c r="F30" s="67">
        <f>IF('שיבוץ'!$A29="","",'שיבוץ'!$F29&amp;"")</f>
        <v/>
      </c>
    </row>
    <row r="31" ht="24" customHeight="1">
      <c r="A31" s="65">
        <f>IF('שיבוץ'!$A30="","",IF('שיבוץ'!$A30='שיבוץ'!$A29,"",'שיבוץ'!$A30))</f>
        <v/>
      </c>
      <c r="B31" s="66">
        <f>IF('שיבוץ'!$A30="","",'שיבוץ'!$B30&amp;"")</f>
        <v/>
      </c>
      <c r="C31" s="66">
        <f>IF(N('שיבוץ'!$C30)=0,"",TEXT(HOUR('שיבוץ'!$C30),"00")&amp;":"&amp;TEXT(MINUTE('שיבוץ'!$C30),"00"))</f>
        <v/>
      </c>
      <c r="D31" s="66">
        <f>IF('שיבוץ'!$A30="","",'שיבוץ'!$E30&amp;"")</f>
        <v/>
      </c>
      <c r="E31" s="67">
        <f>IF('שיבוץ'!$A30="","",'שיבוץ'!$D30&amp;"")</f>
        <v/>
      </c>
      <c r="F31" s="67">
        <f>IF('שיבוץ'!$A30="","",'שיבוץ'!$F30&amp;"")</f>
        <v/>
      </c>
    </row>
    <row r="32" ht="24" customHeight="1">
      <c r="A32" s="65">
        <f>IF('שיבוץ'!$A31="","",IF('שיבוץ'!$A31='שיבוץ'!$A30,"",'שיבוץ'!$A31))</f>
        <v/>
      </c>
      <c r="B32" s="66">
        <f>IF('שיבוץ'!$A31="","",'שיבוץ'!$B31&amp;"")</f>
        <v/>
      </c>
      <c r="C32" s="66">
        <f>IF(N('שיבוץ'!$C31)=0,"",TEXT(HOUR('שיבוץ'!$C31),"00")&amp;":"&amp;TEXT(MINUTE('שיבוץ'!$C31),"00"))</f>
        <v/>
      </c>
      <c r="D32" s="66">
        <f>IF('שיבוץ'!$A31="","",'שיבוץ'!$E31&amp;"")</f>
        <v/>
      </c>
      <c r="E32" s="67">
        <f>IF('שיבוץ'!$A31="","",'שיבוץ'!$D31&amp;"")</f>
        <v/>
      </c>
      <c r="F32" s="67">
        <f>IF('שיבוץ'!$A31="","",'שיבוץ'!$F31&amp;"")</f>
        <v/>
      </c>
    </row>
    <row r="33" ht="24" customHeight="1">
      <c r="A33" s="65">
        <f>IF('שיבוץ'!$A32="","",IF('שיבוץ'!$A32='שיבוץ'!$A31,"",'שיבוץ'!$A32))</f>
        <v/>
      </c>
      <c r="B33" s="66">
        <f>IF('שיבוץ'!$A32="","",'שיבוץ'!$B32&amp;"")</f>
        <v/>
      </c>
      <c r="C33" s="66">
        <f>IF(N('שיבוץ'!$C32)=0,"",TEXT(HOUR('שיבוץ'!$C32),"00")&amp;":"&amp;TEXT(MINUTE('שיבוץ'!$C32),"00"))</f>
        <v/>
      </c>
      <c r="D33" s="66">
        <f>IF('שיבוץ'!$A32="","",'שיבוץ'!$E32&amp;"")</f>
        <v/>
      </c>
      <c r="E33" s="67">
        <f>IF('שיבוץ'!$A32="","",'שיבוץ'!$D32&amp;"")</f>
        <v/>
      </c>
      <c r="F33" s="67">
        <f>IF('שיבוץ'!$A32="","",'שיבוץ'!$F32&amp;"")</f>
        <v/>
      </c>
    </row>
    <row r="34" ht="24" customHeight="1">
      <c r="A34" s="65">
        <f>IF('שיבוץ'!$A33="","",IF('שיבוץ'!$A33='שיבוץ'!$A32,"",'שיבוץ'!$A33))</f>
        <v/>
      </c>
      <c r="B34" s="66">
        <f>IF('שיבוץ'!$A33="","",'שיבוץ'!$B33&amp;"")</f>
        <v/>
      </c>
      <c r="C34" s="66">
        <f>IF(N('שיבוץ'!$C33)=0,"",TEXT(HOUR('שיבוץ'!$C33),"00")&amp;":"&amp;TEXT(MINUTE('שיבוץ'!$C33),"00"))</f>
        <v/>
      </c>
      <c r="D34" s="66">
        <f>IF('שיבוץ'!$A33="","",'שיבוץ'!$E33&amp;"")</f>
        <v/>
      </c>
      <c r="E34" s="67">
        <f>IF('שיבוץ'!$A33="","",'שיבוץ'!$D33&amp;"")</f>
        <v/>
      </c>
      <c r="F34" s="67">
        <f>IF('שיבוץ'!$A33="","",'שיבוץ'!$F33&amp;"")</f>
        <v/>
      </c>
    </row>
    <row r="35" ht="24" customHeight="1">
      <c r="A35" s="65">
        <f>IF('שיבוץ'!$A34="","",IF('שיבוץ'!$A34='שיבוץ'!$A33,"",'שיבוץ'!$A34))</f>
        <v/>
      </c>
      <c r="B35" s="66">
        <f>IF('שיבוץ'!$A34="","",'שיבוץ'!$B34&amp;"")</f>
        <v/>
      </c>
      <c r="C35" s="66">
        <f>IF(N('שיבוץ'!$C34)=0,"",TEXT(HOUR('שיבוץ'!$C34),"00")&amp;":"&amp;TEXT(MINUTE('שיבוץ'!$C34),"00"))</f>
        <v/>
      </c>
      <c r="D35" s="66">
        <f>IF('שיבוץ'!$A34="","",'שיבוץ'!$E34&amp;"")</f>
        <v/>
      </c>
      <c r="E35" s="67">
        <f>IF('שיבוץ'!$A34="","",'שיבוץ'!$D34&amp;"")</f>
        <v/>
      </c>
      <c r="F35" s="67">
        <f>IF('שיבוץ'!$A34="","",'שיבוץ'!$F34&amp;"")</f>
        <v/>
      </c>
    </row>
    <row r="36" ht="24" customHeight="1">
      <c r="A36" s="65">
        <f>IF('שיבוץ'!$A35="","",IF('שיבוץ'!$A35='שיבוץ'!$A34,"",'שיבוץ'!$A35))</f>
        <v/>
      </c>
      <c r="B36" s="66">
        <f>IF('שיבוץ'!$A35="","",'שיבוץ'!$B35&amp;"")</f>
        <v/>
      </c>
      <c r="C36" s="66">
        <f>IF(N('שיבוץ'!$C35)=0,"",TEXT(HOUR('שיבוץ'!$C35),"00")&amp;":"&amp;TEXT(MINUTE('שיבוץ'!$C35),"00"))</f>
        <v/>
      </c>
      <c r="D36" s="66">
        <f>IF('שיבוץ'!$A35="","",'שיבוץ'!$E35&amp;"")</f>
        <v/>
      </c>
      <c r="E36" s="67">
        <f>IF('שיבוץ'!$A35="","",'שיבוץ'!$D35&amp;"")</f>
        <v/>
      </c>
      <c r="F36" s="67">
        <f>IF('שיבוץ'!$A35="","",'שיבוץ'!$F35&amp;"")</f>
        <v/>
      </c>
    </row>
    <row r="37" ht="24" customHeight="1">
      <c r="A37" s="65">
        <f>IF('שיבוץ'!$A36="","",IF('שיבוץ'!$A36='שיבוץ'!$A35,"",'שיבוץ'!$A36))</f>
        <v/>
      </c>
      <c r="B37" s="66">
        <f>IF('שיבוץ'!$A36="","",'שיבוץ'!$B36&amp;"")</f>
        <v/>
      </c>
      <c r="C37" s="66">
        <f>IF(N('שיבוץ'!$C36)=0,"",TEXT(HOUR('שיבוץ'!$C36),"00")&amp;":"&amp;TEXT(MINUTE('שיבוץ'!$C36),"00"))</f>
        <v/>
      </c>
      <c r="D37" s="66">
        <f>IF('שיבוץ'!$A36="","",'שיבוץ'!$E36&amp;"")</f>
        <v/>
      </c>
      <c r="E37" s="67">
        <f>IF('שיבוץ'!$A36="","",'שיבוץ'!$D36&amp;"")</f>
        <v/>
      </c>
      <c r="F37" s="67">
        <f>IF('שיבוץ'!$A36="","",'שיבוץ'!$F36&amp;"")</f>
        <v/>
      </c>
    </row>
    <row r="38" ht="24" customHeight="1">
      <c r="A38" s="65">
        <f>IF('שיבוץ'!$A37="","",IF('שיבוץ'!$A37='שיבוץ'!$A36,"",'שיבוץ'!$A37))</f>
        <v/>
      </c>
      <c r="B38" s="66">
        <f>IF('שיבוץ'!$A37="","",'שיבוץ'!$B37&amp;"")</f>
        <v/>
      </c>
      <c r="C38" s="66">
        <f>IF(N('שיבוץ'!$C37)=0,"",TEXT(HOUR('שיבוץ'!$C37),"00")&amp;":"&amp;TEXT(MINUTE('שיבוץ'!$C37),"00"))</f>
        <v/>
      </c>
      <c r="D38" s="66">
        <f>IF('שיבוץ'!$A37="","",'שיבוץ'!$E37&amp;"")</f>
        <v/>
      </c>
      <c r="E38" s="67">
        <f>IF('שיבוץ'!$A37="","",'שיבוץ'!$D37&amp;"")</f>
        <v/>
      </c>
      <c r="F38" s="67">
        <f>IF('שיבוץ'!$A37="","",'שיבוץ'!$F37&amp;"")</f>
        <v/>
      </c>
    </row>
    <row r="39" ht="24" customHeight="1">
      <c r="A39" s="65">
        <f>IF('שיבוץ'!$A38="","",IF('שיבוץ'!$A38='שיבוץ'!$A37,"",'שיבוץ'!$A38))</f>
        <v/>
      </c>
      <c r="B39" s="66">
        <f>IF('שיבוץ'!$A38="","",'שיבוץ'!$B38&amp;"")</f>
        <v/>
      </c>
      <c r="C39" s="66">
        <f>IF(N('שיבוץ'!$C38)=0,"",TEXT(HOUR('שיבוץ'!$C38),"00")&amp;":"&amp;TEXT(MINUTE('שיבוץ'!$C38),"00"))</f>
        <v/>
      </c>
      <c r="D39" s="66">
        <f>IF('שיבוץ'!$A38="","",'שיבוץ'!$E38&amp;"")</f>
        <v/>
      </c>
      <c r="E39" s="67">
        <f>IF('שיבוץ'!$A38="","",'שיבוץ'!$D38&amp;"")</f>
        <v/>
      </c>
      <c r="F39" s="67">
        <f>IF('שיבוץ'!$A38="","",'שיבוץ'!$F38&amp;"")</f>
        <v/>
      </c>
    </row>
    <row r="40" ht="24" customHeight="1">
      <c r="A40" s="65">
        <f>IF('שיבוץ'!$A39="","",IF('שיבוץ'!$A39='שיבוץ'!$A38,"",'שיבוץ'!$A39))</f>
        <v/>
      </c>
      <c r="B40" s="66">
        <f>IF('שיבוץ'!$A39="","",'שיבוץ'!$B39&amp;"")</f>
        <v/>
      </c>
      <c r="C40" s="66">
        <f>IF(N('שיבוץ'!$C39)=0,"",TEXT(HOUR('שיבוץ'!$C39),"00")&amp;":"&amp;TEXT(MINUTE('שיבוץ'!$C39),"00"))</f>
        <v/>
      </c>
      <c r="D40" s="66">
        <f>IF('שיבוץ'!$A39="","",'שיבוץ'!$E39&amp;"")</f>
        <v/>
      </c>
      <c r="E40" s="67">
        <f>IF('שיבוץ'!$A39="","",'שיבוץ'!$D39&amp;"")</f>
        <v/>
      </c>
      <c r="F40" s="67">
        <f>IF('שיבוץ'!$A39="","",'שיבוץ'!$F39&amp;"")</f>
        <v/>
      </c>
    </row>
    <row r="41" ht="24" customHeight="1">
      <c r="A41" s="65">
        <f>IF('שיבוץ'!$A40="","",IF('שיבוץ'!$A40='שיבוץ'!$A39,"",'שיבוץ'!$A40))</f>
        <v/>
      </c>
      <c r="B41" s="66">
        <f>IF('שיבוץ'!$A40="","",'שיבוץ'!$B40&amp;"")</f>
        <v/>
      </c>
      <c r="C41" s="66">
        <f>IF(N('שיבוץ'!$C40)=0,"",TEXT(HOUR('שיבוץ'!$C40),"00")&amp;":"&amp;TEXT(MINUTE('שיבוץ'!$C40),"00"))</f>
        <v/>
      </c>
      <c r="D41" s="66">
        <f>IF('שיבוץ'!$A40="","",'שיבוץ'!$E40&amp;"")</f>
        <v/>
      </c>
      <c r="E41" s="67">
        <f>IF('שיבוץ'!$A40="","",'שיבוץ'!$D40&amp;"")</f>
        <v/>
      </c>
      <c r="F41" s="67">
        <f>IF('שיבוץ'!$A40="","",'שיבוץ'!$F40&amp;"")</f>
        <v/>
      </c>
    </row>
    <row r="42" ht="24" customHeight="1">
      <c r="A42" s="65">
        <f>IF('שיבוץ'!$A41="","",IF('שיבוץ'!$A41='שיבוץ'!$A40,"",'שיבוץ'!$A41))</f>
        <v/>
      </c>
      <c r="B42" s="66">
        <f>IF('שיבוץ'!$A41="","",'שיבוץ'!$B41&amp;"")</f>
        <v/>
      </c>
      <c r="C42" s="66">
        <f>IF(N('שיבוץ'!$C41)=0,"",TEXT(HOUR('שיבוץ'!$C41),"00")&amp;":"&amp;TEXT(MINUTE('שיבוץ'!$C41),"00"))</f>
        <v/>
      </c>
      <c r="D42" s="66">
        <f>IF('שיבוץ'!$A41="","",'שיבוץ'!$E41&amp;"")</f>
        <v/>
      </c>
      <c r="E42" s="67">
        <f>IF('שיבוץ'!$A41="","",'שיבוץ'!$D41&amp;"")</f>
        <v/>
      </c>
      <c r="F42" s="67">
        <f>IF('שיבוץ'!$A41="","",'שיבוץ'!$F41&amp;"")</f>
        <v/>
      </c>
    </row>
    <row r="43" ht="24" customHeight="1">
      <c r="A43" s="65">
        <f>IF('שיבוץ'!$A42="","",IF('שיבוץ'!$A42='שיבוץ'!$A41,"",'שיבוץ'!$A42))</f>
        <v/>
      </c>
      <c r="B43" s="66">
        <f>IF('שיבוץ'!$A42="","",'שיבוץ'!$B42&amp;"")</f>
        <v/>
      </c>
      <c r="C43" s="66">
        <f>IF(N('שיבוץ'!$C42)=0,"",TEXT(HOUR('שיבוץ'!$C42),"00")&amp;":"&amp;TEXT(MINUTE('שיבוץ'!$C42),"00"))</f>
        <v/>
      </c>
      <c r="D43" s="66">
        <f>IF('שיבוץ'!$A42="","",'שיבוץ'!$E42&amp;"")</f>
        <v/>
      </c>
      <c r="E43" s="67">
        <f>IF('שיבוץ'!$A42="","",'שיבוץ'!$D42&amp;"")</f>
        <v/>
      </c>
      <c r="F43" s="67">
        <f>IF('שיבוץ'!$A42="","",'שיבוץ'!$F42&amp;"")</f>
        <v/>
      </c>
    </row>
    <row r="44" ht="24" customHeight="1">
      <c r="A44" s="65">
        <f>IF('שיבוץ'!$A43="","",IF('שיבוץ'!$A43='שיבוץ'!$A42,"",'שיבוץ'!$A43))</f>
        <v/>
      </c>
      <c r="B44" s="66">
        <f>IF('שיבוץ'!$A43="","",'שיבוץ'!$B43&amp;"")</f>
        <v/>
      </c>
      <c r="C44" s="66">
        <f>IF(N('שיבוץ'!$C43)=0,"",TEXT(HOUR('שיבוץ'!$C43),"00")&amp;":"&amp;TEXT(MINUTE('שיבוץ'!$C43),"00"))</f>
        <v/>
      </c>
      <c r="D44" s="66">
        <f>IF('שיבוץ'!$A43="","",'שיבוץ'!$E43&amp;"")</f>
        <v/>
      </c>
      <c r="E44" s="67">
        <f>IF('שיבוץ'!$A43="","",'שיבוץ'!$D43&amp;"")</f>
        <v/>
      </c>
      <c r="F44" s="67">
        <f>IF('שיבוץ'!$A43="","",'שיבוץ'!$F43&amp;"")</f>
        <v/>
      </c>
    </row>
    <row r="45" ht="24" customHeight="1">
      <c r="A45" s="65">
        <f>IF('שיבוץ'!$A44="","",IF('שיבוץ'!$A44='שיבוץ'!$A43,"",'שיבוץ'!$A44))</f>
        <v/>
      </c>
      <c r="B45" s="66">
        <f>IF('שיבוץ'!$A44="","",'שיבוץ'!$B44&amp;"")</f>
        <v/>
      </c>
      <c r="C45" s="66">
        <f>IF(N('שיבוץ'!$C44)=0,"",TEXT(HOUR('שיבוץ'!$C44),"00")&amp;":"&amp;TEXT(MINUTE('שיבוץ'!$C44),"00"))</f>
        <v/>
      </c>
      <c r="D45" s="66">
        <f>IF('שיבוץ'!$A44="","",'שיבוץ'!$E44&amp;"")</f>
        <v/>
      </c>
      <c r="E45" s="67">
        <f>IF('שיבוץ'!$A44="","",'שיבוץ'!$D44&amp;"")</f>
        <v/>
      </c>
      <c r="F45" s="67">
        <f>IF('שיבוץ'!$A44="","",'שיבוץ'!$F44&amp;"")</f>
        <v/>
      </c>
    </row>
    <row r="46" ht="24" customHeight="1">
      <c r="A46" s="65">
        <f>IF('שיבוץ'!$A45="","",IF('שיבוץ'!$A45='שיבוץ'!$A44,"",'שיבוץ'!$A45))</f>
        <v/>
      </c>
      <c r="B46" s="66">
        <f>IF('שיבוץ'!$A45="","",'שיבוץ'!$B45&amp;"")</f>
        <v/>
      </c>
      <c r="C46" s="66">
        <f>IF(N('שיבוץ'!$C45)=0,"",TEXT(HOUR('שיבוץ'!$C45),"00")&amp;":"&amp;TEXT(MINUTE('שיבוץ'!$C45),"00"))</f>
        <v/>
      </c>
      <c r="D46" s="66">
        <f>IF('שיבוץ'!$A45="","",'שיבוץ'!$E45&amp;"")</f>
        <v/>
      </c>
      <c r="E46" s="67">
        <f>IF('שיבוץ'!$A45="","",'שיבוץ'!$D45&amp;"")</f>
        <v/>
      </c>
      <c r="F46" s="67">
        <f>IF('שיבוץ'!$A45="","",'שיבוץ'!$F45&amp;"")</f>
        <v/>
      </c>
    </row>
    <row r="47" ht="24" customHeight="1">
      <c r="A47" s="65">
        <f>IF('שיבוץ'!$A46="","",IF('שיבוץ'!$A46='שיבוץ'!$A45,"",'שיבוץ'!$A46))</f>
        <v/>
      </c>
      <c r="B47" s="66">
        <f>IF('שיבוץ'!$A46="","",'שיבוץ'!$B46&amp;"")</f>
        <v/>
      </c>
      <c r="C47" s="66">
        <f>IF(N('שיבוץ'!$C46)=0,"",TEXT(HOUR('שיבוץ'!$C46),"00")&amp;":"&amp;TEXT(MINUTE('שיבוץ'!$C46),"00"))</f>
        <v/>
      </c>
      <c r="D47" s="66">
        <f>IF('שיבוץ'!$A46="","",'שיבוץ'!$E46&amp;"")</f>
        <v/>
      </c>
      <c r="E47" s="67">
        <f>IF('שיבוץ'!$A46="","",'שיבוץ'!$D46&amp;"")</f>
        <v/>
      </c>
      <c r="F47" s="67">
        <f>IF('שיבוץ'!$A46="","",'שיבוץ'!$F46&amp;"")</f>
        <v/>
      </c>
    </row>
    <row r="48" ht="24" customHeight="1">
      <c r="A48" s="65">
        <f>IF('שיבוץ'!$A47="","",IF('שיבוץ'!$A47='שיבוץ'!$A46,"",'שיבוץ'!$A47))</f>
        <v/>
      </c>
      <c r="B48" s="66">
        <f>IF('שיבוץ'!$A47="","",'שיבוץ'!$B47&amp;"")</f>
        <v/>
      </c>
      <c r="C48" s="66">
        <f>IF(N('שיבוץ'!$C47)=0,"",TEXT(HOUR('שיבוץ'!$C47),"00")&amp;":"&amp;TEXT(MINUTE('שיבוץ'!$C47),"00"))</f>
        <v/>
      </c>
      <c r="D48" s="66">
        <f>IF('שיבוץ'!$A47="","",'שיבוץ'!$E47&amp;"")</f>
        <v/>
      </c>
      <c r="E48" s="67">
        <f>IF('שיבוץ'!$A47="","",'שיבוץ'!$D47&amp;"")</f>
        <v/>
      </c>
      <c r="F48" s="67">
        <f>IF('שיבוץ'!$A47="","",'שיבוץ'!$F47&amp;"")</f>
        <v/>
      </c>
    </row>
    <row r="49" ht="24" customHeight="1">
      <c r="A49" s="65">
        <f>IF('שיבוץ'!$A48="","",IF('שיבוץ'!$A48='שיבוץ'!$A47,"",'שיבוץ'!$A48))</f>
        <v/>
      </c>
      <c r="B49" s="66">
        <f>IF('שיבוץ'!$A48="","",'שיבוץ'!$B48&amp;"")</f>
        <v/>
      </c>
      <c r="C49" s="66">
        <f>IF(N('שיבוץ'!$C48)=0,"",TEXT(HOUR('שיבוץ'!$C48),"00")&amp;":"&amp;TEXT(MINUTE('שיבוץ'!$C48),"00"))</f>
        <v/>
      </c>
      <c r="D49" s="66">
        <f>IF('שיבוץ'!$A48="","",'שיבוץ'!$E48&amp;"")</f>
        <v/>
      </c>
      <c r="E49" s="67">
        <f>IF('שיבוץ'!$A48="","",'שיבוץ'!$D48&amp;"")</f>
        <v/>
      </c>
      <c r="F49" s="67">
        <f>IF('שיבוץ'!$A48="","",'שיבוץ'!$F48&amp;"")</f>
        <v/>
      </c>
    </row>
    <row r="50" ht="24" customHeight="1">
      <c r="A50" s="65">
        <f>IF('שיבוץ'!$A49="","",IF('שיבוץ'!$A49='שיבוץ'!$A48,"",'שיבוץ'!$A49))</f>
        <v/>
      </c>
      <c r="B50" s="66">
        <f>IF('שיבוץ'!$A49="","",'שיבוץ'!$B49&amp;"")</f>
        <v/>
      </c>
      <c r="C50" s="66">
        <f>IF(N('שיבוץ'!$C49)=0,"",TEXT(HOUR('שיבוץ'!$C49),"00")&amp;":"&amp;TEXT(MINUTE('שיבוץ'!$C49),"00"))</f>
        <v/>
      </c>
      <c r="D50" s="66">
        <f>IF('שיבוץ'!$A49="","",'שיבוץ'!$E49&amp;"")</f>
        <v/>
      </c>
      <c r="E50" s="67">
        <f>IF('שיבוץ'!$A49="","",'שיבוץ'!$D49&amp;"")</f>
        <v/>
      </c>
      <c r="F50" s="67">
        <f>IF('שיבוץ'!$A49="","",'שיבוץ'!$F49&amp;"")</f>
        <v/>
      </c>
    </row>
    <row r="51" ht="24" customHeight="1">
      <c r="A51" s="65">
        <f>IF('שיבוץ'!$A50="","",IF('שיבוץ'!$A50='שיבוץ'!$A49,"",'שיבוץ'!$A50))</f>
        <v/>
      </c>
      <c r="B51" s="66">
        <f>IF('שיבוץ'!$A50="","",'שיבוץ'!$B50&amp;"")</f>
        <v/>
      </c>
      <c r="C51" s="66">
        <f>IF(N('שיבוץ'!$C50)=0,"",TEXT(HOUR('שיבוץ'!$C50),"00")&amp;":"&amp;TEXT(MINUTE('שיבוץ'!$C50),"00"))</f>
        <v/>
      </c>
      <c r="D51" s="66">
        <f>IF('שיבוץ'!$A50="","",'שיבוץ'!$E50&amp;"")</f>
        <v/>
      </c>
      <c r="E51" s="67">
        <f>IF('שיבוץ'!$A50="","",'שיבוץ'!$D50&amp;"")</f>
        <v/>
      </c>
      <c r="F51" s="67">
        <f>IF('שיבוץ'!$A50="","",'שיבוץ'!$F50&amp;"")</f>
        <v/>
      </c>
    </row>
    <row r="52" ht="24" customHeight="1">
      <c r="A52" s="65">
        <f>IF('שיבוץ'!$A51="","",IF('שיבוץ'!$A51='שיבוץ'!$A50,"",'שיבוץ'!$A51))</f>
        <v/>
      </c>
      <c r="B52" s="66">
        <f>IF('שיבוץ'!$A51="","",'שיבוץ'!$B51&amp;"")</f>
        <v/>
      </c>
      <c r="C52" s="66">
        <f>IF(N('שיבוץ'!$C51)=0,"",TEXT(HOUR('שיבוץ'!$C51),"00")&amp;":"&amp;TEXT(MINUTE('שיבוץ'!$C51),"00"))</f>
        <v/>
      </c>
      <c r="D52" s="66">
        <f>IF('שיבוץ'!$A51="","",'שיבוץ'!$E51&amp;"")</f>
        <v/>
      </c>
      <c r="E52" s="67">
        <f>IF('שיבוץ'!$A51="","",'שיבוץ'!$D51&amp;"")</f>
        <v/>
      </c>
      <c r="F52" s="67">
        <f>IF('שיבוץ'!$A51="","",'שיבוץ'!$F51&amp;"")</f>
        <v/>
      </c>
    </row>
    <row r="53" ht="24" customHeight="1">
      <c r="A53" s="65">
        <f>IF('שיבוץ'!$A52="","",IF('שיבוץ'!$A52='שיבוץ'!$A51,"",'שיבוץ'!$A52))</f>
        <v/>
      </c>
      <c r="B53" s="66">
        <f>IF('שיבוץ'!$A52="","",'שיבוץ'!$B52&amp;"")</f>
        <v/>
      </c>
      <c r="C53" s="66">
        <f>IF(N('שיבוץ'!$C52)=0,"",TEXT(HOUR('שיבוץ'!$C52),"00")&amp;":"&amp;TEXT(MINUTE('שיבוץ'!$C52),"00"))</f>
        <v/>
      </c>
      <c r="D53" s="66">
        <f>IF('שיבוץ'!$A52="","",'שיבוץ'!$E52&amp;"")</f>
        <v/>
      </c>
      <c r="E53" s="67">
        <f>IF('שיבוץ'!$A52="","",'שיבוץ'!$D52&amp;"")</f>
        <v/>
      </c>
      <c r="F53" s="67">
        <f>IF('שיבוץ'!$A52="","",'שיבוץ'!$F52&amp;"")</f>
        <v/>
      </c>
    </row>
    <row r="54" ht="24" customHeight="1">
      <c r="A54" s="65">
        <f>IF('שיבוץ'!$A53="","",IF('שיבוץ'!$A53='שיבוץ'!$A52,"",'שיבוץ'!$A53))</f>
        <v/>
      </c>
      <c r="B54" s="66">
        <f>IF('שיבוץ'!$A53="","",'שיבוץ'!$B53&amp;"")</f>
        <v/>
      </c>
      <c r="C54" s="66">
        <f>IF(N('שיבוץ'!$C53)=0,"",TEXT(HOUR('שיבוץ'!$C53),"00")&amp;":"&amp;TEXT(MINUTE('שיבוץ'!$C53),"00"))</f>
        <v/>
      </c>
      <c r="D54" s="66">
        <f>IF('שיבוץ'!$A53="","",'שיבוץ'!$E53&amp;"")</f>
        <v/>
      </c>
      <c r="E54" s="67">
        <f>IF('שיבוץ'!$A53="","",'שיבוץ'!$D53&amp;"")</f>
        <v/>
      </c>
      <c r="F54" s="67">
        <f>IF('שיבוץ'!$A53="","",'שיבוץ'!$F53&amp;"")</f>
        <v/>
      </c>
    </row>
    <row r="55" ht="24" customHeight="1">
      <c r="A55" s="65">
        <f>IF('שיבוץ'!$A54="","",IF('שיבוץ'!$A54='שיבוץ'!$A53,"",'שיבוץ'!$A54))</f>
        <v/>
      </c>
      <c r="B55" s="66">
        <f>IF('שיבוץ'!$A54="","",'שיבוץ'!$B54&amp;"")</f>
        <v/>
      </c>
      <c r="C55" s="66">
        <f>IF(N('שיבוץ'!$C54)=0,"",TEXT(HOUR('שיבוץ'!$C54),"00")&amp;":"&amp;TEXT(MINUTE('שיבוץ'!$C54),"00"))</f>
        <v/>
      </c>
      <c r="D55" s="66">
        <f>IF('שיבוץ'!$A54="","",'שיבוץ'!$E54&amp;"")</f>
        <v/>
      </c>
      <c r="E55" s="67">
        <f>IF('שיבוץ'!$A54="","",'שיבוץ'!$D54&amp;"")</f>
        <v/>
      </c>
      <c r="F55" s="67">
        <f>IF('שיבוץ'!$A54="","",'שיבוץ'!$F54&amp;"")</f>
        <v/>
      </c>
    </row>
    <row r="56" ht="24" customHeight="1">
      <c r="A56" s="65">
        <f>IF('שיבוץ'!$A55="","",IF('שיבוץ'!$A55='שיבוץ'!$A54,"",'שיבוץ'!$A55))</f>
        <v/>
      </c>
      <c r="B56" s="66">
        <f>IF('שיבוץ'!$A55="","",'שיבוץ'!$B55&amp;"")</f>
        <v/>
      </c>
      <c r="C56" s="66">
        <f>IF(N('שיבוץ'!$C55)=0,"",TEXT(HOUR('שיבוץ'!$C55),"00")&amp;":"&amp;TEXT(MINUTE('שיבוץ'!$C55),"00"))</f>
        <v/>
      </c>
      <c r="D56" s="66">
        <f>IF('שיבוץ'!$A55="","",'שיבוץ'!$E55&amp;"")</f>
        <v/>
      </c>
      <c r="E56" s="67">
        <f>IF('שיבוץ'!$A55="","",'שיבוץ'!$D55&amp;"")</f>
        <v/>
      </c>
      <c r="F56" s="67">
        <f>IF('שיבוץ'!$A55="","",'שיבוץ'!$F55&amp;"")</f>
        <v/>
      </c>
    </row>
    <row r="57" ht="24" customHeight="1">
      <c r="A57" s="65">
        <f>IF('שיבוץ'!$A56="","",IF('שיבוץ'!$A56='שיבוץ'!$A55,"",'שיבוץ'!$A56))</f>
        <v/>
      </c>
      <c r="B57" s="66">
        <f>IF('שיבוץ'!$A56="","",'שיבוץ'!$B56&amp;"")</f>
        <v/>
      </c>
      <c r="C57" s="66">
        <f>IF(N('שיבוץ'!$C56)=0,"",TEXT(HOUR('שיבוץ'!$C56),"00")&amp;":"&amp;TEXT(MINUTE('שיבוץ'!$C56),"00"))</f>
        <v/>
      </c>
      <c r="D57" s="66">
        <f>IF('שיבוץ'!$A56="","",'שיבוץ'!$E56&amp;"")</f>
        <v/>
      </c>
      <c r="E57" s="67">
        <f>IF('שיבוץ'!$A56="","",'שיבוץ'!$D56&amp;"")</f>
        <v/>
      </c>
      <c r="F57" s="67">
        <f>IF('שיבוץ'!$A56="","",'שיבוץ'!$F56&amp;"")</f>
        <v/>
      </c>
    </row>
    <row r="58" ht="24" customHeight="1">
      <c r="A58" s="65">
        <f>IF('שיבוץ'!$A57="","",IF('שיבוץ'!$A57='שיבוץ'!$A56,"",'שיבוץ'!$A57))</f>
        <v/>
      </c>
      <c r="B58" s="66">
        <f>IF('שיבוץ'!$A57="","",'שיבוץ'!$B57&amp;"")</f>
        <v/>
      </c>
      <c r="C58" s="66">
        <f>IF(N('שיבוץ'!$C57)=0,"",TEXT(HOUR('שיבוץ'!$C57),"00")&amp;":"&amp;TEXT(MINUTE('שיבוץ'!$C57),"00"))</f>
        <v/>
      </c>
      <c r="D58" s="66">
        <f>IF('שיבוץ'!$A57="","",'שיבוץ'!$E57&amp;"")</f>
        <v/>
      </c>
      <c r="E58" s="67">
        <f>IF('שיבוץ'!$A57="","",'שיבוץ'!$D57&amp;"")</f>
        <v/>
      </c>
      <c r="F58" s="67">
        <f>IF('שיבוץ'!$A57="","",'שיבוץ'!$F57&amp;"")</f>
        <v/>
      </c>
    </row>
    <row r="59" ht="24" customHeight="1">
      <c r="A59" s="65">
        <f>IF('שיבוץ'!$A58="","",IF('שיבוץ'!$A58='שיבוץ'!$A57,"",'שיבוץ'!$A58))</f>
        <v/>
      </c>
      <c r="B59" s="66">
        <f>IF('שיבוץ'!$A58="","",'שיבוץ'!$B58&amp;"")</f>
        <v/>
      </c>
      <c r="C59" s="66">
        <f>IF(N('שיבוץ'!$C58)=0,"",TEXT(HOUR('שיבוץ'!$C58),"00")&amp;":"&amp;TEXT(MINUTE('שיבוץ'!$C58),"00"))</f>
        <v/>
      </c>
      <c r="D59" s="66">
        <f>IF('שיבוץ'!$A58="","",'שיבוץ'!$E58&amp;"")</f>
        <v/>
      </c>
      <c r="E59" s="67">
        <f>IF('שיבוץ'!$A58="","",'שיבוץ'!$D58&amp;"")</f>
        <v/>
      </c>
      <c r="F59" s="67">
        <f>IF('שיבוץ'!$A58="","",'שיבוץ'!$F58&amp;"")</f>
        <v/>
      </c>
    </row>
    <row r="60" ht="24" customHeight="1">
      <c r="A60" s="65">
        <f>IF('שיבוץ'!$A59="","",IF('שיבוץ'!$A59='שיבוץ'!$A58,"",'שיבוץ'!$A59))</f>
        <v/>
      </c>
      <c r="B60" s="66">
        <f>IF('שיבוץ'!$A59="","",'שיבוץ'!$B59&amp;"")</f>
        <v/>
      </c>
      <c r="C60" s="66">
        <f>IF(N('שיבוץ'!$C59)=0,"",TEXT(HOUR('שיבוץ'!$C59),"00")&amp;":"&amp;TEXT(MINUTE('שיבוץ'!$C59),"00"))</f>
        <v/>
      </c>
      <c r="D60" s="66">
        <f>IF('שיבוץ'!$A59="","",'שיבוץ'!$E59&amp;"")</f>
        <v/>
      </c>
      <c r="E60" s="67">
        <f>IF('שיבוץ'!$A59="","",'שיבוץ'!$D59&amp;"")</f>
        <v/>
      </c>
      <c r="F60" s="67">
        <f>IF('שיבוץ'!$A59="","",'שיבוץ'!$F59&amp;"")</f>
        <v/>
      </c>
    </row>
    <row r="61" ht="24" customHeight="1">
      <c r="A61" s="65">
        <f>IF('שיבוץ'!$A60="","",IF('שיבוץ'!$A60='שיבוץ'!$A59,"",'שיבוץ'!$A60))</f>
        <v/>
      </c>
      <c r="B61" s="66">
        <f>IF('שיבוץ'!$A60="","",'שיבוץ'!$B60&amp;"")</f>
        <v/>
      </c>
      <c r="C61" s="66">
        <f>IF(N('שיבוץ'!$C60)=0,"",TEXT(HOUR('שיבוץ'!$C60),"00")&amp;":"&amp;TEXT(MINUTE('שיבוץ'!$C60),"00"))</f>
        <v/>
      </c>
      <c r="D61" s="66">
        <f>IF('שיבוץ'!$A60="","",'שיבוץ'!$E60&amp;"")</f>
        <v/>
      </c>
      <c r="E61" s="67">
        <f>IF('שיבוץ'!$A60="","",'שיבוץ'!$D60&amp;"")</f>
        <v/>
      </c>
      <c r="F61" s="67">
        <f>IF('שיבוץ'!$A60="","",'שיבוץ'!$F60&amp;"")</f>
        <v/>
      </c>
    </row>
    <row r="62" ht="24" customHeight="1">
      <c r="A62" s="65">
        <f>IF('שיבוץ'!$A61="","",IF('שיבוץ'!$A61='שיבוץ'!$A60,"",'שיבוץ'!$A61))</f>
        <v/>
      </c>
      <c r="B62" s="66">
        <f>IF('שיבוץ'!$A61="","",'שיבוץ'!$B61&amp;"")</f>
        <v/>
      </c>
      <c r="C62" s="66">
        <f>IF(N('שיבוץ'!$C61)=0,"",TEXT(HOUR('שיבוץ'!$C61),"00")&amp;":"&amp;TEXT(MINUTE('שיבוץ'!$C61),"00"))</f>
        <v/>
      </c>
      <c r="D62" s="66">
        <f>IF('שיבוץ'!$A61="","",'שיבוץ'!$E61&amp;"")</f>
        <v/>
      </c>
      <c r="E62" s="67">
        <f>IF('שיבוץ'!$A61="","",'שיבוץ'!$D61&amp;"")</f>
        <v/>
      </c>
      <c r="F62" s="67">
        <f>IF('שיבוץ'!$A61="","",'שיבוץ'!$F61&amp;"")</f>
        <v/>
      </c>
    </row>
    <row r="63" ht="24" customHeight="1">
      <c r="A63" s="65">
        <f>IF('שיבוץ'!$A62="","",IF('שיבוץ'!$A62='שיבוץ'!$A61,"",'שיבוץ'!$A62))</f>
        <v/>
      </c>
      <c r="B63" s="66">
        <f>IF('שיבוץ'!$A62="","",'שיבוץ'!$B62&amp;"")</f>
        <v/>
      </c>
      <c r="C63" s="66">
        <f>IF(N('שיבוץ'!$C62)=0,"",TEXT(HOUR('שיבוץ'!$C62),"00")&amp;":"&amp;TEXT(MINUTE('שיבוץ'!$C62),"00"))</f>
        <v/>
      </c>
      <c r="D63" s="66">
        <f>IF('שיבוץ'!$A62="","",'שיבוץ'!$E62&amp;"")</f>
        <v/>
      </c>
      <c r="E63" s="67">
        <f>IF('שיבוץ'!$A62="","",'שיבוץ'!$D62&amp;"")</f>
        <v/>
      </c>
      <c r="F63" s="67">
        <f>IF('שיבוץ'!$A62="","",'שיבוץ'!$F62&amp;"")</f>
        <v/>
      </c>
    </row>
    <row r="64" ht="24" customHeight="1">
      <c r="A64" s="65">
        <f>IF('שיבוץ'!$A63="","",IF('שיבוץ'!$A63='שיבוץ'!$A62,"",'שיבוץ'!$A63))</f>
        <v/>
      </c>
      <c r="B64" s="66">
        <f>IF('שיבוץ'!$A63="","",'שיבוץ'!$B63&amp;"")</f>
        <v/>
      </c>
      <c r="C64" s="66">
        <f>IF(N('שיבוץ'!$C63)=0,"",TEXT(HOUR('שיבוץ'!$C63),"00")&amp;":"&amp;TEXT(MINUTE('שיבוץ'!$C63),"00"))</f>
        <v/>
      </c>
      <c r="D64" s="66">
        <f>IF('שיבוץ'!$A63="","",'שיבוץ'!$E63&amp;"")</f>
        <v/>
      </c>
      <c r="E64" s="67">
        <f>IF('שיבוץ'!$A63="","",'שיבוץ'!$D63&amp;"")</f>
        <v/>
      </c>
      <c r="F64" s="67">
        <f>IF('שיבוץ'!$A63="","",'שיבוץ'!$F63&amp;"")</f>
        <v/>
      </c>
    </row>
    <row r="65" ht="24" customHeight="1">
      <c r="A65" s="65">
        <f>IF('שיבוץ'!$A64="","",IF('שיבוץ'!$A64='שיבוץ'!$A63,"",'שיבוץ'!$A64))</f>
        <v/>
      </c>
      <c r="B65" s="66">
        <f>IF('שיבוץ'!$A64="","",'שיבוץ'!$B64&amp;"")</f>
        <v/>
      </c>
      <c r="C65" s="66">
        <f>IF(N('שיבוץ'!$C64)=0,"",TEXT(HOUR('שיבוץ'!$C64),"00")&amp;":"&amp;TEXT(MINUTE('שיבוץ'!$C64),"00"))</f>
        <v/>
      </c>
      <c r="D65" s="66">
        <f>IF('שיבוץ'!$A64="","",'שיבוץ'!$E64&amp;"")</f>
        <v/>
      </c>
      <c r="E65" s="67">
        <f>IF('שיבוץ'!$A64="","",'שיבוץ'!$D64&amp;"")</f>
        <v/>
      </c>
      <c r="F65" s="67">
        <f>IF('שיבוץ'!$A64="","",'שיבוץ'!$F64&amp;"")</f>
        <v/>
      </c>
    </row>
    <row r="66" ht="24" customHeight="1">
      <c r="A66" s="65">
        <f>IF('שיבוץ'!$A65="","",IF('שיבוץ'!$A65='שיבוץ'!$A64,"",'שיבוץ'!$A65))</f>
        <v/>
      </c>
      <c r="B66" s="66">
        <f>IF('שיבוץ'!$A65="","",'שיבוץ'!$B65&amp;"")</f>
        <v/>
      </c>
      <c r="C66" s="66">
        <f>IF(N('שיבוץ'!$C65)=0,"",TEXT(HOUR('שיבוץ'!$C65),"00")&amp;":"&amp;TEXT(MINUTE('שיבוץ'!$C65),"00"))</f>
        <v/>
      </c>
      <c r="D66" s="66">
        <f>IF('שיבוץ'!$A65="","",'שיבוץ'!$E65&amp;"")</f>
        <v/>
      </c>
      <c r="E66" s="67">
        <f>IF('שיבוץ'!$A65="","",'שיבוץ'!$D65&amp;"")</f>
        <v/>
      </c>
      <c r="F66" s="67">
        <f>IF('שיבוץ'!$A65="","",'שיבוץ'!$F65&amp;"")</f>
        <v/>
      </c>
    </row>
    <row r="67" ht="24" customHeight="1">
      <c r="A67" s="65">
        <f>IF('שיבוץ'!$A66="","",IF('שיבוץ'!$A66='שיבוץ'!$A65,"",'שיבוץ'!$A66))</f>
        <v/>
      </c>
      <c r="B67" s="66">
        <f>IF('שיבוץ'!$A66="","",'שיבוץ'!$B66&amp;"")</f>
        <v/>
      </c>
      <c r="C67" s="66">
        <f>IF(N('שיבוץ'!$C66)=0,"",TEXT(HOUR('שיבוץ'!$C66),"00")&amp;":"&amp;TEXT(MINUTE('שיבוץ'!$C66),"00"))</f>
        <v/>
      </c>
      <c r="D67" s="66">
        <f>IF('שיבוץ'!$A66="","",'שיבוץ'!$E66&amp;"")</f>
        <v/>
      </c>
      <c r="E67" s="67">
        <f>IF('שיבוץ'!$A66="","",'שיבוץ'!$D66&amp;"")</f>
        <v/>
      </c>
      <c r="F67" s="67">
        <f>IF('שיבוץ'!$A66="","",'שיבוץ'!$F66&amp;"")</f>
        <v/>
      </c>
    </row>
    <row r="68" ht="24" customHeight="1">
      <c r="A68" s="65">
        <f>IF('שיבוץ'!$A67="","",IF('שיבוץ'!$A67='שיבוץ'!$A66,"",'שיבוץ'!$A67))</f>
        <v/>
      </c>
      <c r="B68" s="66">
        <f>IF('שיבוץ'!$A67="","",'שיבוץ'!$B67&amp;"")</f>
        <v/>
      </c>
      <c r="C68" s="66">
        <f>IF(N('שיבוץ'!$C67)=0,"",TEXT(HOUR('שיבוץ'!$C67),"00")&amp;":"&amp;TEXT(MINUTE('שיבוץ'!$C67),"00"))</f>
        <v/>
      </c>
      <c r="D68" s="66">
        <f>IF('שיבוץ'!$A67="","",'שיבוץ'!$E67&amp;"")</f>
        <v/>
      </c>
      <c r="E68" s="67">
        <f>IF('שיבוץ'!$A67="","",'שיבוץ'!$D67&amp;"")</f>
        <v/>
      </c>
      <c r="F68" s="67">
        <f>IF('שיבוץ'!$A67="","",'שיבוץ'!$F67&amp;"")</f>
        <v/>
      </c>
    </row>
    <row r="69" ht="24" customHeight="1">
      <c r="A69" s="65">
        <f>IF('שיבוץ'!$A68="","",IF('שיבוץ'!$A68='שיבוץ'!$A67,"",'שיבוץ'!$A68))</f>
        <v/>
      </c>
      <c r="B69" s="66">
        <f>IF('שיבוץ'!$A68="","",'שיבוץ'!$B68&amp;"")</f>
        <v/>
      </c>
      <c r="C69" s="66">
        <f>IF(N('שיבוץ'!$C68)=0,"",TEXT(HOUR('שיבוץ'!$C68),"00")&amp;":"&amp;TEXT(MINUTE('שיבוץ'!$C68),"00"))</f>
        <v/>
      </c>
      <c r="D69" s="66">
        <f>IF('שיבוץ'!$A68="","",'שיבוץ'!$E68&amp;"")</f>
        <v/>
      </c>
      <c r="E69" s="67">
        <f>IF('שיבוץ'!$A68="","",'שיבוץ'!$D68&amp;"")</f>
        <v/>
      </c>
      <c r="F69" s="67">
        <f>IF('שיבוץ'!$A68="","",'שיבוץ'!$F68&amp;"")</f>
        <v/>
      </c>
    </row>
    <row r="70" ht="24" customHeight="1">
      <c r="A70" s="65">
        <f>IF('שיבוץ'!$A69="","",IF('שיבוץ'!$A69='שיבוץ'!$A68,"",'שיבוץ'!$A69))</f>
        <v/>
      </c>
      <c r="B70" s="66">
        <f>IF('שיבוץ'!$A69="","",'שיבוץ'!$B69&amp;"")</f>
        <v/>
      </c>
      <c r="C70" s="66">
        <f>IF(N('שיבוץ'!$C69)=0,"",TEXT(HOUR('שיבוץ'!$C69),"00")&amp;":"&amp;TEXT(MINUTE('שיבוץ'!$C69),"00"))</f>
        <v/>
      </c>
      <c r="D70" s="66">
        <f>IF('שיבוץ'!$A69="","",'שיבוץ'!$E69&amp;"")</f>
        <v/>
      </c>
      <c r="E70" s="67">
        <f>IF('שיבוץ'!$A69="","",'שיבוץ'!$D69&amp;"")</f>
        <v/>
      </c>
      <c r="F70" s="67">
        <f>IF('שיבוץ'!$A69="","",'שיבוץ'!$F69&amp;"")</f>
        <v/>
      </c>
    </row>
    <row r="71" ht="24" customHeight="1">
      <c r="A71" s="65">
        <f>IF('שיבוץ'!$A70="","",IF('שיבוץ'!$A70='שיבוץ'!$A69,"",'שיבוץ'!$A70))</f>
        <v/>
      </c>
      <c r="B71" s="66">
        <f>IF('שיבוץ'!$A70="","",'שיבוץ'!$B70&amp;"")</f>
        <v/>
      </c>
      <c r="C71" s="66">
        <f>IF(N('שיבוץ'!$C70)=0,"",TEXT(HOUR('שיבוץ'!$C70),"00")&amp;":"&amp;TEXT(MINUTE('שיבוץ'!$C70),"00"))</f>
        <v/>
      </c>
      <c r="D71" s="66">
        <f>IF('שיבוץ'!$A70="","",'שיבוץ'!$E70&amp;"")</f>
        <v/>
      </c>
      <c r="E71" s="67">
        <f>IF('שיבוץ'!$A70="","",'שיבוץ'!$D70&amp;"")</f>
        <v/>
      </c>
      <c r="F71" s="67">
        <f>IF('שיבוץ'!$A70="","",'שיבוץ'!$F70&amp;"")</f>
        <v/>
      </c>
    </row>
    <row r="72" ht="24" customHeight="1">
      <c r="A72" s="65">
        <f>IF('שיבוץ'!$A71="","",IF('שיבוץ'!$A71='שיבוץ'!$A70,"",'שיבוץ'!$A71))</f>
        <v/>
      </c>
      <c r="B72" s="66">
        <f>IF('שיבוץ'!$A71="","",'שיבוץ'!$B71&amp;"")</f>
        <v/>
      </c>
      <c r="C72" s="66">
        <f>IF(N('שיבוץ'!$C71)=0,"",TEXT(HOUR('שיבוץ'!$C71),"00")&amp;":"&amp;TEXT(MINUTE('שיבוץ'!$C71),"00"))</f>
        <v/>
      </c>
      <c r="D72" s="66">
        <f>IF('שיבוץ'!$A71="","",'שיבוץ'!$E71&amp;"")</f>
        <v/>
      </c>
      <c r="E72" s="67">
        <f>IF('שיבוץ'!$A71="","",'שיבוץ'!$D71&amp;"")</f>
        <v/>
      </c>
      <c r="F72" s="67">
        <f>IF('שיבוץ'!$A71="","",'שיבוץ'!$F71&amp;"")</f>
        <v/>
      </c>
    </row>
    <row r="73" ht="24" customHeight="1">
      <c r="A73" s="65">
        <f>IF('שיבוץ'!$A72="","",IF('שיבוץ'!$A72='שיבוץ'!$A71,"",'שיבוץ'!$A72))</f>
        <v/>
      </c>
      <c r="B73" s="66">
        <f>IF('שיבוץ'!$A72="","",'שיבוץ'!$B72&amp;"")</f>
        <v/>
      </c>
      <c r="C73" s="66">
        <f>IF(N('שיבוץ'!$C72)=0,"",TEXT(HOUR('שיבוץ'!$C72),"00")&amp;":"&amp;TEXT(MINUTE('שיבוץ'!$C72),"00"))</f>
        <v/>
      </c>
      <c r="D73" s="66">
        <f>IF('שיבוץ'!$A72="","",'שיבוץ'!$E72&amp;"")</f>
        <v/>
      </c>
      <c r="E73" s="67">
        <f>IF('שיבוץ'!$A72="","",'שיבוץ'!$D72&amp;"")</f>
        <v/>
      </c>
      <c r="F73" s="67">
        <f>IF('שיבוץ'!$A72="","",'שיבוץ'!$F72&amp;"")</f>
        <v/>
      </c>
    </row>
    <row r="74" ht="24" customHeight="1">
      <c r="A74" s="65">
        <f>IF('שיבוץ'!$A73="","",IF('שיבוץ'!$A73='שיבוץ'!$A72,"",'שיבוץ'!$A73))</f>
        <v/>
      </c>
      <c r="B74" s="66">
        <f>IF('שיבוץ'!$A73="","",'שיבוץ'!$B73&amp;"")</f>
        <v/>
      </c>
      <c r="C74" s="66">
        <f>IF(N('שיבוץ'!$C73)=0,"",TEXT(HOUR('שיבוץ'!$C73),"00")&amp;":"&amp;TEXT(MINUTE('שיבוץ'!$C73),"00"))</f>
        <v/>
      </c>
      <c r="D74" s="66">
        <f>IF('שיבוץ'!$A73="","",'שיבוץ'!$E73&amp;"")</f>
        <v/>
      </c>
      <c r="E74" s="67">
        <f>IF('שיבוץ'!$A73="","",'שיבוץ'!$D73&amp;"")</f>
        <v/>
      </c>
      <c r="F74" s="67">
        <f>IF('שיבוץ'!$A73="","",'שיבוץ'!$F73&amp;"")</f>
        <v/>
      </c>
    </row>
    <row r="75" ht="24" customHeight="1">
      <c r="A75" s="65">
        <f>IF('שיבוץ'!$A74="","",IF('שיבוץ'!$A74='שיבוץ'!$A73,"",'שיבוץ'!$A74))</f>
        <v/>
      </c>
      <c r="B75" s="66">
        <f>IF('שיבוץ'!$A74="","",'שיבוץ'!$B74&amp;"")</f>
        <v/>
      </c>
      <c r="C75" s="66">
        <f>IF(N('שיבוץ'!$C74)=0,"",TEXT(HOUR('שיבוץ'!$C74),"00")&amp;":"&amp;TEXT(MINUTE('שיבוץ'!$C74),"00"))</f>
        <v/>
      </c>
      <c r="D75" s="66">
        <f>IF('שיבוץ'!$A74="","",'שיבוץ'!$E74&amp;"")</f>
        <v/>
      </c>
      <c r="E75" s="67">
        <f>IF('שיבוץ'!$A74="","",'שיבוץ'!$D74&amp;"")</f>
        <v/>
      </c>
      <c r="F75" s="67">
        <f>IF('שיבוץ'!$A74="","",'שיבוץ'!$F74&amp;"")</f>
        <v/>
      </c>
    </row>
    <row r="76" ht="24" customHeight="1">
      <c r="A76" s="65">
        <f>IF('שיבוץ'!$A75="","",IF('שיבוץ'!$A75='שיבוץ'!$A74,"",'שיבוץ'!$A75))</f>
        <v/>
      </c>
      <c r="B76" s="66">
        <f>IF('שיבוץ'!$A75="","",'שיבוץ'!$B75&amp;"")</f>
        <v/>
      </c>
      <c r="C76" s="66">
        <f>IF(N('שיבוץ'!$C75)=0,"",TEXT(HOUR('שיבוץ'!$C75),"00")&amp;":"&amp;TEXT(MINUTE('שיבוץ'!$C75),"00"))</f>
        <v/>
      </c>
      <c r="D76" s="66">
        <f>IF('שיבוץ'!$A75="","",'שיבוץ'!$E75&amp;"")</f>
        <v/>
      </c>
      <c r="E76" s="67">
        <f>IF('שיבוץ'!$A75="","",'שיבוץ'!$D75&amp;"")</f>
        <v/>
      </c>
      <c r="F76" s="67">
        <f>IF('שיבוץ'!$A75="","",'שיבוץ'!$F75&amp;"")</f>
        <v/>
      </c>
    </row>
    <row r="77" ht="24" customHeight="1">
      <c r="A77" s="65">
        <f>IF('שיבוץ'!$A76="","",IF('שיבוץ'!$A76='שיבוץ'!$A75,"",'שיבוץ'!$A76))</f>
        <v/>
      </c>
      <c r="B77" s="66">
        <f>IF('שיבוץ'!$A76="","",'שיבוץ'!$B76&amp;"")</f>
        <v/>
      </c>
      <c r="C77" s="66">
        <f>IF(N('שיבוץ'!$C76)=0,"",TEXT(HOUR('שיבוץ'!$C76),"00")&amp;":"&amp;TEXT(MINUTE('שיבוץ'!$C76),"00"))</f>
        <v/>
      </c>
      <c r="D77" s="66">
        <f>IF('שיבוץ'!$A76="","",'שיבוץ'!$E76&amp;"")</f>
        <v/>
      </c>
      <c r="E77" s="67">
        <f>IF('שיבוץ'!$A76="","",'שיבוץ'!$D76&amp;"")</f>
        <v/>
      </c>
      <c r="F77" s="67">
        <f>IF('שיבוץ'!$A76="","",'שיבוץ'!$F76&amp;"")</f>
        <v/>
      </c>
    </row>
    <row r="78" ht="24" customHeight="1">
      <c r="A78" s="65">
        <f>IF('שיבוץ'!$A77="","",IF('שיבוץ'!$A77='שיבוץ'!$A76,"",'שיבוץ'!$A77))</f>
        <v/>
      </c>
      <c r="B78" s="66">
        <f>IF('שיבוץ'!$A77="","",'שיבוץ'!$B77&amp;"")</f>
        <v/>
      </c>
      <c r="C78" s="66">
        <f>IF(N('שיבוץ'!$C77)=0,"",TEXT(HOUR('שיבוץ'!$C77),"00")&amp;":"&amp;TEXT(MINUTE('שיבוץ'!$C77),"00"))</f>
        <v/>
      </c>
      <c r="D78" s="66">
        <f>IF('שיבוץ'!$A77="","",'שיבוץ'!$E77&amp;"")</f>
        <v/>
      </c>
      <c r="E78" s="67">
        <f>IF('שיבוץ'!$A77="","",'שיבוץ'!$D77&amp;"")</f>
        <v/>
      </c>
      <c r="F78" s="67">
        <f>IF('שיבוץ'!$A77="","",'שיבוץ'!$F77&amp;"")</f>
        <v/>
      </c>
    </row>
    <row r="79" ht="24" customHeight="1">
      <c r="A79" s="65">
        <f>IF('שיבוץ'!$A78="","",IF('שיבוץ'!$A78='שיבוץ'!$A77,"",'שיבוץ'!$A78))</f>
        <v/>
      </c>
      <c r="B79" s="66">
        <f>IF('שיבוץ'!$A78="","",'שיבוץ'!$B78&amp;"")</f>
        <v/>
      </c>
      <c r="C79" s="66">
        <f>IF(N('שיבוץ'!$C78)=0,"",TEXT(HOUR('שיבוץ'!$C78),"00")&amp;":"&amp;TEXT(MINUTE('שיבוץ'!$C78),"00"))</f>
        <v/>
      </c>
      <c r="D79" s="66">
        <f>IF('שיבוץ'!$A78="","",'שיבוץ'!$E78&amp;"")</f>
        <v/>
      </c>
      <c r="E79" s="67">
        <f>IF('שיבוץ'!$A78="","",'שיבוץ'!$D78&amp;"")</f>
        <v/>
      </c>
      <c r="F79" s="67">
        <f>IF('שיבוץ'!$A78="","",'שיבוץ'!$F78&amp;"")</f>
        <v/>
      </c>
    </row>
    <row r="80" ht="24" customHeight="1">
      <c r="A80" s="65">
        <f>IF('שיבוץ'!$A79="","",IF('שיבוץ'!$A79='שיבוץ'!$A78,"",'שיבוץ'!$A79))</f>
        <v/>
      </c>
      <c r="B80" s="66">
        <f>IF('שיבוץ'!$A79="","",'שיבוץ'!$B79&amp;"")</f>
        <v/>
      </c>
      <c r="C80" s="66">
        <f>IF(N('שיבוץ'!$C79)=0,"",TEXT(HOUR('שיבוץ'!$C79),"00")&amp;":"&amp;TEXT(MINUTE('שיבוץ'!$C79),"00"))</f>
        <v/>
      </c>
      <c r="D80" s="66">
        <f>IF('שיבוץ'!$A79="","",'שיבוץ'!$E79&amp;"")</f>
        <v/>
      </c>
      <c r="E80" s="67">
        <f>IF('שיבוץ'!$A79="","",'שיבוץ'!$D79&amp;"")</f>
        <v/>
      </c>
      <c r="F80" s="67">
        <f>IF('שיבוץ'!$A79="","",'שיבוץ'!$F79&amp;"")</f>
        <v/>
      </c>
    </row>
    <row r="81" ht="24" customHeight="1">
      <c r="A81" s="65">
        <f>IF('שיבוץ'!$A80="","",IF('שיבוץ'!$A80='שיבוץ'!$A79,"",'שיבוץ'!$A80))</f>
        <v/>
      </c>
      <c r="B81" s="66">
        <f>IF('שיבוץ'!$A80="","",'שיבוץ'!$B80&amp;"")</f>
        <v/>
      </c>
      <c r="C81" s="66">
        <f>IF(N('שיבוץ'!$C80)=0,"",TEXT(HOUR('שיבוץ'!$C80),"00")&amp;":"&amp;TEXT(MINUTE('שיבוץ'!$C80),"00"))</f>
        <v/>
      </c>
      <c r="D81" s="66">
        <f>IF('שיבוץ'!$A80="","",'שיבוץ'!$E80&amp;"")</f>
        <v/>
      </c>
      <c r="E81" s="67">
        <f>IF('שיבוץ'!$A80="","",'שיבוץ'!$D80&amp;"")</f>
        <v/>
      </c>
      <c r="F81" s="67">
        <f>IF('שיבוץ'!$A80="","",'שיבוץ'!$F80&amp;"")</f>
        <v/>
      </c>
    </row>
    <row r="82" ht="24" customHeight="1">
      <c r="A82" s="65">
        <f>IF('שיבוץ'!$A81="","",IF('שיבוץ'!$A81='שיבוץ'!$A80,"",'שיבוץ'!$A81))</f>
        <v/>
      </c>
      <c r="B82" s="66">
        <f>IF('שיבוץ'!$A81="","",'שיבוץ'!$B81&amp;"")</f>
        <v/>
      </c>
      <c r="C82" s="66">
        <f>IF(N('שיבוץ'!$C81)=0,"",TEXT(HOUR('שיבוץ'!$C81),"00")&amp;":"&amp;TEXT(MINUTE('שיבוץ'!$C81),"00"))</f>
        <v/>
      </c>
      <c r="D82" s="66">
        <f>IF('שיבוץ'!$A81="","",'שיבוץ'!$E81&amp;"")</f>
        <v/>
      </c>
      <c r="E82" s="67">
        <f>IF('שיבוץ'!$A81="","",'שיבוץ'!$D81&amp;"")</f>
        <v/>
      </c>
      <c r="F82" s="67">
        <f>IF('שיבוץ'!$A81="","",'שיבוץ'!$F81&amp;"")</f>
        <v/>
      </c>
    </row>
    <row r="83" ht="24" customHeight="1">
      <c r="A83" s="65">
        <f>IF('שיבוץ'!$A82="","",IF('שיבוץ'!$A82='שיבוץ'!$A81,"",'שיבוץ'!$A82))</f>
        <v/>
      </c>
      <c r="B83" s="66">
        <f>IF('שיבוץ'!$A82="","",'שיבוץ'!$B82&amp;"")</f>
        <v/>
      </c>
      <c r="C83" s="66">
        <f>IF(N('שיבוץ'!$C82)=0,"",TEXT(HOUR('שיבוץ'!$C82),"00")&amp;":"&amp;TEXT(MINUTE('שיבוץ'!$C82),"00"))</f>
        <v/>
      </c>
      <c r="D83" s="66">
        <f>IF('שיבוץ'!$A82="","",'שיבוץ'!$E82&amp;"")</f>
        <v/>
      </c>
      <c r="E83" s="67">
        <f>IF('שיבוץ'!$A82="","",'שיבוץ'!$D82&amp;"")</f>
        <v/>
      </c>
      <c r="F83" s="67">
        <f>IF('שיבוץ'!$A82="","",'שיבוץ'!$F82&amp;"")</f>
        <v/>
      </c>
    </row>
    <row r="84" ht="24" customHeight="1">
      <c r="A84" s="65">
        <f>IF('שיבוץ'!$A83="","",IF('שיבוץ'!$A83='שיבוץ'!$A82,"",'שיבוץ'!$A83))</f>
        <v/>
      </c>
      <c r="B84" s="66">
        <f>IF('שיבוץ'!$A83="","",'שיבוץ'!$B83&amp;"")</f>
        <v/>
      </c>
      <c r="C84" s="66">
        <f>IF(N('שיבוץ'!$C83)=0,"",TEXT(HOUR('שיבוץ'!$C83),"00")&amp;":"&amp;TEXT(MINUTE('שיבוץ'!$C83),"00"))</f>
        <v/>
      </c>
      <c r="D84" s="66">
        <f>IF('שיבוץ'!$A83="","",'שיבוץ'!$E83&amp;"")</f>
        <v/>
      </c>
      <c r="E84" s="67">
        <f>IF('שיבוץ'!$A83="","",'שיבוץ'!$D83&amp;"")</f>
        <v/>
      </c>
      <c r="F84" s="67">
        <f>IF('שיבוץ'!$A83="","",'שיבוץ'!$F83&amp;"")</f>
        <v/>
      </c>
    </row>
    <row r="85" ht="24" customHeight="1">
      <c r="A85" s="65">
        <f>IF('שיבוץ'!$A84="","",IF('שיבוץ'!$A84='שיבוץ'!$A83,"",'שיבוץ'!$A84))</f>
        <v/>
      </c>
      <c r="B85" s="66">
        <f>IF('שיבוץ'!$A84="","",'שיבוץ'!$B84&amp;"")</f>
        <v/>
      </c>
      <c r="C85" s="66">
        <f>IF(N('שיבוץ'!$C84)=0,"",TEXT(HOUR('שיבוץ'!$C84),"00")&amp;":"&amp;TEXT(MINUTE('שיבוץ'!$C84),"00"))</f>
        <v/>
      </c>
      <c r="D85" s="66">
        <f>IF('שיבוץ'!$A84="","",'שיבוץ'!$E84&amp;"")</f>
        <v/>
      </c>
      <c r="E85" s="67">
        <f>IF('שיבוץ'!$A84="","",'שיבוץ'!$D84&amp;"")</f>
        <v/>
      </c>
      <c r="F85" s="67">
        <f>IF('שיבוץ'!$A84="","",'שיבוץ'!$F84&amp;"")</f>
        <v/>
      </c>
    </row>
    <row r="86" ht="24" customHeight="1">
      <c r="A86" s="65">
        <f>IF('שיבוץ'!$A85="","",IF('שיבוץ'!$A85='שיבוץ'!$A84,"",'שיבוץ'!$A85))</f>
        <v/>
      </c>
      <c r="B86" s="66">
        <f>IF('שיבוץ'!$A85="","",'שיבוץ'!$B85&amp;"")</f>
        <v/>
      </c>
      <c r="C86" s="66">
        <f>IF(N('שיבוץ'!$C85)=0,"",TEXT(HOUR('שיבוץ'!$C85),"00")&amp;":"&amp;TEXT(MINUTE('שיבוץ'!$C85),"00"))</f>
        <v/>
      </c>
      <c r="D86" s="66">
        <f>IF('שיבוץ'!$A85="","",'שיבוץ'!$E85&amp;"")</f>
        <v/>
      </c>
      <c r="E86" s="67">
        <f>IF('שיבוץ'!$A85="","",'שיבוץ'!$D85&amp;"")</f>
        <v/>
      </c>
      <c r="F86" s="67">
        <f>IF('שיבוץ'!$A85="","",'שיבוץ'!$F85&amp;"")</f>
        <v/>
      </c>
    </row>
    <row r="87" ht="24" customHeight="1">
      <c r="A87" s="65">
        <f>IF('שיבוץ'!$A86="","",IF('שיבוץ'!$A86='שיבוץ'!$A85,"",'שיבוץ'!$A86))</f>
        <v/>
      </c>
      <c r="B87" s="66">
        <f>IF('שיבוץ'!$A86="","",'שיבוץ'!$B86&amp;"")</f>
        <v/>
      </c>
      <c r="C87" s="66">
        <f>IF(N('שיבוץ'!$C86)=0,"",TEXT(HOUR('שיבוץ'!$C86),"00")&amp;":"&amp;TEXT(MINUTE('שיבוץ'!$C86),"00"))</f>
        <v/>
      </c>
      <c r="D87" s="66">
        <f>IF('שיבוץ'!$A86="","",'שיבוץ'!$E86&amp;"")</f>
        <v/>
      </c>
      <c r="E87" s="67">
        <f>IF('שיבוץ'!$A86="","",'שיבוץ'!$D86&amp;"")</f>
        <v/>
      </c>
      <c r="F87" s="67">
        <f>IF('שיבוץ'!$A86="","",'שיבוץ'!$F86&amp;"")</f>
        <v/>
      </c>
    </row>
    <row r="88" ht="24" customHeight="1">
      <c r="A88" s="65">
        <f>IF('שיבוץ'!$A87="","",IF('שיבוץ'!$A87='שיבוץ'!$A86,"",'שיבוץ'!$A87))</f>
        <v/>
      </c>
      <c r="B88" s="66">
        <f>IF('שיבוץ'!$A87="","",'שיבוץ'!$B87&amp;"")</f>
        <v/>
      </c>
      <c r="C88" s="66">
        <f>IF(N('שיבוץ'!$C87)=0,"",TEXT(HOUR('שיבוץ'!$C87),"00")&amp;":"&amp;TEXT(MINUTE('שיבוץ'!$C87),"00"))</f>
        <v/>
      </c>
      <c r="D88" s="66">
        <f>IF('שיבוץ'!$A87="","",'שיבוץ'!$E87&amp;"")</f>
        <v/>
      </c>
      <c r="E88" s="67">
        <f>IF('שיבוץ'!$A87="","",'שיבוץ'!$D87&amp;"")</f>
        <v/>
      </c>
      <c r="F88" s="67">
        <f>IF('שיבוץ'!$A87="","",'שיבוץ'!$F87&amp;"")</f>
        <v/>
      </c>
    </row>
    <row r="89" ht="24" customHeight="1">
      <c r="A89" s="65">
        <f>IF('שיבוץ'!$A88="","",IF('שיבוץ'!$A88='שיבוץ'!$A87,"",'שיבוץ'!$A88))</f>
        <v/>
      </c>
      <c r="B89" s="66">
        <f>IF('שיבוץ'!$A88="","",'שיבוץ'!$B88&amp;"")</f>
        <v/>
      </c>
      <c r="C89" s="66">
        <f>IF(N('שיבוץ'!$C88)=0,"",TEXT(HOUR('שיבוץ'!$C88),"00")&amp;":"&amp;TEXT(MINUTE('שיבוץ'!$C88),"00"))</f>
        <v/>
      </c>
      <c r="D89" s="66">
        <f>IF('שיבוץ'!$A88="","",'שיבוץ'!$E88&amp;"")</f>
        <v/>
      </c>
      <c r="E89" s="67">
        <f>IF('שיבוץ'!$A88="","",'שיבוץ'!$D88&amp;"")</f>
        <v/>
      </c>
      <c r="F89" s="67">
        <f>IF('שיבוץ'!$A88="","",'שיבוץ'!$F88&amp;"")</f>
        <v/>
      </c>
    </row>
    <row r="90" ht="24" customHeight="1">
      <c r="A90" s="65">
        <f>IF('שיבוץ'!$A89="","",IF('שיבוץ'!$A89='שיבוץ'!$A88,"",'שיבוץ'!$A89))</f>
        <v/>
      </c>
      <c r="B90" s="66">
        <f>IF('שיבוץ'!$A89="","",'שיבוץ'!$B89&amp;"")</f>
        <v/>
      </c>
      <c r="C90" s="66">
        <f>IF(N('שיבוץ'!$C89)=0,"",TEXT(HOUR('שיבוץ'!$C89),"00")&amp;":"&amp;TEXT(MINUTE('שיבוץ'!$C89),"00"))</f>
        <v/>
      </c>
      <c r="D90" s="66">
        <f>IF('שיבוץ'!$A89="","",'שיבוץ'!$E89&amp;"")</f>
        <v/>
      </c>
      <c r="E90" s="67">
        <f>IF('שיבוץ'!$A89="","",'שיבוץ'!$D89&amp;"")</f>
        <v/>
      </c>
      <c r="F90" s="67">
        <f>IF('שיבוץ'!$A89="","",'שיבוץ'!$F89&amp;"")</f>
        <v/>
      </c>
    </row>
    <row r="91" ht="24" customHeight="1">
      <c r="A91" s="65">
        <f>IF('שיבוץ'!$A90="","",IF('שיבוץ'!$A90='שיבוץ'!$A89,"",'שיבוץ'!$A90))</f>
        <v/>
      </c>
      <c r="B91" s="66">
        <f>IF('שיבוץ'!$A90="","",'שיבוץ'!$B90&amp;"")</f>
        <v/>
      </c>
      <c r="C91" s="66">
        <f>IF(N('שיבוץ'!$C90)=0,"",TEXT(HOUR('שיבוץ'!$C90),"00")&amp;":"&amp;TEXT(MINUTE('שיבוץ'!$C90),"00"))</f>
        <v/>
      </c>
      <c r="D91" s="66">
        <f>IF('שיבוץ'!$A90="","",'שיבוץ'!$E90&amp;"")</f>
        <v/>
      </c>
      <c r="E91" s="67">
        <f>IF('שיבוץ'!$A90="","",'שיבוץ'!$D90&amp;"")</f>
        <v/>
      </c>
      <c r="F91" s="67">
        <f>IF('שיבוץ'!$A90="","",'שיבוץ'!$F90&amp;"")</f>
        <v/>
      </c>
    </row>
    <row r="92" ht="24" customHeight="1">
      <c r="A92" s="65">
        <f>IF('שיבוץ'!$A91="","",IF('שיבוץ'!$A91='שיבוץ'!$A90,"",'שיבוץ'!$A91))</f>
        <v/>
      </c>
      <c r="B92" s="66">
        <f>IF('שיבוץ'!$A91="","",'שיבוץ'!$B91&amp;"")</f>
        <v/>
      </c>
      <c r="C92" s="66">
        <f>IF(N('שיבוץ'!$C91)=0,"",TEXT(HOUR('שיבוץ'!$C91),"00")&amp;":"&amp;TEXT(MINUTE('שיבוץ'!$C91),"00"))</f>
        <v/>
      </c>
      <c r="D92" s="66">
        <f>IF('שיבוץ'!$A91="","",'שיבוץ'!$E91&amp;"")</f>
        <v/>
      </c>
      <c r="E92" s="67">
        <f>IF('שיבוץ'!$A91="","",'שיבוץ'!$D91&amp;"")</f>
        <v/>
      </c>
      <c r="F92" s="67">
        <f>IF('שיבוץ'!$A91="","",'שיבוץ'!$F91&amp;"")</f>
        <v/>
      </c>
    </row>
    <row r="93" ht="24" customHeight="1">
      <c r="A93" s="65">
        <f>IF('שיבוץ'!$A92="","",IF('שיבוץ'!$A92='שיבוץ'!$A91,"",'שיבוץ'!$A92))</f>
        <v/>
      </c>
      <c r="B93" s="66">
        <f>IF('שיבוץ'!$A92="","",'שיבוץ'!$B92&amp;"")</f>
        <v/>
      </c>
      <c r="C93" s="66">
        <f>IF(N('שיבוץ'!$C92)=0,"",TEXT(HOUR('שיבוץ'!$C92),"00")&amp;":"&amp;TEXT(MINUTE('שיבוץ'!$C92),"00"))</f>
        <v/>
      </c>
      <c r="D93" s="66">
        <f>IF('שיבוץ'!$A92="","",'שיבוץ'!$E92&amp;"")</f>
        <v/>
      </c>
      <c r="E93" s="67">
        <f>IF('שיבוץ'!$A92="","",'שיבוץ'!$D92&amp;"")</f>
        <v/>
      </c>
      <c r="F93" s="67">
        <f>IF('שיבוץ'!$A92="","",'שיבוץ'!$F92&amp;"")</f>
        <v/>
      </c>
    </row>
    <row r="94" ht="24" customHeight="1">
      <c r="A94" s="65">
        <f>IF('שיבוץ'!$A93="","",IF('שיבוץ'!$A93='שיבוץ'!$A92,"",'שיבוץ'!$A93))</f>
        <v/>
      </c>
      <c r="B94" s="66">
        <f>IF('שיבוץ'!$A93="","",'שיבוץ'!$B93&amp;"")</f>
        <v/>
      </c>
      <c r="C94" s="66">
        <f>IF(N('שיבוץ'!$C93)=0,"",TEXT(HOUR('שיבוץ'!$C93),"00")&amp;":"&amp;TEXT(MINUTE('שיבוץ'!$C93),"00"))</f>
        <v/>
      </c>
      <c r="D94" s="66">
        <f>IF('שיבוץ'!$A93="","",'שיבוץ'!$E93&amp;"")</f>
        <v/>
      </c>
      <c r="E94" s="67">
        <f>IF('שיבוץ'!$A93="","",'שיבוץ'!$D93&amp;"")</f>
        <v/>
      </c>
      <c r="F94" s="67">
        <f>IF('שיבוץ'!$A93="","",'שיבוץ'!$F93&amp;"")</f>
        <v/>
      </c>
    </row>
    <row r="95" ht="24" customHeight="1">
      <c r="A95" s="65">
        <f>IF('שיבוץ'!$A94="","",IF('שיבוץ'!$A94='שיבוץ'!$A93,"",'שיבוץ'!$A94))</f>
        <v/>
      </c>
      <c r="B95" s="66">
        <f>IF('שיבוץ'!$A94="","",'שיבוץ'!$B94&amp;"")</f>
        <v/>
      </c>
      <c r="C95" s="66">
        <f>IF(N('שיבוץ'!$C94)=0,"",TEXT(HOUR('שיבוץ'!$C94),"00")&amp;":"&amp;TEXT(MINUTE('שיבוץ'!$C94),"00"))</f>
        <v/>
      </c>
      <c r="D95" s="66">
        <f>IF('שיבוץ'!$A94="","",'שיבוץ'!$E94&amp;"")</f>
        <v/>
      </c>
      <c r="E95" s="67">
        <f>IF('שיבוץ'!$A94="","",'שיבוץ'!$D94&amp;"")</f>
        <v/>
      </c>
      <c r="F95" s="67">
        <f>IF('שיבוץ'!$A94="","",'שיבוץ'!$F94&amp;"")</f>
        <v/>
      </c>
    </row>
    <row r="96" ht="24" customHeight="1">
      <c r="A96" s="65">
        <f>IF('שיבוץ'!$A95="","",IF('שיבוץ'!$A95='שיבוץ'!$A94,"",'שיבוץ'!$A95))</f>
        <v/>
      </c>
      <c r="B96" s="66">
        <f>IF('שיבוץ'!$A95="","",'שיבוץ'!$B95&amp;"")</f>
        <v/>
      </c>
      <c r="C96" s="66">
        <f>IF(N('שיבוץ'!$C95)=0,"",TEXT(HOUR('שיבוץ'!$C95),"00")&amp;":"&amp;TEXT(MINUTE('שיבוץ'!$C95),"00"))</f>
        <v/>
      </c>
      <c r="D96" s="66">
        <f>IF('שיבוץ'!$A95="","",'שיבוץ'!$E95&amp;"")</f>
        <v/>
      </c>
      <c r="E96" s="67">
        <f>IF('שיבוץ'!$A95="","",'שיבוץ'!$D95&amp;"")</f>
        <v/>
      </c>
      <c r="F96" s="67">
        <f>IF('שיבוץ'!$A95="","",'שיבוץ'!$F95&amp;"")</f>
        <v/>
      </c>
    </row>
    <row r="97" ht="24" customHeight="1">
      <c r="A97" s="65">
        <f>IF('שיבוץ'!$A96="","",IF('שיבוץ'!$A96='שיבוץ'!$A95,"",'שיבוץ'!$A96))</f>
        <v/>
      </c>
      <c r="B97" s="66">
        <f>IF('שיבוץ'!$A96="","",'שיבוץ'!$B96&amp;"")</f>
        <v/>
      </c>
      <c r="C97" s="66">
        <f>IF(N('שיבוץ'!$C96)=0,"",TEXT(HOUR('שיבוץ'!$C96),"00")&amp;":"&amp;TEXT(MINUTE('שיבוץ'!$C96),"00"))</f>
        <v/>
      </c>
      <c r="D97" s="66">
        <f>IF('שיבוץ'!$A96="","",'שיבוץ'!$E96&amp;"")</f>
        <v/>
      </c>
      <c r="E97" s="67">
        <f>IF('שיבוץ'!$A96="","",'שיבוץ'!$D96&amp;"")</f>
        <v/>
      </c>
      <c r="F97" s="67">
        <f>IF('שיבוץ'!$A96="","",'שיבוץ'!$F96&amp;"")</f>
        <v/>
      </c>
    </row>
    <row r="98" ht="24" customHeight="1">
      <c r="A98" s="65">
        <f>IF('שיבוץ'!$A97="","",IF('שיבוץ'!$A97='שיבוץ'!$A96,"",'שיבוץ'!$A97))</f>
        <v/>
      </c>
      <c r="B98" s="66">
        <f>IF('שיבוץ'!$A97="","",'שיבוץ'!$B97&amp;"")</f>
        <v/>
      </c>
      <c r="C98" s="66">
        <f>IF(N('שיבוץ'!$C97)=0,"",TEXT(HOUR('שיבוץ'!$C97),"00")&amp;":"&amp;TEXT(MINUTE('שיבוץ'!$C97),"00"))</f>
        <v/>
      </c>
      <c r="D98" s="66">
        <f>IF('שיבוץ'!$A97="","",'שיבוץ'!$E97&amp;"")</f>
        <v/>
      </c>
      <c r="E98" s="67">
        <f>IF('שיבוץ'!$A97="","",'שיבוץ'!$D97&amp;"")</f>
        <v/>
      </c>
      <c r="F98" s="67">
        <f>IF('שיבוץ'!$A97="","",'שיבוץ'!$F97&amp;"")</f>
        <v/>
      </c>
    </row>
    <row r="99" ht="24" customHeight="1">
      <c r="A99" s="65">
        <f>IF('שיבוץ'!$A98="","",IF('שיבוץ'!$A98='שיבוץ'!$A97,"",'שיבוץ'!$A98))</f>
        <v/>
      </c>
      <c r="B99" s="66">
        <f>IF('שיבוץ'!$A98="","",'שיבוץ'!$B98&amp;"")</f>
        <v/>
      </c>
      <c r="C99" s="66">
        <f>IF(N('שיבוץ'!$C98)=0,"",TEXT(HOUR('שיבוץ'!$C98),"00")&amp;":"&amp;TEXT(MINUTE('שיבוץ'!$C98),"00"))</f>
        <v/>
      </c>
      <c r="D99" s="66">
        <f>IF('שיבוץ'!$A98="","",'שיבוץ'!$E98&amp;"")</f>
        <v/>
      </c>
      <c r="E99" s="67">
        <f>IF('שיבוץ'!$A98="","",'שיבוץ'!$D98&amp;"")</f>
        <v/>
      </c>
      <c r="F99" s="67">
        <f>IF('שיבוץ'!$A98="","",'שיבוץ'!$F98&amp;"")</f>
        <v/>
      </c>
    </row>
    <row r="100" ht="24" customHeight="1">
      <c r="A100" s="65">
        <f>IF('שיבוץ'!$A99="","",IF('שיבוץ'!$A99='שיבוץ'!$A98,"",'שיבוץ'!$A99))</f>
        <v/>
      </c>
      <c r="B100" s="66">
        <f>IF('שיבוץ'!$A99="","",'שיבוץ'!$B99&amp;"")</f>
        <v/>
      </c>
      <c r="C100" s="66">
        <f>IF(N('שיבוץ'!$C99)=0,"",TEXT(HOUR('שיבוץ'!$C99),"00")&amp;":"&amp;TEXT(MINUTE('שיבוץ'!$C99),"00"))</f>
        <v/>
      </c>
      <c r="D100" s="66">
        <f>IF('שיבוץ'!$A99="","",'שיבוץ'!$E99&amp;"")</f>
        <v/>
      </c>
      <c r="E100" s="67">
        <f>IF('שיבוץ'!$A99="","",'שיבוץ'!$D99&amp;"")</f>
        <v/>
      </c>
      <c r="F100" s="67">
        <f>IF('שיבוץ'!$A99="","",'שיבוץ'!$F99&amp;"")</f>
        <v/>
      </c>
    </row>
    <row r="101" ht="24" customHeight="1">
      <c r="A101" s="65">
        <f>IF('שיבוץ'!$A100="","",IF('שיבוץ'!$A100='שיבוץ'!$A99,"",'שיבוץ'!$A100))</f>
        <v/>
      </c>
      <c r="B101" s="66">
        <f>IF('שיבוץ'!$A100="","",'שיבוץ'!$B100&amp;"")</f>
        <v/>
      </c>
      <c r="C101" s="66">
        <f>IF(N('שיבוץ'!$C100)=0,"",TEXT(HOUR('שיבוץ'!$C100),"00")&amp;":"&amp;TEXT(MINUTE('שיבוץ'!$C100),"00"))</f>
        <v/>
      </c>
      <c r="D101" s="66">
        <f>IF('שיבוץ'!$A100="","",'שיבוץ'!$E100&amp;"")</f>
        <v/>
      </c>
      <c r="E101" s="67">
        <f>IF('שיבוץ'!$A100="","",'שיבוץ'!$D100&amp;"")</f>
        <v/>
      </c>
      <c r="F101" s="67">
        <f>IF('שיבוץ'!$A100="","",'שיבוץ'!$F100&amp;"")</f>
        <v/>
      </c>
    </row>
    <row r="102" ht="24" customHeight="1">
      <c r="A102" s="65">
        <f>IF('שיבוץ'!$A101="","",IF('שיבוץ'!$A101='שיבוץ'!$A100,"",'שיבוץ'!$A101))</f>
        <v/>
      </c>
      <c r="B102" s="66">
        <f>IF('שיבוץ'!$A101="","",'שיבוץ'!$B101&amp;"")</f>
        <v/>
      </c>
      <c r="C102" s="66">
        <f>IF(N('שיבוץ'!$C101)=0,"",TEXT(HOUR('שיבוץ'!$C101),"00")&amp;":"&amp;TEXT(MINUTE('שיבוץ'!$C101),"00"))</f>
        <v/>
      </c>
      <c r="D102" s="66">
        <f>IF('שיבוץ'!$A101="","",'שיבוץ'!$E101&amp;"")</f>
        <v/>
      </c>
      <c r="E102" s="67">
        <f>IF('שיבוץ'!$A101="","",'שיבוץ'!$D101&amp;"")</f>
        <v/>
      </c>
      <c r="F102" s="67">
        <f>IF('שיבוץ'!$A101="","",'שיבוץ'!$F101&amp;"")</f>
        <v/>
      </c>
    </row>
    <row r="103" ht="24" customHeight="1">
      <c r="A103" s="65">
        <f>IF('שיבוץ'!$A102="","",IF('שיבוץ'!$A102='שיבוץ'!$A101,"",'שיבוץ'!$A102))</f>
        <v/>
      </c>
      <c r="B103" s="66">
        <f>IF('שיבוץ'!$A102="","",'שיבוץ'!$B102&amp;"")</f>
        <v/>
      </c>
      <c r="C103" s="66">
        <f>IF(N('שיבוץ'!$C102)=0,"",TEXT(HOUR('שיבוץ'!$C102),"00")&amp;":"&amp;TEXT(MINUTE('שיבוץ'!$C102),"00"))</f>
        <v/>
      </c>
      <c r="D103" s="66">
        <f>IF('שיבוץ'!$A102="","",'שיבוץ'!$E102&amp;"")</f>
        <v/>
      </c>
      <c r="E103" s="67">
        <f>IF('שיבוץ'!$A102="","",'שיבוץ'!$D102&amp;"")</f>
        <v/>
      </c>
      <c r="F103" s="67">
        <f>IF('שיבוץ'!$A102="","",'שיבוץ'!$F102&amp;"")</f>
        <v/>
      </c>
    </row>
    <row r="104" ht="24" customHeight="1">
      <c r="A104" s="65">
        <f>IF('שיבוץ'!$A103="","",IF('שיבוץ'!$A103='שיבוץ'!$A102,"",'שיבוץ'!$A103))</f>
        <v/>
      </c>
      <c r="B104" s="66">
        <f>IF('שיבוץ'!$A103="","",'שיבוץ'!$B103&amp;"")</f>
        <v/>
      </c>
      <c r="C104" s="66">
        <f>IF(N('שיבוץ'!$C103)=0,"",TEXT(HOUR('שיבוץ'!$C103),"00")&amp;":"&amp;TEXT(MINUTE('שיבוץ'!$C103),"00"))</f>
        <v/>
      </c>
      <c r="D104" s="66">
        <f>IF('שיבוץ'!$A103="","",'שיבוץ'!$E103&amp;"")</f>
        <v/>
      </c>
      <c r="E104" s="67">
        <f>IF('שיבוץ'!$A103="","",'שיבוץ'!$D103&amp;"")</f>
        <v/>
      </c>
      <c r="F104" s="67">
        <f>IF('שיבוץ'!$A103="","",'שיבוץ'!$F103&amp;"")</f>
        <v/>
      </c>
    </row>
    <row r="105" ht="24" customHeight="1">
      <c r="A105" s="65">
        <f>IF('שיבוץ'!$A104="","",IF('שיבוץ'!$A104='שיבוץ'!$A103,"",'שיבוץ'!$A104))</f>
        <v/>
      </c>
      <c r="B105" s="66">
        <f>IF('שיבוץ'!$A104="","",'שיבוץ'!$B104&amp;"")</f>
        <v/>
      </c>
      <c r="C105" s="66">
        <f>IF(N('שיבוץ'!$C104)=0,"",TEXT(HOUR('שיבוץ'!$C104),"00")&amp;":"&amp;TEXT(MINUTE('שיבוץ'!$C104),"00"))</f>
        <v/>
      </c>
      <c r="D105" s="66">
        <f>IF('שיבוץ'!$A104="","",'שיבוץ'!$E104&amp;"")</f>
        <v/>
      </c>
      <c r="E105" s="67">
        <f>IF('שיבוץ'!$A104="","",'שיבוץ'!$D104&amp;"")</f>
        <v/>
      </c>
      <c r="F105" s="67">
        <f>IF('שיבוץ'!$A104="","",'שיבוץ'!$F104&amp;"")</f>
        <v/>
      </c>
    </row>
    <row r="106" ht="24" customHeight="1">
      <c r="A106" s="65">
        <f>IF('שיבוץ'!$A105="","",IF('שיבוץ'!$A105='שיבוץ'!$A104,"",'שיבוץ'!$A105))</f>
        <v/>
      </c>
      <c r="B106" s="66">
        <f>IF('שיבוץ'!$A105="","",'שיבוץ'!$B105&amp;"")</f>
        <v/>
      </c>
      <c r="C106" s="66">
        <f>IF(N('שיבוץ'!$C105)=0,"",TEXT(HOUR('שיבוץ'!$C105),"00")&amp;":"&amp;TEXT(MINUTE('שיבוץ'!$C105),"00"))</f>
        <v/>
      </c>
      <c r="D106" s="66">
        <f>IF('שיבוץ'!$A105="","",'שיבוץ'!$E105&amp;"")</f>
        <v/>
      </c>
      <c r="E106" s="67">
        <f>IF('שיבוץ'!$A105="","",'שיבוץ'!$D105&amp;"")</f>
        <v/>
      </c>
      <c r="F106" s="67">
        <f>IF('שיבוץ'!$A105="","",'שיבוץ'!$F105&amp;"")</f>
        <v/>
      </c>
    </row>
    <row r="107" ht="24" customHeight="1">
      <c r="A107" s="65">
        <f>IF('שיבוץ'!$A106="","",IF('שיבוץ'!$A106='שיבוץ'!$A105,"",'שיבוץ'!$A106))</f>
        <v/>
      </c>
      <c r="B107" s="66">
        <f>IF('שיבוץ'!$A106="","",'שיבוץ'!$B106&amp;"")</f>
        <v/>
      </c>
      <c r="C107" s="66">
        <f>IF(N('שיבוץ'!$C106)=0,"",TEXT(HOUR('שיבוץ'!$C106),"00")&amp;":"&amp;TEXT(MINUTE('שיבוץ'!$C106),"00"))</f>
        <v/>
      </c>
      <c r="D107" s="66">
        <f>IF('שיבוץ'!$A106="","",'שיבוץ'!$E106&amp;"")</f>
        <v/>
      </c>
      <c r="E107" s="67">
        <f>IF('שיבוץ'!$A106="","",'שיבוץ'!$D106&amp;"")</f>
        <v/>
      </c>
      <c r="F107" s="67">
        <f>IF('שיבוץ'!$A106="","",'שיבוץ'!$F106&amp;"")</f>
        <v/>
      </c>
    </row>
    <row r="108" ht="24" customHeight="1">
      <c r="A108" s="65">
        <f>IF('שיבוץ'!$A107="","",IF('שיבוץ'!$A107='שיבוץ'!$A106,"",'שיבוץ'!$A107))</f>
        <v/>
      </c>
      <c r="B108" s="66">
        <f>IF('שיבוץ'!$A107="","",'שיבוץ'!$B107&amp;"")</f>
        <v/>
      </c>
      <c r="C108" s="66">
        <f>IF(N('שיבוץ'!$C107)=0,"",TEXT(HOUR('שיבוץ'!$C107),"00")&amp;":"&amp;TEXT(MINUTE('שיבוץ'!$C107),"00"))</f>
        <v/>
      </c>
      <c r="D108" s="66">
        <f>IF('שיבוץ'!$A107="","",'שיבוץ'!$E107&amp;"")</f>
        <v/>
      </c>
      <c r="E108" s="67">
        <f>IF('שיבוץ'!$A107="","",'שיבוץ'!$D107&amp;"")</f>
        <v/>
      </c>
      <c r="F108" s="67">
        <f>IF('שיבוץ'!$A107="","",'שיבוץ'!$F107&amp;"")</f>
        <v/>
      </c>
    </row>
    <row r="109" ht="24" customHeight="1">
      <c r="A109" s="65">
        <f>IF('שיבוץ'!$A108="","",IF('שיבוץ'!$A108='שיבוץ'!$A107,"",'שיבוץ'!$A108))</f>
        <v/>
      </c>
      <c r="B109" s="66">
        <f>IF('שיבוץ'!$A108="","",'שיבוץ'!$B108&amp;"")</f>
        <v/>
      </c>
      <c r="C109" s="66">
        <f>IF(N('שיבוץ'!$C108)=0,"",TEXT(HOUR('שיבוץ'!$C108),"00")&amp;":"&amp;TEXT(MINUTE('שיבוץ'!$C108),"00"))</f>
        <v/>
      </c>
      <c r="D109" s="66">
        <f>IF('שיבוץ'!$A108="","",'שיבוץ'!$E108&amp;"")</f>
        <v/>
      </c>
      <c r="E109" s="67">
        <f>IF('שיבוץ'!$A108="","",'שיבוץ'!$D108&amp;"")</f>
        <v/>
      </c>
      <c r="F109" s="67">
        <f>IF('שיבוץ'!$A108="","",'שיבוץ'!$F108&amp;"")</f>
        <v/>
      </c>
    </row>
    <row r="110" ht="24" customHeight="1">
      <c r="A110" s="65">
        <f>IF('שיבוץ'!$A109="","",IF('שיבוץ'!$A109='שיבוץ'!$A108,"",'שיבוץ'!$A109))</f>
        <v/>
      </c>
      <c r="B110" s="66">
        <f>IF('שיבוץ'!$A109="","",'שיבוץ'!$B109&amp;"")</f>
        <v/>
      </c>
      <c r="C110" s="66">
        <f>IF(N('שיבוץ'!$C109)=0,"",TEXT(HOUR('שיבוץ'!$C109),"00")&amp;":"&amp;TEXT(MINUTE('שיבוץ'!$C109),"00"))</f>
        <v/>
      </c>
      <c r="D110" s="66">
        <f>IF('שיבוץ'!$A109="","",'שיבוץ'!$E109&amp;"")</f>
        <v/>
      </c>
      <c r="E110" s="67">
        <f>IF('שיבוץ'!$A109="","",'שיבוץ'!$D109&amp;"")</f>
        <v/>
      </c>
      <c r="F110" s="67">
        <f>IF('שיבוץ'!$A109="","",'שיבוץ'!$F109&amp;"")</f>
        <v/>
      </c>
    </row>
    <row r="111" ht="24" customHeight="1">
      <c r="A111" s="65">
        <f>IF('שיבוץ'!$A110="","",IF('שיבוץ'!$A110='שיבוץ'!$A109,"",'שיבוץ'!$A110))</f>
        <v/>
      </c>
      <c r="B111" s="66">
        <f>IF('שיבוץ'!$A110="","",'שיבוץ'!$B110&amp;"")</f>
        <v/>
      </c>
      <c r="C111" s="66">
        <f>IF(N('שיבוץ'!$C110)=0,"",TEXT(HOUR('שיבוץ'!$C110),"00")&amp;":"&amp;TEXT(MINUTE('שיבוץ'!$C110),"00"))</f>
        <v/>
      </c>
      <c r="D111" s="66">
        <f>IF('שיבוץ'!$A110="","",'שיבוץ'!$E110&amp;"")</f>
        <v/>
      </c>
      <c r="E111" s="67">
        <f>IF('שיבוץ'!$A110="","",'שיבוץ'!$D110&amp;"")</f>
        <v/>
      </c>
      <c r="F111" s="67">
        <f>IF('שיבוץ'!$A110="","",'שיבוץ'!$F110&amp;"")</f>
        <v/>
      </c>
    </row>
    <row r="112" ht="24" customHeight="1">
      <c r="A112" s="65">
        <f>IF('שיבוץ'!$A111="","",IF('שיבוץ'!$A111='שיבוץ'!$A110,"",'שיבוץ'!$A111))</f>
        <v/>
      </c>
      <c r="B112" s="66">
        <f>IF('שיבוץ'!$A111="","",'שיבוץ'!$B111&amp;"")</f>
        <v/>
      </c>
      <c r="C112" s="66">
        <f>IF(N('שיבוץ'!$C111)=0,"",TEXT(HOUR('שיבוץ'!$C111),"00")&amp;":"&amp;TEXT(MINUTE('שיבוץ'!$C111),"00"))</f>
        <v/>
      </c>
      <c r="D112" s="66">
        <f>IF('שיבוץ'!$A111="","",'שיבוץ'!$E111&amp;"")</f>
        <v/>
      </c>
      <c r="E112" s="67">
        <f>IF('שיבוץ'!$A111="","",'שיבוץ'!$D111&amp;"")</f>
        <v/>
      </c>
      <c r="F112" s="67">
        <f>IF('שיבוץ'!$A111="","",'שיבוץ'!$F111&amp;"")</f>
        <v/>
      </c>
    </row>
    <row r="113" ht="24" customHeight="1">
      <c r="A113" s="65">
        <f>IF('שיבוץ'!$A112="","",IF('שיבוץ'!$A112='שיבוץ'!$A111,"",'שיבוץ'!$A112))</f>
        <v/>
      </c>
      <c r="B113" s="66">
        <f>IF('שיבוץ'!$A112="","",'שיבוץ'!$B112&amp;"")</f>
        <v/>
      </c>
      <c r="C113" s="66">
        <f>IF(N('שיבוץ'!$C112)=0,"",TEXT(HOUR('שיבוץ'!$C112),"00")&amp;":"&amp;TEXT(MINUTE('שיבוץ'!$C112),"00"))</f>
        <v/>
      </c>
      <c r="D113" s="66">
        <f>IF('שיבוץ'!$A112="","",'שיבוץ'!$E112&amp;"")</f>
        <v/>
      </c>
      <c r="E113" s="67">
        <f>IF('שיבוץ'!$A112="","",'שיבוץ'!$D112&amp;"")</f>
        <v/>
      </c>
      <c r="F113" s="67">
        <f>IF('שיבוץ'!$A112="","",'שיבוץ'!$F112&amp;"")</f>
        <v/>
      </c>
    </row>
    <row r="114" ht="24" customHeight="1">
      <c r="A114" s="65">
        <f>IF('שיבוץ'!$A113="","",IF('שיבוץ'!$A113='שיבוץ'!$A112,"",'שיבוץ'!$A113))</f>
        <v/>
      </c>
      <c r="B114" s="66">
        <f>IF('שיבוץ'!$A113="","",'שיבוץ'!$B113&amp;"")</f>
        <v/>
      </c>
      <c r="C114" s="66">
        <f>IF(N('שיבוץ'!$C113)=0,"",TEXT(HOUR('שיבוץ'!$C113),"00")&amp;":"&amp;TEXT(MINUTE('שיבוץ'!$C113),"00"))</f>
        <v/>
      </c>
      <c r="D114" s="66">
        <f>IF('שיבוץ'!$A113="","",'שיבוץ'!$E113&amp;"")</f>
        <v/>
      </c>
      <c r="E114" s="67">
        <f>IF('שיבוץ'!$A113="","",'שיבוץ'!$D113&amp;"")</f>
        <v/>
      </c>
      <c r="F114" s="67">
        <f>IF('שיבוץ'!$A113="","",'שיבוץ'!$F113&amp;"")</f>
        <v/>
      </c>
    </row>
    <row r="115" ht="24" customHeight="1">
      <c r="A115" s="65">
        <f>IF('שיבוץ'!$A114="","",IF('שיבוץ'!$A114='שיבוץ'!$A113,"",'שיבוץ'!$A114))</f>
        <v/>
      </c>
      <c r="B115" s="66">
        <f>IF('שיבוץ'!$A114="","",'שיבוץ'!$B114&amp;"")</f>
        <v/>
      </c>
      <c r="C115" s="66">
        <f>IF(N('שיבוץ'!$C114)=0,"",TEXT(HOUR('שיבוץ'!$C114),"00")&amp;":"&amp;TEXT(MINUTE('שיבוץ'!$C114),"00"))</f>
        <v/>
      </c>
      <c r="D115" s="66">
        <f>IF('שיבוץ'!$A114="","",'שיבוץ'!$E114&amp;"")</f>
        <v/>
      </c>
      <c r="E115" s="67">
        <f>IF('שיבוץ'!$A114="","",'שיבוץ'!$D114&amp;"")</f>
        <v/>
      </c>
      <c r="F115" s="67">
        <f>IF('שיבוץ'!$A114="","",'שיבוץ'!$F114&amp;"")</f>
        <v/>
      </c>
    </row>
    <row r="116" ht="24" customHeight="1">
      <c r="A116" s="65">
        <f>IF('שיבוץ'!$A115="","",IF('שיבוץ'!$A115='שיבוץ'!$A114,"",'שיבוץ'!$A115))</f>
        <v/>
      </c>
      <c r="B116" s="66">
        <f>IF('שיבוץ'!$A115="","",'שיבוץ'!$B115&amp;"")</f>
        <v/>
      </c>
      <c r="C116" s="66">
        <f>IF(N('שיבוץ'!$C115)=0,"",TEXT(HOUR('שיבוץ'!$C115),"00")&amp;":"&amp;TEXT(MINUTE('שיבוץ'!$C115),"00"))</f>
        <v/>
      </c>
      <c r="D116" s="66">
        <f>IF('שיבוץ'!$A115="","",'שיבוץ'!$E115&amp;"")</f>
        <v/>
      </c>
      <c r="E116" s="67">
        <f>IF('שיבוץ'!$A115="","",'שיבוץ'!$D115&amp;"")</f>
        <v/>
      </c>
      <c r="F116" s="67">
        <f>IF('שיבוץ'!$A115="","",'שיבוץ'!$F115&amp;"")</f>
        <v/>
      </c>
    </row>
    <row r="117" ht="24" customHeight="1">
      <c r="A117" s="65">
        <f>IF('שיבוץ'!$A116="","",IF('שיבוץ'!$A116='שיבוץ'!$A115,"",'שיבוץ'!$A116))</f>
        <v/>
      </c>
      <c r="B117" s="66">
        <f>IF('שיבוץ'!$A116="","",'שיבוץ'!$B116&amp;"")</f>
        <v/>
      </c>
      <c r="C117" s="66">
        <f>IF(N('שיבוץ'!$C116)=0,"",TEXT(HOUR('שיבוץ'!$C116),"00")&amp;":"&amp;TEXT(MINUTE('שיבוץ'!$C116),"00"))</f>
        <v/>
      </c>
      <c r="D117" s="66">
        <f>IF('שיבוץ'!$A116="","",'שיבוץ'!$E116&amp;"")</f>
        <v/>
      </c>
      <c r="E117" s="67">
        <f>IF('שיבוץ'!$A116="","",'שיבוץ'!$D116&amp;"")</f>
        <v/>
      </c>
      <c r="F117" s="67">
        <f>IF('שיבוץ'!$A116="","",'שיבוץ'!$F116&amp;"")</f>
        <v/>
      </c>
    </row>
    <row r="118" ht="24" customHeight="1">
      <c r="A118" s="65">
        <f>IF('שיבוץ'!$A117="","",IF('שיבוץ'!$A117='שיבוץ'!$A116,"",'שיבוץ'!$A117))</f>
        <v/>
      </c>
      <c r="B118" s="66">
        <f>IF('שיבוץ'!$A117="","",'שיבוץ'!$B117&amp;"")</f>
        <v/>
      </c>
      <c r="C118" s="66">
        <f>IF(N('שיבוץ'!$C117)=0,"",TEXT(HOUR('שיבוץ'!$C117),"00")&amp;":"&amp;TEXT(MINUTE('שיבוץ'!$C117),"00"))</f>
        <v/>
      </c>
      <c r="D118" s="66">
        <f>IF('שיבוץ'!$A117="","",'שיבוץ'!$E117&amp;"")</f>
        <v/>
      </c>
      <c r="E118" s="67">
        <f>IF('שיבוץ'!$A117="","",'שיבוץ'!$D117&amp;"")</f>
        <v/>
      </c>
      <c r="F118" s="67">
        <f>IF('שיבוץ'!$A117="","",'שיבוץ'!$F117&amp;"")</f>
        <v/>
      </c>
    </row>
    <row r="119" ht="24" customHeight="1">
      <c r="A119" s="65">
        <f>IF('שיבוץ'!$A118="","",IF('שיבוץ'!$A118='שיבוץ'!$A117,"",'שיבוץ'!$A118))</f>
        <v/>
      </c>
      <c r="B119" s="66">
        <f>IF('שיבוץ'!$A118="","",'שיבוץ'!$B118&amp;"")</f>
        <v/>
      </c>
      <c r="C119" s="66">
        <f>IF(N('שיבוץ'!$C118)=0,"",TEXT(HOUR('שיבוץ'!$C118),"00")&amp;":"&amp;TEXT(MINUTE('שיבוץ'!$C118),"00"))</f>
        <v/>
      </c>
      <c r="D119" s="66">
        <f>IF('שיבוץ'!$A118="","",'שיבוץ'!$E118&amp;"")</f>
        <v/>
      </c>
      <c r="E119" s="67">
        <f>IF('שיבוץ'!$A118="","",'שיבוץ'!$D118&amp;"")</f>
        <v/>
      </c>
      <c r="F119" s="67">
        <f>IF('שיבוץ'!$A118="","",'שיבוץ'!$F118&amp;"")</f>
        <v/>
      </c>
    </row>
    <row r="120" ht="24" customHeight="1">
      <c r="A120" s="65">
        <f>IF('שיבוץ'!$A119="","",IF('שיבוץ'!$A119='שיבוץ'!$A118,"",'שיבוץ'!$A119))</f>
        <v/>
      </c>
      <c r="B120" s="66">
        <f>IF('שיבוץ'!$A119="","",'שיבוץ'!$B119&amp;"")</f>
        <v/>
      </c>
      <c r="C120" s="66">
        <f>IF(N('שיבוץ'!$C119)=0,"",TEXT(HOUR('שיבוץ'!$C119),"00")&amp;":"&amp;TEXT(MINUTE('שיבוץ'!$C119),"00"))</f>
        <v/>
      </c>
      <c r="D120" s="66">
        <f>IF('שיבוץ'!$A119="","",'שיבוץ'!$E119&amp;"")</f>
        <v/>
      </c>
      <c r="E120" s="67">
        <f>IF('שיבוץ'!$A119="","",'שיבוץ'!$D119&amp;"")</f>
        <v/>
      </c>
      <c r="F120" s="67">
        <f>IF('שיבוץ'!$A119="","",'שיבוץ'!$F119&amp;"")</f>
        <v/>
      </c>
    </row>
    <row r="121" ht="24" customHeight="1">
      <c r="A121" s="65">
        <f>IF('שיבוץ'!$A120="","",IF('שיבוץ'!$A120='שיבוץ'!$A119,"",'שיבוץ'!$A120))</f>
        <v/>
      </c>
      <c r="B121" s="66">
        <f>IF('שיבוץ'!$A120="","",'שיבוץ'!$B120&amp;"")</f>
        <v/>
      </c>
      <c r="C121" s="66">
        <f>IF(N('שיבוץ'!$C120)=0,"",TEXT(HOUR('שיבוץ'!$C120),"00")&amp;":"&amp;TEXT(MINUTE('שיבוץ'!$C120),"00"))</f>
        <v/>
      </c>
      <c r="D121" s="66">
        <f>IF('שיבוץ'!$A120="","",'שיבוץ'!$E120&amp;"")</f>
        <v/>
      </c>
      <c r="E121" s="67">
        <f>IF('שיבוץ'!$A120="","",'שיבוץ'!$D120&amp;"")</f>
        <v/>
      </c>
      <c r="F121" s="67">
        <f>IF('שיבוץ'!$A120="","",'שיבוץ'!$F120&amp;"")</f>
        <v/>
      </c>
    </row>
    <row r="122" ht="24" customHeight="1">
      <c r="A122" s="65">
        <f>IF('שיבוץ'!$A121="","",IF('שיבוץ'!$A121='שיבוץ'!$A120,"",'שיבוץ'!$A121))</f>
        <v/>
      </c>
      <c r="B122" s="66">
        <f>IF('שיבוץ'!$A121="","",'שיבוץ'!$B121&amp;"")</f>
        <v/>
      </c>
      <c r="C122" s="66">
        <f>IF(N('שיבוץ'!$C121)=0,"",TEXT(HOUR('שיבוץ'!$C121),"00")&amp;":"&amp;TEXT(MINUTE('שיבוץ'!$C121),"00"))</f>
        <v/>
      </c>
      <c r="D122" s="66">
        <f>IF('שיבוץ'!$A121="","",'שיבוץ'!$E121&amp;"")</f>
        <v/>
      </c>
      <c r="E122" s="67">
        <f>IF('שיבוץ'!$A121="","",'שיבוץ'!$D121&amp;"")</f>
        <v/>
      </c>
      <c r="F122" s="67">
        <f>IF('שיבוץ'!$A121="","",'שיבוץ'!$F121&amp;"")</f>
        <v/>
      </c>
    </row>
    <row r="123" ht="24" customHeight="1">
      <c r="A123" s="65">
        <f>IF('שיבוץ'!$A122="","",IF('שיבוץ'!$A122='שיבוץ'!$A121,"",'שיבוץ'!$A122))</f>
        <v/>
      </c>
      <c r="B123" s="66">
        <f>IF('שיבוץ'!$A122="","",'שיבוץ'!$B122&amp;"")</f>
        <v/>
      </c>
      <c r="C123" s="66">
        <f>IF(N('שיבוץ'!$C122)=0,"",TEXT(HOUR('שיבוץ'!$C122),"00")&amp;":"&amp;TEXT(MINUTE('שיבוץ'!$C122),"00"))</f>
        <v/>
      </c>
      <c r="D123" s="66">
        <f>IF('שיבוץ'!$A122="","",'שיבוץ'!$E122&amp;"")</f>
        <v/>
      </c>
      <c r="E123" s="67">
        <f>IF('שיבוץ'!$A122="","",'שיבוץ'!$D122&amp;"")</f>
        <v/>
      </c>
      <c r="F123" s="67">
        <f>IF('שיבוץ'!$A122="","",'שיבוץ'!$F122&amp;"")</f>
        <v/>
      </c>
    </row>
    <row r="124" ht="24" customHeight="1">
      <c r="A124" s="65">
        <f>IF('שיבוץ'!$A123="","",IF('שיבוץ'!$A123='שיבוץ'!$A122,"",'שיבוץ'!$A123))</f>
        <v/>
      </c>
      <c r="B124" s="66">
        <f>IF('שיבוץ'!$A123="","",'שיבוץ'!$B123&amp;"")</f>
        <v/>
      </c>
      <c r="C124" s="66">
        <f>IF(N('שיבוץ'!$C123)=0,"",TEXT(HOUR('שיבוץ'!$C123),"00")&amp;":"&amp;TEXT(MINUTE('שיבוץ'!$C123),"00"))</f>
        <v/>
      </c>
      <c r="D124" s="66">
        <f>IF('שיבוץ'!$A123="","",'שיבוץ'!$E123&amp;"")</f>
        <v/>
      </c>
      <c r="E124" s="67">
        <f>IF('שיבוץ'!$A123="","",'שיבוץ'!$D123&amp;"")</f>
        <v/>
      </c>
      <c r="F124" s="67">
        <f>IF('שיבוץ'!$A123="","",'שיבוץ'!$F123&amp;"")</f>
        <v/>
      </c>
    </row>
    <row r="125" ht="24" customHeight="1">
      <c r="A125" s="65">
        <f>IF('שיבוץ'!$A124="","",IF('שיבוץ'!$A124='שיבוץ'!$A123,"",'שיבוץ'!$A124))</f>
        <v/>
      </c>
      <c r="B125" s="66">
        <f>IF('שיבוץ'!$A124="","",'שיבוץ'!$B124&amp;"")</f>
        <v/>
      </c>
      <c r="C125" s="66">
        <f>IF(N('שיבוץ'!$C124)=0,"",TEXT(HOUR('שיבוץ'!$C124),"00")&amp;":"&amp;TEXT(MINUTE('שיבוץ'!$C124),"00"))</f>
        <v/>
      </c>
      <c r="D125" s="66">
        <f>IF('שיבוץ'!$A124="","",'שיבוץ'!$E124&amp;"")</f>
        <v/>
      </c>
      <c r="E125" s="67">
        <f>IF('שיבוץ'!$A124="","",'שיבוץ'!$D124&amp;"")</f>
        <v/>
      </c>
      <c r="F125" s="67">
        <f>IF('שיבוץ'!$A124="","",'שיבוץ'!$F124&amp;"")</f>
        <v/>
      </c>
    </row>
    <row r="126" ht="24" customHeight="1">
      <c r="A126" s="65">
        <f>IF('שיבוץ'!$A125="","",IF('שיבוץ'!$A125='שיבוץ'!$A124,"",'שיבוץ'!$A125))</f>
        <v/>
      </c>
      <c r="B126" s="66">
        <f>IF('שיבוץ'!$A125="","",'שיבוץ'!$B125&amp;"")</f>
        <v/>
      </c>
      <c r="C126" s="66">
        <f>IF(N('שיבוץ'!$C125)=0,"",TEXT(HOUR('שיבוץ'!$C125),"00")&amp;":"&amp;TEXT(MINUTE('שיבוץ'!$C125),"00"))</f>
        <v/>
      </c>
      <c r="D126" s="66">
        <f>IF('שיבוץ'!$A125="","",'שיבוץ'!$E125&amp;"")</f>
        <v/>
      </c>
      <c r="E126" s="67">
        <f>IF('שיבוץ'!$A125="","",'שיבוץ'!$D125&amp;"")</f>
        <v/>
      </c>
      <c r="F126" s="67">
        <f>IF('שיבוץ'!$A125="","",'שיבוץ'!$F125&amp;"")</f>
        <v/>
      </c>
    </row>
    <row r="127" ht="24" customHeight="1">
      <c r="A127" s="65">
        <f>IF('שיבוץ'!$A126="","",IF('שיבוץ'!$A126='שיבוץ'!$A125,"",'שיבוץ'!$A126))</f>
        <v/>
      </c>
      <c r="B127" s="66">
        <f>IF('שיבוץ'!$A126="","",'שיבוץ'!$B126&amp;"")</f>
        <v/>
      </c>
      <c r="C127" s="66">
        <f>IF(N('שיבוץ'!$C126)=0,"",TEXT(HOUR('שיבוץ'!$C126),"00")&amp;":"&amp;TEXT(MINUTE('שיבוץ'!$C126),"00"))</f>
        <v/>
      </c>
      <c r="D127" s="66">
        <f>IF('שיבוץ'!$A126="","",'שיבוץ'!$E126&amp;"")</f>
        <v/>
      </c>
      <c r="E127" s="67">
        <f>IF('שיבוץ'!$A126="","",'שיבוץ'!$D126&amp;"")</f>
        <v/>
      </c>
      <c r="F127" s="67">
        <f>IF('שיבוץ'!$A126="","",'שיבוץ'!$F126&amp;"")</f>
        <v/>
      </c>
    </row>
    <row r="128" ht="24" customHeight="1">
      <c r="A128" s="65">
        <f>IF('שיבוץ'!$A127="","",IF('שיבוץ'!$A127='שיבוץ'!$A126,"",'שיבוץ'!$A127))</f>
        <v/>
      </c>
      <c r="B128" s="66">
        <f>IF('שיבוץ'!$A127="","",'שיבוץ'!$B127&amp;"")</f>
        <v/>
      </c>
      <c r="C128" s="66">
        <f>IF(N('שיבוץ'!$C127)=0,"",TEXT(HOUR('שיבוץ'!$C127),"00")&amp;":"&amp;TEXT(MINUTE('שיבוץ'!$C127),"00"))</f>
        <v/>
      </c>
      <c r="D128" s="66">
        <f>IF('שיבוץ'!$A127="","",'שיבוץ'!$E127&amp;"")</f>
        <v/>
      </c>
      <c r="E128" s="67">
        <f>IF('שיבוץ'!$A127="","",'שיבוץ'!$D127&amp;"")</f>
        <v/>
      </c>
      <c r="F128" s="67">
        <f>IF('שיבוץ'!$A127="","",'שיבוץ'!$F127&amp;"")</f>
        <v/>
      </c>
    </row>
    <row r="129" ht="24" customHeight="1">
      <c r="A129" s="65">
        <f>IF('שיבוץ'!$A128="","",IF('שיבוץ'!$A128='שיבוץ'!$A127,"",'שיבוץ'!$A128))</f>
        <v/>
      </c>
      <c r="B129" s="66">
        <f>IF('שיבוץ'!$A128="","",'שיבוץ'!$B128&amp;"")</f>
        <v/>
      </c>
      <c r="C129" s="66">
        <f>IF(N('שיבוץ'!$C128)=0,"",TEXT(HOUR('שיבוץ'!$C128),"00")&amp;":"&amp;TEXT(MINUTE('שיבוץ'!$C128),"00"))</f>
        <v/>
      </c>
      <c r="D129" s="66">
        <f>IF('שיבוץ'!$A128="","",'שיבוץ'!$E128&amp;"")</f>
        <v/>
      </c>
      <c r="E129" s="67">
        <f>IF('שיבוץ'!$A128="","",'שיבוץ'!$D128&amp;"")</f>
        <v/>
      </c>
      <c r="F129" s="67">
        <f>IF('שיבוץ'!$A128="","",'שיבוץ'!$F128&amp;"")</f>
        <v/>
      </c>
    </row>
    <row r="130" ht="24" customHeight="1">
      <c r="A130" s="65">
        <f>IF('שיבוץ'!$A129="","",IF('שיבוץ'!$A129='שיבוץ'!$A128,"",'שיבוץ'!$A129))</f>
        <v/>
      </c>
      <c r="B130" s="66">
        <f>IF('שיבוץ'!$A129="","",'שיבוץ'!$B129&amp;"")</f>
        <v/>
      </c>
      <c r="C130" s="66">
        <f>IF(N('שיבוץ'!$C129)=0,"",TEXT(HOUR('שיבוץ'!$C129),"00")&amp;":"&amp;TEXT(MINUTE('שיבוץ'!$C129),"00"))</f>
        <v/>
      </c>
      <c r="D130" s="66">
        <f>IF('שיבוץ'!$A129="","",'שיבוץ'!$E129&amp;"")</f>
        <v/>
      </c>
      <c r="E130" s="67">
        <f>IF('שיבוץ'!$A129="","",'שיבוץ'!$D129&amp;"")</f>
        <v/>
      </c>
      <c r="F130" s="67">
        <f>IF('שיבוץ'!$A129="","",'שיבוץ'!$F129&amp;"")</f>
        <v/>
      </c>
    </row>
    <row r="131" ht="24" customHeight="1">
      <c r="A131" s="65">
        <f>IF('שיבוץ'!$A130="","",IF('שיבוץ'!$A130='שיבוץ'!$A129,"",'שיבוץ'!$A130))</f>
        <v/>
      </c>
      <c r="B131" s="66">
        <f>IF('שיבוץ'!$A130="","",'שיבוץ'!$B130&amp;"")</f>
        <v/>
      </c>
      <c r="C131" s="66">
        <f>IF(N('שיבוץ'!$C130)=0,"",TEXT(HOUR('שיבוץ'!$C130),"00")&amp;":"&amp;TEXT(MINUTE('שיבוץ'!$C130),"00"))</f>
        <v/>
      </c>
      <c r="D131" s="66">
        <f>IF('שיבוץ'!$A130="","",'שיבוץ'!$E130&amp;"")</f>
        <v/>
      </c>
      <c r="E131" s="67">
        <f>IF('שיבוץ'!$A130="","",'שיבוץ'!$D130&amp;"")</f>
        <v/>
      </c>
      <c r="F131" s="67">
        <f>IF('שיבוץ'!$A130="","",'שיבוץ'!$F130&amp;"")</f>
        <v/>
      </c>
    </row>
    <row r="132" ht="24" customHeight="1">
      <c r="A132" s="65">
        <f>IF('שיבוץ'!$A131="","",IF('שיבוץ'!$A131='שיבוץ'!$A130,"",'שיבוץ'!$A131))</f>
        <v/>
      </c>
      <c r="B132" s="66">
        <f>IF('שיבוץ'!$A131="","",'שיבוץ'!$B131&amp;"")</f>
        <v/>
      </c>
      <c r="C132" s="66">
        <f>IF(N('שיבוץ'!$C131)=0,"",TEXT(HOUR('שיבוץ'!$C131),"00")&amp;":"&amp;TEXT(MINUTE('שיבוץ'!$C131),"00"))</f>
        <v/>
      </c>
      <c r="D132" s="66">
        <f>IF('שיבוץ'!$A131="","",'שיבוץ'!$E131&amp;"")</f>
        <v/>
      </c>
      <c r="E132" s="67">
        <f>IF('שיבוץ'!$A131="","",'שיבוץ'!$D131&amp;"")</f>
        <v/>
      </c>
      <c r="F132" s="67">
        <f>IF('שיבוץ'!$A131="","",'שיבוץ'!$F131&amp;"")</f>
        <v/>
      </c>
    </row>
    <row r="133" ht="24" customHeight="1">
      <c r="A133" s="65">
        <f>IF('שיבוץ'!$A132="","",IF('שיבוץ'!$A132='שיבוץ'!$A131,"",'שיבוץ'!$A132))</f>
        <v/>
      </c>
      <c r="B133" s="66">
        <f>IF('שיבוץ'!$A132="","",'שיבוץ'!$B132&amp;"")</f>
        <v/>
      </c>
      <c r="C133" s="66">
        <f>IF(N('שיבוץ'!$C132)=0,"",TEXT(HOUR('שיבוץ'!$C132),"00")&amp;":"&amp;TEXT(MINUTE('שיבוץ'!$C132),"00"))</f>
        <v/>
      </c>
      <c r="D133" s="66">
        <f>IF('שיבוץ'!$A132="","",'שיבוץ'!$E132&amp;"")</f>
        <v/>
      </c>
      <c r="E133" s="67">
        <f>IF('שיבוץ'!$A132="","",'שיבוץ'!$D132&amp;"")</f>
        <v/>
      </c>
      <c r="F133" s="67">
        <f>IF('שיבוץ'!$A132="","",'שיבוץ'!$F132&amp;"")</f>
        <v/>
      </c>
    </row>
    <row r="134" ht="24" customHeight="1">
      <c r="A134" s="65">
        <f>IF('שיבוץ'!$A133="","",IF('שיבוץ'!$A133='שיבוץ'!$A132,"",'שיבוץ'!$A133))</f>
        <v/>
      </c>
      <c r="B134" s="66">
        <f>IF('שיבוץ'!$A133="","",'שיבוץ'!$B133&amp;"")</f>
        <v/>
      </c>
      <c r="C134" s="66">
        <f>IF(N('שיבוץ'!$C133)=0,"",TEXT(HOUR('שיבוץ'!$C133),"00")&amp;":"&amp;TEXT(MINUTE('שיבוץ'!$C133),"00"))</f>
        <v/>
      </c>
      <c r="D134" s="66">
        <f>IF('שיבוץ'!$A133="","",'שיבוץ'!$E133&amp;"")</f>
        <v/>
      </c>
      <c r="E134" s="67">
        <f>IF('שיבוץ'!$A133="","",'שיבוץ'!$D133&amp;"")</f>
        <v/>
      </c>
      <c r="F134" s="67">
        <f>IF('שיבוץ'!$A133="","",'שיבוץ'!$F133&amp;"")</f>
        <v/>
      </c>
    </row>
    <row r="135" ht="24" customHeight="1">
      <c r="A135" s="65">
        <f>IF('שיבוץ'!$A134="","",IF('שיבוץ'!$A134='שיבוץ'!$A133,"",'שיבוץ'!$A134))</f>
        <v/>
      </c>
      <c r="B135" s="66">
        <f>IF('שיבוץ'!$A134="","",'שיבוץ'!$B134&amp;"")</f>
        <v/>
      </c>
      <c r="C135" s="66">
        <f>IF(N('שיבוץ'!$C134)=0,"",TEXT(HOUR('שיבוץ'!$C134),"00")&amp;":"&amp;TEXT(MINUTE('שיבוץ'!$C134),"00"))</f>
        <v/>
      </c>
      <c r="D135" s="66">
        <f>IF('שיבוץ'!$A134="","",'שיבוץ'!$E134&amp;"")</f>
        <v/>
      </c>
      <c r="E135" s="67">
        <f>IF('שיבוץ'!$A134="","",'שיבוץ'!$D134&amp;"")</f>
        <v/>
      </c>
      <c r="F135" s="67">
        <f>IF('שיבוץ'!$A134="","",'שיבוץ'!$F134&amp;"")</f>
        <v/>
      </c>
    </row>
    <row r="136" ht="24" customHeight="1">
      <c r="A136" s="65">
        <f>IF('שיבוץ'!$A135="","",IF('שיבוץ'!$A135='שיבוץ'!$A134,"",'שיבוץ'!$A135))</f>
        <v/>
      </c>
      <c r="B136" s="66">
        <f>IF('שיבוץ'!$A135="","",'שיבוץ'!$B135&amp;"")</f>
        <v/>
      </c>
      <c r="C136" s="66">
        <f>IF(N('שיבוץ'!$C135)=0,"",TEXT(HOUR('שיבוץ'!$C135),"00")&amp;":"&amp;TEXT(MINUTE('שיבוץ'!$C135),"00"))</f>
        <v/>
      </c>
      <c r="D136" s="66">
        <f>IF('שיבוץ'!$A135="","",'שיבוץ'!$E135&amp;"")</f>
        <v/>
      </c>
      <c r="E136" s="67">
        <f>IF('שיבוץ'!$A135="","",'שיבוץ'!$D135&amp;"")</f>
        <v/>
      </c>
      <c r="F136" s="67">
        <f>IF('שיבוץ'!$A135="","",'שיבוץ'!$F135&amp;"")</f>
        <v/>
      </c>
    </row>
    <row r="137" ht="24" customHeight="1">
      <c r="A137" s="65">
        <f>IF('שיבוץ'!$A136="","",IF('שיבוץ'!$A136='שיבוץ'!$A135,"",'שיבוץ'!$A136))</f>
        <v/>
      </c>
      <c r="B137" s="66">
        <f>IF('שיבוץ'!$A136="","",'שיבוץ'!$B136&amp;"")</f>
        <v/>
      </c>
      <c r="C137" s="66">
        <f>IF(N('שיבוץ'!$C136)=0,"",TEXT(HOUR('שיבוץ'!$C136),"00")&amp;":"&amp;TEXT(MINUTE('שיבוץ'!$C136),"00"))</f>
        <v/>
      </c>
      <c r="D137" s="66">
        <f>IF('שיבוץ'!$A136="","",'שיבוץ'!$E136&amp;"")</f>
        <v/>
      </c>
      <c r="E137" s="67">
        <f>IF('שיבוץ'!$A136="","",'שיבוץ'!$D136&amp;"")</f>
        <v/>
      </c>
      <c r="F137" s="67">
        <f>IF('שיבוץ'!$A136="","",'שיבוץ'!$F136&amp;"")</f>
        <v/>
      </c>
    </row>
    <row r="138" ht="24" customHeight="1">
      <c r="A138" s="65">
        <f>IF('שיבוץ'!$A137="","",IF('שיבוץ'!$A137='שיבוץ'!$A136,"",'שיבוץ'!$A137))</f>
        <v/>
      </c>
      <c r="B138" s="66">
        <f>IF('שיבוץ'!$A137="","",'שיבוץ'!$B137&amp;"")</f>
        <v/>
      </c>
      <c r="C138" s="66">
        <f>IF(N('שיבוץ'!$C137)=0,"",TEXT(HOUR('שיבוץ'!$C137),"00")&amp;":"&amp;TEXT(MINUTE('שיבוץ'!$C137),"00"))</f>
        <v/>
      </c>
      <c r="D138" s="66">
        <f>IF('שיבוץ'!$A137="","",'שיבוץ'!$E137&amp;"")</f>
        <v/>
      </c>
      <c r="E138" s="67">
        <f>IF('שיבוץ'!$A137="","",'שיבוץ'!$D137&amp;"")</f>
        <v/>
      </c>
      <c r="F138" s="67">
        <f>IF('שיבוץ'!$A137="","",'שיבוץ'!$F137&amp;"")</f>
        <v/>
      </c>
    </row>
    <row r="139" ht="24" customHeight="1">
      <c r="A139" s="65">
        <f>IF('שיבוץ'!$A138="","",IF('שיבוץ'!$A138='שיבוץ'!$A137,"",'שיבוץ'!$A138))</f>
        <v/>
      </c>
      <c r="B139" s="66">
        <f>IF('שיבוץ'!$A138="","",'שיבוץ'!$B138&amp;"")</f>
        <v/>
      </c>
      <c r="C139" s="66">
        <f>IF(N('שיבוץ'!$C138)=0,"",TEXT(HOUR('שיבוץ'!$C138),"00")&amp;":"&amp;TEXT(MINUTE('שיבוץ'!$C138),"00"))</f>
        <v/>
      </c>
      <c r="D139" s="66">
        <f>IF('שיבוץ'!$A138="","",'שיבוץ'!$E138&amp;"")</f>
        <v/>
      </c>
      <c r="E139" s="67">
        <f>IF('שיבוץ'!$A138="","",'שיבוץ'!$D138&amp;"")</f>
        <v/>
      </c>
      <c r="F139" s="67">
        <f>IF('שיבוץ'!$A138="","",'שיבוץ'!$F138&amp;"")</f>
        <v/>
      </c>
    </row>
    <row r="140" ht="24" customHeight="1">
      <c r="A140" s="65">
        <f>IF('שיבוץ'!$A139="","",IF('שיבוץ'!$A139='שיבוץ'!$A138,"",'שיבוץ'!$A139))</f>
        <v/>
      </c>
      <c r="B140" s="66">
        <f>IF('שיבוץ'!$A139="","",'שיבוץ'!$B139&amp;"")</f>
        <v/>
      </c>
      <c r="C140" s="66">
        <f>IF(N('שיבוץ'!$C139)=0,"",TEXT(HOUR('שיבוץ'!$C139),"00")&amp;":"&amp;TEXT(MINUTE('שיבוץ'!$C139),"00"))</f>
        <v/>
      </c>
      <c r="D140" s="66">
        <f>IF('שיבוץ'!$A139="","",'שיבוץ'!$E139&amp;"")</f>
        <v/>
      </c>
      <c r="E140" s="67">
        <f>IF('שיבוץ'!$A139="","",'שיבוץ'!$D139&amp;"")</f>
        <v/>
      </c>
      <c r="F140" s="67">
        <f>IF('שיבוץ'!$A139="","",'שיבוץ'!$F139&amp;"")</f>
        <v/>
      </c>
    </row>
    <row r="141" ht="24" customHeight="1">
      <c r="A141" s="65">
        <f>IF('שיבוץ'!$A140="","",IF('שיבוץ'!$A140='שיבוץ'!$A139,"",'שיבוץ'!$A140))</f>
        <v/>
      </c>
      <c r="B141" s="66">
        <f>IF('שיבוץ'!$A140="","",'שיבוץ'!$B140&amp;"")</f>
        <v/>
      </c>
      <c r="C141" s="66">
        <f>IF(N('שיבוץ'!$C140)=0,"",TEXT(HOUR('שיבוץ'!$C140),"00")&amp;":"&amp;TEXT(MINUTE('שיבוץ'!$C140),"00"))</f>
        <v/>
      </c>
      <c r="D141" s="66">
        <f>IF('שיבוץ'!$A140="","",'שיבוץ'!$E140&amp;"")</f>
        <v/>
      </c>
      <c r="E141" s="67">
        <f>IF('שיבוץ'!$A140="","",'שיבוץ'!$D140&amp;"")</f>
        <v/>
      </c>
      <c r="F141" s="67">
        <f>IF('שיבוץ'!$A140="","",'שיבוץ'!$F140&amp;"")</f>
        <v/>
      </c>
    </row>
    <row r="142" ht="24" customHeight="1">
      <c r="A142" s="65">
        <f>IF('שיבוץ'!$A141="","",IF('שיבוץ'!$A141='שיבוץ'!$A140,"",'שיבוץ'!$A141))</f>
        <v/>
      </c>
      <c r="B142" s="66">
        <f>IF('שיבוץ'!$A141="","",'שיבוץ'!$B141&amp;"")</f>
        <v/>
      </c>
      <c r="C142" s="66">
        <f>IF(N('שיבוץ'!$C141)=0,"",TEXT(HOUR('שיבוץ'!$C141),"00")&amp;":"&amp;TEXT(MINUTE('שיבוץ'!$C141),"00"))</f>
        <v/>
      </c>
      <c r="D142" s="66">
        <f>IF('שיבוץ'!$A141="","",'שיבוץ'!$E141&amp;"")</f>
        <v/>
      </c>
      <c r="E142" s="67">
        <f>IF('שיבוץ'!$A141="","",'שיבוץ'!$D141&amp;"")</f>
        <v/>
      </c>
      <c r="F142" s="67">
        <f>IF('שיבוץ'!$A141="","",'שיבוץ'!$F141&amp;"")</f>
        <v/>
      </c>
    </row>
    <row r="143" ht="24" customHeight="1">
      <c r="A143" s="65">
        <f>IF('שיבוץ'!$A142="","",IF('שיבוץ'!$A142='שיבוץ'!$A141,"",'שיבוץ'!$A142))</f>
        <v/>
      </c>
      <c r="B143" s="66">
        <f>IF('שיבוץ'!$A142="","",'שיבוץ'!$B142&amp;"")</f>
        <v/>
      </c>
      <c r="C143" s="66">
        <f>IF(N('שיבוץ'!$C142)=0,"",TEXT(HOUR('שיבוץ'!$C142),"00")&amp;":"&amp;TEXT(MINUTE('שיבוץ'!$C142),"00"))</f>
        <v/>
      </c>
      <c r="D143" s="66">
        <f>IF('שיבוץ'!$A142="","",'שיבוץ'!$E142&amp;"")</f>
        <v/>
      </c>
      <c r="E143" s="67">
        <f>IF('שיבוץ'!$A142="","",'שיבוץ'!$D142&amp;"")</f>
        <v/>
      </c>
      <c r="F143" s="67">
        <f>IF('שיבוץ'!$A142="","",'שיבוץ'!$F142&amp;"")</f>
        <v/>
      </c>
    </row>
    <row r="144" ht="24" customHeight="1">
      <c r="A144" s="65">
        <f>IF('שיבוץ'!$A143="","",IF('שיבוץ'!$A143='שיבוץ'!$A142,"",'שיבוץ'!$A143))</f>
        <v/>
      </c>
      <c r="B144" s="66">
        <f>IF('שיבוץ'!$A143="","",'שיבוץ'!$B143&amp;"")</f>
        <v/>
      </c>
      <c r="C144" s="66">
        <f>IF(N('שיבוץ'!$C143)=0,"",TEXT(HOUR('שיבוץ'!$C143),"00")&amp;":"&amp;TEXT(MINUTE('שיבוץ'!$C143),"00"))</f>
        <v/>
      </c>
      <c r="D144" s="66">
        <f>IF('שיבוץ'!$A143="","",'שיבוץ'!$E143&amp;"")</f>
        <v/>
      </c>
      <c r="E144" s="67">
        <f>IF('שיבוץ'!$A143="","",'שיבוץ'!$D143&amp;"")</f>
        <v/>
      </c>
      <c r="F144" s="67">
        <f>IF('שיבוץ'!$A143="","",'שיבוץ'!$F143&amp;"")</f>
        <v/>
      </c>
    </row>
    <row r="145" ht="24" customHeight="1">
      <c r="A145" s="65">
        <f>IF('שיבוץ'!$A144="","",IF('שיבוץ'!$A144='שיבוץ'!$A143,"",'שיבוץ'!$A144))</f>
        <v/>
      </c>
      <c r="B145" s="66">
        <f>IF('שיבוץ'!$A144="","",'שיבוץ'!$B144&amp;"")</f>
        <v/>
      </c>
      <c r="C145" s="66">
        <f>IF(N('שיבוץ'!$C144)=0,"",TEXT(HOUR('שיבוץ'!$C144),"00")&amp;":"&amp;TEXT(MINUTE('שיבוץ'!$C144),"00"))</f>
        <v/>
      </c>
      <c r="D145" s="66">
        <f>IF('שיבוץ'!$A144="","",'שיבוץ'!$E144&amp;"")</f>
        <v/>
      </c>
      <c r="E145" s="67">
        <f>IF('שיבוץ'!$A144="","",'שיבוץ'!$D144&amp;"")</f>
        <v/>
      </c>
      <c r="F145" s="67">
        <f>IF('שיבוץ'!$A144="","",'שיבוץ'!$F144&amp;"")</f>
        <v/>
      </c>
    </row>
    <row r="146" ht="24" customHeight="1">
      <c r="A146" s="65">
        <f>IF('שיבוץ'!$A145="","",IF('שיבוץ'!$A145='שיבוץ'!$A144,"",'שיבוץ'!$A145))</f>
        <v/>
      </c>
      <c r="B146" s="66">
        <f>IF('שיבוץ'!$A145="","",'שיבוץ'!$B145&amp;"")</f>
        <v/>
      </c>
      <c r="C146" s="66">
        <f>IF(N('שיבוץ'!$C145)=0,"",TEXT(HOUR('שיבוץ'!$C145),"00")&amp;":"&amp;TEXT(MINUTE('שיבוץ'!$C145),"00"))</f>
        <v/>
      </c>
      <c r="D146" s="66">
        <f>IF('שיבוץ'!$A145="","",'שיבוץ'!$E145&amp;"")</f>
        <v/>
      </c>
      <c r="E146" s="67">
        <f>IF('שיבוץ'!$A145="","",'שיבוץ'!$D145&amp;"")</f>
        <v/>
      </c>
      <c r="F146" s="67">
        <f>IF('שיבוץ'!$A145="","",'שיבוץ'!$F145&amp;"")</f>
        <v/>
      </c>
    </row>
    <row r="147" ht="24" customHeight="1">
      <c r="A147" s="65">
        <f>IF('שיבוץ'!$A146="","",IF('שיבוץ'!$A146='שיבוץ'!$A145,"",'שיבוץ'!$A146))</f>
        <v/>
      </c>
      <c r="B147" s="66">
        <f>IF('שיבוץ'!$A146="","",'שיבוץ'!$B146&amp;"")</f>
        <v/>
      </c>
      <c r="C147" s="66">
        <f>IF(N('שיבוץ'!$C146)=0,"",TEXT(HOUR('שיבוץ'!$C146),"00")&amp;":"&amp;TEXT(MINUTE('שיבוץ'!$C146),"00"))</f>
        <v/>
      </c>
      <c r="D147" s="66">
        <f>IF('שיבוץ'!$A146="","",'שיבוץ'!$E146&amp;"")</f>
        <v/>
      </c>
      <c r="E147" s="67">
        <f>IF('שיבוץ'!$A146="","",'שיבוץ'!$D146&amp;"")</f>
        <v/>
      </c>
      <c r="F147" s="67">
        <f>IF('שיבוץ'!$A146="","",'שיבוץ'!$F146&amp;"")</f>
        <v/>
      </c>
    </row>
    <row r="148" ht="24" customHeight="1">
      <c r="A148" s="65">
        <f>IF('שיבוץ'!$A147="","",IF('שיבוץ'!$A147='שיבוץ'!$A146,"",'שיבוץ'!$A147))</f>
        <v/>
      </c>
      <c r="B148" s="66">
        <f>IF('שיבוץ'!$A147="","",'שיבוץ'!$B147&amp;"")</f>
        <v/>
      </c>
      <c r="C148" s="66">
        <f>IF(N('שיבוץ'!$C147)=0,"",TEXT(HOUR('שיבוץ'!$C147),"00")&amp;":"&amp;TEXT(MINUTE('שיבוץ'!$C147),"00"))</f>
        <v/>
      </c>
      <c r="D148" s="66">
        <f>IF('שיבוץ'!$A147="","",'שיבוץ'!$E147&amp;"")</f>
        <v/>
      </c>
      <c r="E148" s="67">
        <f>IF('שיבוץ'!$A147="","",'שיבוץ'!$D147&amp;"")</f>
        <v/>
      </c>
      <c r="F148" s="67">
        <f>IF('שיבוץ'!$A147="","",'שיבוץ'!$F147&amp;"")</f>
        <v/>
      </c>
    </row>
    <row r="149" ht="24" customHeight="1">
      <c r="A149" s="65">
        <f>IF('שיבוץ'!$A148="","",IF('שיבוץ'!$A148='שיבוץ'!$A147,"",'שיבוץ'!$A148))</f>
        <v/>
      </c>
      <c r="B149" s="66">
        <f>IF('שיבוץ'!$A148="","",'שיבוץ'!$B148&amp;"")</f>
        <v/>
      </c>
      <c r="C149" s="66">
        <f>IF(N('שיבוץ'!$C148)=0,"",TEXT(HOUR('שיבוץ'!$C148),"00")&amp;":"&amp;TEXT(MINUTE('שיבוץ'!$C148),"00"))</f>
        <v/>
      </c>
      <c r="D149" s="66">
        <f>IF('שיבוץ'!$A148="","",'שיבוץ'!$E148&amp;"")</f>
        <v/>
      </c>
      <c r="E149" s="67">
        <f>IF('שיבוץ'!$A148="","",'שיבוץ'!$D148&amp;"")</f>
        <v/>
      </c>
      <c r="F149" s="67">
        <f>IF('שיבוץ'!$A148="","",'שיבוץ'!$F148&amp;"")</f>
        <v/>
      </c>
    </row>
    <row r="150" ht="24" customHeight="1">
      <c r="A150" s="65">
        <f>IF('שיבוץ'!$A149="","",IF('שיבוץ'!$A149='שיבוץ'!$A148,"",'שיבוץ'!$A149))</f>
        <v/>
      </c>
      <c r="B150" s="66">
        <f>IF('שיבוץ'!$A149="","",'שיבוץ'!$B149&amp;"")</f>
        <v/>
      </c>
      <c r="C150" s="66">
        <f>IF(N('שיבוץ'!$C149)=0,"",TEXT(HOUR('שיבוץ'!$C149),"00")&amp;":"&amp;TEXT(MINUTE('שיבוץ'!$C149),"00"))</f>
        <v/>
      </c>
      <c r="D150" s="66">
        <f>IF('שיבוץ'!$A149="","",'שיבוץ'!$E149&amp;"")</f>
        <v/>
      </c>
      <c r="E150" s="67">
        <f>IF('שיבוץ'!$A149="","",'שיבוץ'!$D149&amp;"")</f>
        <v/>
      </c>
      <c r="F150" s="67">
        <f>IF('שיבוץ'!$A149="","",'שיבוץ'!$F149&amp;"")</f>
        <v/>
      </c>
    </row>
    <row r="151" ht="24" customHeight="1">
      <c r="A151" s="65">
        <f>IF('שיבוץ'!$A150="","",IF('שיבוץ'!$A150='שיבוץ'!$A149,"",'שיבוץ'!$A150))</f>
        <v/>
      </c>
      <c r="B151" s="66">
        <f>IF('שיבוץ'!$A150="","",'שיבוץ'!$B150&amp;"")</f>
        <v/>
      </c>
      <c r="C151" s="66">
        <f>IF(N('שיבוץ'!$C150)=0,"",TEXT(HOUR('שיבוץ'!$C150),"00")&amp;":"&amp;TEXT(MINUTE('שיבוץ'!$C150),"00"))</f>
        <v/>
      </c>
      <c r="D151" s="66">
        <f>IF('שיבוץ'!$A150="","",'שיבוץ'!$E150&amp;"")</f>
        <v/>
      </c>
      <c r="E151" s="67">
        <f>IF('שיבוץ'!$A150="","",'שיבוץ'!$D150&amp;"")</f>
        <v/>
      </c>
      <c r="F151" s="67">
        <f>IF('שיבוץ'!$A150="","",'שיבוץ'!$F150&amp;"")</f>
        <v/>
      </c>
    </row>
    <row r="152" ht="24" customHeight="1">
      <c r="A152" s="65">
        <f>IF('שיבוץ'!$A151="","",IF('שיבוץ'!$A151='שיבוץ'!$A150,"",'שיבוץ'!$A151))</f>
        <v/>
      </c>
      <c r="B152" s="66">
        <f>IF('שיבוץ'!$A151="","",'שיבוץ'!$B151&amp;"")</f>
        <v/>
      </c>
      <c r="C152" s="66">
        <f>IF(N('שיבוץ'!$C151)=0,"",TEXT(HOUR('שיבוץ'!$C151),"00")&amp;":"&amp;TEXT(MINUTE('שיבוץ'!$C151),"00"))</f>
        <v/>
      </c>
      <c r="D152" s="66">
        <f>IF('שיבוץ'!$A151="","",'שיבוץ'!$E151&amp;"")</f>
        <v/>
      </c>
      <c r="E152" s="67">
        <f>IF('שיבוץ'!$A151="","",'שיבוץ'!$D151&amp;"")</f>
        <v/>
      </c>
      <c r="F152" s="67">
        <f>IF('שיבוץ'!$A151="","",'שיבוץ'!$F151&amp;"")</f>
        <v/>
      </c>
    </row>
    <row r="153" ht="24" customHeight="1">
      <c r="A153" s="65">
        <f>IF('שיבוץ'!$A152="","",IF('שיבוץ'!$A152='שיבוץ'!$A151,"",'שיבוץ'!$A152))</f>
        <v/>
      </c>
      <c r="B153" s="66">
        <f>IF('שיבוץ'!$A152="","",'שיבוץ'!$B152&amp;"")</f>
        <v/>
      </c>
      <c r="C153" s="66">
        <f>IF(N('שיבוץ'!$C152)=0,"",TEXT(HOUR('שיבוץ'!$C152),"00")&amp;":"&amp;TEXT(MINUTE('שיבוץ'!$C152),"00"))</f>
        <v/>
      </c>
      <c r="D153" s="66">
        <f>IF('שיבוץ'!$A152="","",'שיבוץ'!$E152&amp;"")</f>
        <v/>
      </c>
      <c r="E153" s="67">
        <f>IF('שיבוץ'!$A152="","",'שיבוץ'!$D152&amp;"")</f>
        <v/>
      </c>
      <c r="F153" s="67">
        <f>IF('שיבוץ'!$A152="","",'שיבוץ'!$F152&amp;"")</f>
        <v/>
      </c>
    </row>
  </sheetData>
  <mergeCells count="2">
    <mergeCell ref="A2:F2"/>
    <mergeCell ref="A1:F1"/>
  </mergeCells>
  <pageMargins left="0.4" right="0.4" top="0.5" bottom="0.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E3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20" customWidth="1" min="3" max="3"/>
    <col width="10" customWidth="1" min="4" max="4"/>
    <col width="34" customWidth="1" min="5" max="5"/>
  </cols>
  <sheetData>
    <row r="1" ht="36" customHeight="1">
      <c r="A1" s="5" t="inlineStr">
        <is>
          <t>צ'קליסט לוגיסטי</t>
        </is>
      </c>
    </row>
    <row r="2" ht="20" customHeight="1">
      <c r="A2" s="24" t="inlineStr">
        <is>
          <t>האחריות הטכנית שלא נכנסת לתורנויות: חימום, הבדלה, חשמל, עיתון. מסמנים ✔ ככל שמתקדמים.</t>
        </is>
      </c>
    </row>
    <row r="3" ht="24" customHeight="1">
      <c r="A3" s="16" t="inlineStr">
        <is>
          <t>מתי</t>
        </is>
      </c>
      <c r="B3" s="16" t="inlineStr">
        <is>
          <t>משימה</t>
        </is>
      </c>
      <c r="C3" s="16" t="inlineStr">
        <is>
          <t>אחראי</t>
        </is>
      </c>
      <c r="D3" s="16" t="inlineStr">
        <is>
          <t>בוצע</t>
        </is>
      </c>
      <c r="E3" s="16" t="inlineStr">
        <is>
          <t>הערות</t>
        </is>
      </c>
    </row>
    <row r="4" ht="24" customHeight="1">
      <c r="A4" s="56" t="inlineStr">
        <is>
          <t>תחילת השבוע</t>
        </is>
      </c>
      <c r="B4" s="68" t="inlineStr">
        <is>
          <t>הזמנת הקניות מסמדר לפי גיליון «קניות»</t>
        </is>
      </c>
      <c r="C4" s="69" t="n"/>
      <c r="D4" s="69" t="n"/>
      <c r="E4" s="70" t="inlineStr">
        <is>
          <t>עד יום שני</t>
        </is>
      </c>
    </row>
    <row r="5" ht="24" customHeight="1">
      <c r="A5" s="56" t="inlineStr">
        <is>
          <t>תחילת השבוע</t>
        </is>
      </c>
      <c r="B5" s="68" t="inlineStr">
        <is>
          <t>בדיקת מלאי המטבח לפי גיליון «לבדוק במטבח»</t>
        </is>
      </c>
      <c r="C5" s="69" t="n"/>
      <c r="D5" s="69" t="n"/>
      <c r="E5" s="70" t="n"/>
    </row>
    <row r="6" ht="24" customHeight="1">
      <c r="A6" s="71" t="inlineStr">
        <is>
          <t>חמישי</t>
        </is>
      </c>
      <c r="B6" s="68" t="inlineStr">
        <is>
          <t>הכנת בצקים לעוגות וחלות</t>
        </is>
      </c>
      <c r="C6" s="69" t="n"/>
      <c r="D6" s="69" t="n"/>
      <c r="E6" s="70" t="n"/>
    </row>
    <row r="7" ht="24" customHeight="1">
      <c r="A7" s="72" t="inlineStr">
        <is>
          <t>שישי בבוקר</t>
        </is>
      </c>
      <c r="B7" s="68" t="inlineStr">
        <is>
          <t>קבלת האוכל מהספק ופריקה</t>
        </is>
      </c>
      <c r="C7" s="69" t="n"/>
      <c r="D7" s="69" t="n"/>
      <c r="E7" s="70" t="n"/>
    </row>
    <row r="8" ht="24" customHeight="1">
      <c r="A8" s="72" t="inlineStr">
        <is>
          <t>שישי</t>
        </is>
      </c>
      <c r="B8" s="68" t="inlineStr">
        <is>
          <t>הכנת פלטות חימום — פריסה והדלקה</t>
        </is>
      </c>
      <c r="C8" s="69" t="n"/>
      <c r="D8" s="69" t="n"/>
      <c r="E8" s="70" t="inlineStr">
        <is>
          <t>לפני כניסת השבת</t>
        </is>
      </c>
    </row>
    <row r="9" ht="24" customHeight="1">
      <c r="A9" s="72" t="inlineStr">
        <is>
          <t>שישי</t>
        </is>
      </c>
      <c r="B9" s="68" t="inlineStr">
        <is>
          <t>מילוי והדלקת מיחמים</t>
        </is>
      </c>
      <c r="C9" s="69" t="n"/>
      <c r="D9" s="69" t="n"/>
      <c r="E9" s="70" t="n"/>
    </row>
    <row r="10" ht="24" customHeight="1">
      <c r="A10" s="72" t="inlineStr">
        <is>
          <t>שישי</t>
        </is>
      </c>
      <c r="B10" s="68" t="inlineStr">
        <is>
          <t>הדלקת תנור החימום במטבח</t>
        </is>
      </c>
      <c r="C10" s="69" t="n"/>
      <c r="D10" s="69" t="n"/>
      <c r="E10" s="70" t="n"/>
    </row>
    <row r="11" ht="24" customHeight="1">
      <c r="A11" s="72" t="inlineStr">
        <is>
          <t>שישי</t>
        </is>
      </c>
      <c r="B11" s="68" t="inlineStr">
        <is>
          <t>ציוד הבדלה מוכן — נר, יין, בשמים</t>
        </is>
      </c>
      <c r="C11" s="69" t="n"/>
      <c r="D11" s="69" t="n"/>
      <c r="E11" s="70" t="n"/>
    </row>
    <row r="12" ht="24" customHeight="1">
      <c r="A12" s="72" t="inlineStr">
        <is>
          <t>שישי</t>
        </is>
      </c>
      <c r="B12" s="68" t="inlineStr">
        <is>
          <t>הדלקת אורות ומזגנים וכיוון שעון שבת</t>
        </is>
      </c>
      <c r="C12" s="69" t="n"/>
      <c r="D12" s="69" t="n"/>
      <c r="E12" s="70" t="n"/>
    </row>
    <row r="13" ht="24" customHeight="1">
      <c r="A13" s="72" t="inlineStr">
        <is>
          <t>שישי</t>
        </is>
      </c>
      <c r="B13" s="68" t="inlineStr">
        <is>
          <t>עיתון השבת מודפס ומופץ</t>
        </is>
      </c>
      <c r="C13" s="69" t="n"/>
      <c r="D13" s="69" t="n"/>
      <c r="E13" s="70" t="n"/>
    </row>
    <row r="14" ht="24" customHeight="1">
      <c r="A14" s="72" t="inlineStr">
        <is>
          <t>שישי</t>
        </is>
      </c>
      <c r="B14" s="68" t="inlineStr">
        <is>
          <t>המרחבים פתוחים ומסודרים לפי הלו"ז</t>
        </is>
      </c>
      <c r="C14" s="69" t="n"/>
      <c r="D14" s="69" t="n"/>
      <c r="E14" s="70" t="n"/>
    </row>
    <row r="15" ht="24" customHeight="1">
      <c r="A15" s="73" t="inlineStr">
        <is>
          <t>שבת</t>
        </is>
      </c>
      <c r="B15" s="68" t="inlineStr">
        <is>
          <t>לוודא שהאוכל על הפלטות בזמן לכל ארוחה</t>
        </is>
      </c>
      <c r="C15" s="69" t="n"/>
      <c r="D15" s="69" t="n"/>
      <c r="E15" s="70" t="n"/>
    </row>
    <row r="16" ht="24" customHeight="1">
      <c r="A16" s="73" t="inlineStr">
        <is>
          <t>שבת</t>
        </is>
      </c>
      <c r="B16" s="68" t="inlineStr">
        <is>
          <t>לוודא שהמאפים בתנור החימום ב-10:00</t>
        </is>
      </c>
      <c r="C16" s="69" t="n"/>
      <c r="D16" s="69" t="n"/>
      <c r="E16" s="70" t="inlineStr">
        <is>
          <t>לקידוש</t>
        </is>
      </c>
    </row>
    <row r="17" ht="24" customHeight="1">
      <c r="A17" s="74" t="inlineStr">
        <is>
          <t>מוצאי שבת</t>
        </is>
      </c>
      <c r="B17" s="68" t="inlineStr">
        <is>
          <t>כיבוי פלטות, מיחמים ותנור חימום</t>
        </is>
      </c>
      <c r="C17" s="69" t="n"/>
      <c r="D17" s="69" t="n"/>
      <c r="E17" s="70" t="n"/>
    </row>
    <row r="18" ht="24" customHeight="1">
      <c r="A18" s="74" t="inlineStr">
        <is>
          <t>מוצאי שבת</t>
        </is>
      </c>
      <c r="B18" s="68" t="inlineStr">
        <is>
          <t>הכנסת שאריות למקרר</t>
        </is>
      </c>
      <c r="C18" s="69" t="n"/>
      <c r="D18" s="69" t="n"/>
      <c r="E18" s="70" t="n"/>
    </row>
    <row r="19" ht="24" customHeight="1">
      <c r="A19" s="74" t="inlineStr">
        <is>
          <t>מוצאי שבת</t>
        </is>
      </c>
      <c r="B19" s="68" t="inlineStr">
        <is>
          <t>ניקיונות וארגון לפי גיליון «שיבוץ»</t>
        </is>
      </c>
      <c r="C19" s="69" t="n"/>
      <c r="D19" s="69" t="n"/>
      <c r="E19" s="70" t="n"/>
    </row>
    <row r="20" ht="24" customHeight="1">
      <c r="A20" s="75" t="n"/>
      <c r="B20" s="68" t="n"/>
      <c r="C20" s="69" t="n"/>
      <c r="D20" s="69" t="n"/>
      <c r="E20" s="70" t="n"/>
    </row>
    <row r="21" ht="24" customHeight="1">
      <c r="A21" s="75" t="n"/>
      <c r="B21" s="68" t="n"/>
      <c r="C21" s="69" t="n"/>
      <c r="D21" s="69" t="n"/>
      <c r="E21" s="70" t="n"/>
    </row>
    <row r="22" ht="24" customHeight="1">
      <c r="A22" s="75" t="n"/>
      <c r="B22" s="68" t="n"/>
      <c r="C22" s="69" t="n"/>
      <c r="D22" s="69" t="n"/>
      <c r="E22" s="70" t="n"/>
    </row>
    <row r="23" ht="24" customHeight="1">
      <c r="A23" s="75" t="n"/>
      <c r="B23" s="68" t="n"/>
      <c r="C23" s="69" t="n"/>
      <c r="D23" s="69" t="n"/>
      <c r="E23" s="70" t="n"/>
    </row>
    <row r="24" ht="24" customHeight="1">
      <c r="A24" s="75" t="n"/>
      <c r="B24" s="68" t="n"/>
      <c r="C24" s="69" t="n"/>
      <c r="D24" s="69" t="n"/>
      <c r="E24" s="70" t="n"/>
    </row>
    <row r="25" ht="24" customHeight="1">
      <c r="A25" s="75" t="n"/>
      <c r="B25" s="68" t="n"/>
      <c r="C25" s="69" t="n"/>
      <c r="D25" s="69" t="n"/>
      <c r="E25" s="70" t="n"/>
    </row>
    <row r="26" ht="24" customHeight="1">
      <c r="A26" s="75" t="n"/>
      <c r="B26" s="68" t="n"/>
      <c r="C26" s="69" t="n"/>
      <c r="D26" s="69" t="n"/>
      <c r="E26" s="70" t="n"/>
    </row>
    <row r="27" ht="24" customHeight="1">
      <c r="A27" s="75" t="n"/>
      <c r="B27" s="68" t="n"/>
      <c r="C27" s="69" t="n"/>
      <c r="D27" s="69" t="n"/>
      <c r="E27" s="70" t="n"/>
    </row>
    <row r="28" ht="24" customHeight="1">
      <c r="A28" s="75" t="n"/>
      <c r="B28" s="68" t="n"/>
      <c r="C28" s="69" t="n"/>
      <c r="D28" s="69" t="n"/>
      <c r="E28" s="70" t="n"/>
    </row>
    <row r="29" ht="24" customHeight="1">
      <c r="A29" s="75" t="n"/>
      <c r="B29" s="68" t="n"/>
      <c r="C29" s="69" t="n"/>
      <c r="D29" s="69" t="n"/>
      <c r="E29" s="70" t="n"/>
    </row>
    <row r="30" ht="24" customHeight="1">
      <c r="A30" s="75" t="n"/>
      <c r="B30" s="68" t="n"/>
      <c r="C30" s="69" t="n"/>
      <c r="D30" s="69" t="n"/>
      <c r="E30" s="70" t="n"/>
    </row>
    <row r="31" ht="24" customHeight="1">
      <c r="A31" s="75" t="n"/>
      <c r="B31" s="68" t="n"/>
      <c r="C31" s="69" t="n"/>
      <c r="D31" s="69" t="n"/>
      <c r="E31" s="70" t="n"/>
    </row>
    <row r="32" ht="24" customHeight="1">
      <c r="A32" s="75" t="n"/>
      <c r="B32" s="68" t="n"/>
      <c r="C32" s="69" t="n"/>
      <c r="D32" s="69" t="n"/>
      <c r="E32" s="70" t="n"/>
    </row>
    <row r="33" ht="24" customHeight="1">
      <c r="A33" s="75" t="n"/>
      <c r="B33" s="68" t="n"/>
      <c r="C33" s="69" t="n"/>
      <c r="D33" s="69" t="n"/>
      <c r="E33" s="70" t="n"/>
    </row>
    <row r="34" ht="24" customHeight="1">
      <c r="A34" s="75" t="n"/>
      <c r="B34" s="68" t="n"/>
      <c r="C34" s="69" t="n"/>
      <c r="D34" s="69" t="n"/>
      <c r="E34" s="70" t="n"/>
    </row>
  </sheetData>
  <mergeCells count="2">
    <mergeCell ref="A2:E2"/>
    <mergeCell ref="A1:E1"/>
  </mergeCells>
  <conditionalFormatting sqref="A4:E34">
    <cfRule type="expression" priority="1" dxfId="15">
      <formula>$D4="✔"</formula>
    </cfRule>
  </conditionalFormatting>
  <dataValidations count="2">
    <dataValidation sqref="A4:A34" showDropDown="0" showInputMessage="0" showErrorMessage="0" allowBlank="1" type="list">
      <formula1>"שישי,שבת,מוצאי שבת,חמישי,תחילת השבוע,שישי בבוקר"</formula1>
    </dataValidation>
    <dataValidation sqref="D4:D34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5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9" customWidth="1" min="7" max="7"/>
  </cols>
  <sheetData>
    <row r="1" ht="36" customHeight="1">
      <c r="A1" s="5" t="inlineStr">
        <is>
          <t>רשימת קניות</t>
        </is>
      </c>
    </row>
    <row r="2" ht="20" customHeight="1">
      <c r="A2" s="24" t="inlineStr">
        <is>
          <t>מחושב מ«תפריט השבת» × «מתכונים». עמודת «תוספת ידנית» היא לכל מה שלא עובר דרך מתכון — פירות לקידוש, חלב, פיצוחים לטיש. מצרכי מלאי קבוע אינם כאן אלא בגיליון «לבדוק במטבח».</t>
        </is>
      </c>
    </row>
    <row r="3" ht="24" customHeight="1">
      <c r="A3" s="16" t="inlineStr">
        <is>
          <t>קטגוריה</t>
        </is>
      </c>
      <c r="B3" s="16" t="inlineStr">
        <is>
          <t>מצרך</t>
        </is>
      </c>
      <c r="C3" s="16" t="inlineStr">
        <is>
          <t>ממתכונים</t>
        </is>
      </c>
      <c r="D3" s="16" t="inlineStr">
        <is>
          <t>תוספת ידנית</t>
        </is>
      </c>
      <c r="E3" s="16" t="inlineStr">
        <is>
          <t>סה"כ</t>
        </is>
      </c>
      <c r="F3" s="16" t="inlineStr">
        <is>
          <t>יחידה</t>
        </is>
      </c>
      <c r="G3" s="16" t="inlineStr">
        <is>
          <t>נקנה</t>
        </is>
      </c>
    </row>
    <row r="4" ht="20" customHeight="1">
      <c r="A4" s="76" t="inlineStr">
        <is>
          <t>יבשים ואפייה</t>
        </is>
      </c>
      <c r="B4" s="19" t="inlineStr">
        <is>
          <t>ביסקוויטים</t>
        </is>
      </c>
      <c r="C4" s="77">
        <f>SUMIF('מתכונים'!$B$3:$B$252,$B4,'מתכונים'!$F$3:$F$252)</f>
        <v/>
      </c>
      <c r="D4" s="78" t="n"/>
      <c r="E4" s="79">
        <f>N($C4)+N($D4)</f>
        <v/>
      </c>
      <c r="F4" s="76" t="inlineStr">
        <is>
          <t>חבילה</t>
        </is>
      </c>
      <c r="G4" s="69" t="n"/>
    </row>
    <row r="5" ht="20" customHeight="1">
      <c r="A5" s="76" t="inlineStr">
        <is>
          <t>יבשים ואפייה</t>
        </is>
      </c>
      <c r="B5" s="19" t="inlineStr">
        <is>
          <t>פירורי ביסקוויט</t>
        </is>
      </c>
      <c r="C5" s="77">
        <f>SUMIF('מתכונים'!$B$3:$B$252,$B5,'מתכונים'!$F$3:$F$252)</f>
        <v/>
      </c>
      <c r="D5" s="78" t="n"/>
      <c r="E5" s="79">
        <f>N($C5)+N($D5)</f>
        <v/>
      </c>
      <c r="F5" s="76" t="inlineStr">
        <is>
          <t>ק"ג</t>
        </is>
      </c>
      <c r="G5" s="69" t="n"/>
    </row>
    <row r="6" ht="20" customHeight="1">
      <c r="A6" s="76" t="inlineStr">
        <is>
          <t>יבשים ואפייה</t>
        </is>
      </c>
      <c r="B6" s="19" t="inlineStr">
        <is>
          <t>קורנפלקס</t>
        </is>
      </c>
      <c r="C6" s="77">
        <f>SUMIF('מתכונים'!$B$3:$B$252,$B6,'מתכונים'!$F$3:$F$252)</f>
        <v/>
      </c>
      <c r="D6" s="78" t="n"/>
      <c r="E6" s="79">
        <f>N($C6)+N($D6)</f>
        <v/>
      </c>
      <c r="F6" s="76" t="inlineStr">
        <is>
          <t>חבילה</t>
        </is>
      </c>
      <c r="G6" s="69" t="n"/>
    </row>
    <row r="7" ht="20" customHeight="1">
      <c r="A7" s="76" t="inlineStr">
        <is>
          <t>יבשים ואפייה</t>
        </is>
      </c>
      <c r="B7" s="19" t="inlineStr">
        <is>
          <t>שוקולד מריר</t>
        </is>
      </c>
      <c r="C7" s="77">
        <f>SUMIF('מתכונים'!$B$3:$B$252,$B7,'מתכונים'!$F$3:$F$252)</f>
        <v/>
      </c>
      <c r="D7" s="78" t="n"/>
      <c r="E7" s="79">
        <f>N($C7)+N($D7)</f>
        <v/>
      </c>
      <c r="F7" s="76" t="inlineStr">
        <is>
          <t>ק"ג</t>
        </is>
      </c>
      <c r="G7" s="69" t="n"/>
    </row>
    <row r="8" ht="20" customHeight="1">
      <c r="A8" s="76" t="inlineStr">
        <is>
          <t>יבשים ואפייה</t>
        </is>
      </c>
      <c r="B8" s="19" t="inlineStr">
        <is>
          <t>שוקולד צ'יפס</t>
        </is>
      </c>
      <c r="C8" s="77">
        <f>SUMIF('מתכונים'!$B$3:$B$252,$B8,'מתכונים'!$F$3:$F$252)</f>
        <v/>
      </c>
      <c r="D8" s="78" t="n"/>
      <c r="E8" s="79">
        <f>N($C8)+N($D8)</f>
        <v/>
      </c>
      <c r="F8" s="76" t="inlineStr">
        <is>
          <t>ק"ג</t>
        </is>
      </c>
      <c r="G8" s="69" t="n"/>
    </row>
    <row r="9" ht="20" customHeight="1">
      <c r="A9" s="76" t="inlineStr">
        <is>
          <t>יבשים ואפייה</t>
        </is>
      </c>
      <c r="B9" s="19" t="inlineStr">
        <is>
          <t>שמרים טריים</t>
        </is>
      </c>
      <c r="C9" s="77">
        <f>SUMIF('מתכונים'!$B$3:$B$252,$B9,'מתכונים'!$F$3:$F$252)</f>
        <v/>
      </c>
      <c r="D9" s="78" t="n"/>
      <c r="E9" s="79">
        <f>N($C9)+N($D9)</f>
        <v/>
      </c>
      <c r="F9" s="76" t="inlineStr">
        <is>
          <t>חבילה</t>
        </is>
      </c>
      <c r="G9" s="69" t="n"/>
    </row>
    <row r="10" ht="20" customHeight="1">
      <c r="A10" s="76" t="inlineStr">
        <is>
          <t>ירקות ופירות</t>
        </is>
      </c>
      <c r="B10" s="19" t="inlineStr">
        <is>
          <t>בננות</t>
        </is>
      </c>
      <c r="C10" s="77">
        <f>SUMIF('מתכונים'!$B$3:$B$252,$B10,'מתכונים'!$F$3:$F$252)</f>
        <v/>
      </c>
      <c r="D10" s="78" t="n"/>
      <c r="E10" s="79">
        <f>N($C10)+N($D10)</f>
        <v/>
      </c>
      <c r="F10" s="76" t="inlineStr">
        <is>
          <t>ק"ג</t>
        </is>
      </c>
      <c r="G10" s="69" t="n"/>
    </row>
    <row r="11" ht="20" customHeight="1">
      <c r="A11" s="76" t="inlineStr">
        <is>
          <t>ירקות ופירות</t>
        </is>
      </c>
      <c r="B11" s="19" t="inlineStr">
        <is>
          <t>בצל</t>
        </is>
      </c>
      <c r="C11" s="77">
        <f>SUMIF('מתכונים'!$B$3:$B$252,$B11,'מתכונים'!$F$3:$F$252)</f>
        <v/>
      </c>
      <c r="D11" s="78" t="n"/>
      <c r="E11" s="79">
        <f>N($C11)+N($D11)</f>
        <v/>
      </c>
      <c r="F11" s="76" t="inlineStr">
        <is>
          <t>ק"ג</t>
        </is>
      </c>
      <c r="G11" s="69" t="n"/>
    </row>
    <row r="12" ht="20" customHeight="1">
      <c r="A12" s="76" t="inlineStr">
        <is>
          <t>ירקות ופירות</t>
        </is>
      </c>
      <c r="B12" s="19" t="inlineStr">
        <is>
          <t>גזר</t>
        </is>
      </c>
      <c r="C12" s="77">
        <f>SUMIF('מתכונים'!$B$3:$B$252,$B12,'מתכונים'!$F$3:$F$252)</f>
        <v/>
      </c>
      <c r="D12" s="78" t="n"/>
      <c r="E12" s="79">
        <f>N($C12)+N($D12)</f>
        <v/>
      </c>
      <c r="F12" s="76" t="inlineStr">
        <is>
          <t>ק"ג</t>
        </is>
      </c>
      <c r="G12" s="69" t="n"/>
    </row>
    <row r="13" ht="20" customHeight="1">
      <c r="A13" s="76" t="inlineStr">
        <is>
          <t>ירקות ופירות</t>
        </is>
      </c>
      <c r="B13" s="19" t="inlineStr">
        <is>
          <t>חצילים</t>
        </is>
      </c>
      <c r="C13" s="77">
        <f>SUMIF('מתכונים'!$B$3:$B$252,$B13,'מתכונים'!$F$3:$F$252)</f>
        <v/>
      </c>
      <c r="D13" s="78" t="n"/>
      <c r="E13" s="79">
        <f>N($C13)+N($D13)</f>
        <v/>
      </c>
      <c r="F13" s="76" t="inlineStr">
        <is>
          <t>ק"ג</t>
        </is>
      </c>
      <c r="G13" s="69" t="n"/>
    </row>
    <row r="14" ht="20" customHeight="1">
      <c r="A14" s="76" t="inlineStr">
        <is>
          <t>ירקות ופירות</t>
        </is>
      </c>
      <c r="B14" s="19" t="inlineStr">
        <is>
          <t>לימונים</t>
        </is>
      </c>
      <c r="C14" s="77">
        <f>SUMIF('מתכונים'!$B$3:$B$252,$B14,'מתכונים'!$F$3:$F$252)</f>
        <v/>
      </c>
      <c r="D14" s="78" t="n"/>
      <c r="E14" s="79">
        <f>N($C14)+N($D14)</f>
        <v/>
      </c>
      <c r="F14" s="76" t="inlineStr">
        <is>
          <t>ק"ג</t>
        </is>
      </c>
      <c r="G14" s="69" t="n"/>
    </row>
    <row r="15" ht="20" customHeight="1">
      <c r="A15" s="76" t="inlineStr">
        <is>
          <t>ירקות ופירות</t>
        </is>
      </c>
      <c r="B15" s="19" t="inlineStr">
        <is>
          <t>מלון</t>
        </is>
      </c>
      <c r="C15" s="77">
        <f>SUMIF('מתכונים'!$B$3:$B$252,$B15,'מתכונים'!$F$3:$F$252)</f>
        <v/>
      </c>
      <c r="D15" s="78" t="n"/>
      <c r="E15" s="79">
        <f>N($C15)+N($D15)</f>
        <v/>
      </c>
      <c r="F15" s="76" t="inlineStr">
        <is>
          <t>יחידה</t>
        </is>
      </c>
      <c r="G15" s="69" t="n"/>
    </row>
    <row r="16" ht="20" customHeight="1">
      <c r="A16" s="76" t="inlineStr">
        <is>
          <t>ירקות ופירות</t>
        </is>
      </c>
      <c r="B16" s="19" t="inlineStr">
        <is>
          <t>מלפפונים</t>
        </is>
      </c>
      <c r="C16" s="77">
        <f>SUMIF('מתכונים'!$B$3:$B$252,$B16,'מתכונים'!$F$3:$F$252)</f>
        <v/>
      </c>
      <c r="D16" s="78" t="n"/>
      <c r="E16" s="79">
        <f>N($C16)+N($D16)</f>
        <v/>
      </c>
      <c r="F16" s="76" t="inlineStr">
        <is>
          <t>ק"ג</t>
        </is>
      </c>
      <c r="G16" s="69" t="n"/>
    </row>
    <row r="17" ht="20" customHeight="1">
      <c r="A17" s="76" t="inlineStr">
        <is>
          <t>ירקות ופירות</t>
        </is>
      </c>
      <c r="B17" s="19" t="inlineStr">
        <is>
          <t>עגבניות</t>
        </is>
      </c>
      <c r="C17" s="77">
        <f>SUMIF('מתכונים'!$B$3:$B$252,$B17,'מתכונים'!$F$3:$F$252)</f>
        <v/>
      </c>
      <c r="D17" s="78" t="n"/>
      <c r="E17" s="79">
        <f>N($C17)+N($D17)</f>
        <v/>
      </c>
      <c r="F17" s="76" t="inlineStr">
        <is>
          <t>ק"ג</t>
        </is>
      </c>
      <c r="G17" s="69" t="n"/>
    </row>
    <row r="18" ht="20" customHeight="1">
      <c r="A18" s="76" t="inlineStr">
        <is>
          <t>ירקות ופירות</t>
        </is>
      </c>
      <c r="B18" s="19" t="inlineStr">
        <is>
          <t>פומלה</t>
        </is>
      </c>
      <c r="C18" s="77">
        <f>SUMIF('מתכונים'!$B$3:$B$252,$B18,'מתכונים'!$F$3:$F$252)</f>
        <v/>
      </c>
      <c r="D18" s="78" t="n"/>
      <c r="E18" s="79">
        <f>N($C18)+N($D18)</f>
        <v/>
      </c>
      <c r="F18" s="76" t="inlineStr">
        <is>
          <t>יחידה</t>
        </is>
      </c>
      <c r="G18" s="69" t="n"/>
    </row>
    <row r="19" ht="20" customHeight="1">
      <c r="A19" s="76" t="inlineStr">
        <is>
          <t>ירקות ופירות</t>
        </is>
      </c>
      <c r="B19" s="19" t="inlineStr">
        <is>
          <t>פטרוזיליה</t>
        </is>
      </c>
      <c r="C19" s="77">
        <f>SUMIF('מתכונים'!$B$3:$B$252,$B19,'מתכונים'!$F$3:$F$252)</f>
        <v/>
      </c>
      <c r="D19" s="78" t="n"/>
      <c r="E19" s="79">
        <f>N($C19)+N($D19)</f>
        <v/>
      </c>
      <c r="F19" s="76" t="inlineStr">
        <is>
          <t>צרור</t>
        </is>
      </c>
      <c r="G19" s="69" t="n"/>
    </row>
    <row r="20" ht="20" customHeight="1">
      <c r="A20" s="76" t="inlineStr">
        <is>
          <t>ירקות ופירות</t>
        </is>
      </c>
      <c r="B20" s="19" t="inlineStr">
        <is>
          <t>פיצוחים לטיש</t>
        </is>
      </c>
      <c r="C20" s="77">
        <f>SUMIF('מתכונים'!$B$3:$B$252,$B20,'מתכונים'!$F$3:$F$252)</f>
        <v/>
      </c>
      <c r="D20" s="78" t="n"/>
      <c r="E20" s="79">
        <f>N($C20)+N($D20)</f>
        <v/>
      </c>
      <c r="F20" s="76" t="inlineStr">
        <is>
          <t>ק"ג</t>
        </is>
      </c>
      <c r="G20" s="69" t="n"/>
    </row>
    <row r="21" ht="20" customHeight="1">
      <c r="A21" s="76" t="inlineStr">
        <is>
          <t>ירקות ופירות</t>
        </is>
      </c>
      <c r="B21" s="19" t="inlineStr">
        <is>
          <t>פלפלים</t>
        </is>
      </c>
      <c r="C21" s="77">
        <f>SUMIF('מתכונים'!$B$3:$B$252,$B21,'מתכונים'!$F$3:$F$252)</f>
        <v/>
      </c>
      <c r="D21" s="78" t="n"/>
      <c r="E21" s="79">
        <f>N($C21)+N($D21)</f>
        <v/>
      </c>
      <c r="F21" s="76" t="inlineStr">
        <is>
          <t>ק"ג</t>
        </is>
      </c>
      <c r="G21" s="69" t="n"/>
    </row>
    <row r="22" ht="20" customHeight="1">
      <c r="A22" s="76" t="inlineStr">
        <is>
          <t>ירקות ופירות</t>
        </is>
      </c>
      <c r="B22" s="19" t="inlineStr">
        <is>
          <t>פסיפלורה</t>
        </is>
      </c>
      <c r="C22" s="77">
        <f>SUMIF('מתכונים'!$B$3:$B$252,$B22,'מתכונים'!$F$3:$F$252)</f>
        <v/>
      </c>
      <c r="D22" s="78" t="n"/>
      <c r="E22" s="79">
        <f>N($C22)+N($D22)</f>
        <v/>
      </c>
      <c r="F22" s="76" t="inlineStr">
        <is>
          <t>קופסה</t>
        </is>
      </c>
      <c r="G22" s="69" t="n"/>
    </row>
    <row r="23" ht="20" customHeight="1">
      <c r="A23" s="76" t="inlineStr">
        <is>
          <t>ירקות ופירות</t>
        </is>
      </c>
      <c r="B23" s="19" t="inlineStr">
        <is>
          <t>קיווי</t>
        </is>
      </c>
      <c r="C23" s="77">
        <f>SUMIF('מתכונים'!$B$3:$B$252,$B23,'מתכונים'!$F$3:$F$252)</f>
        <v/>
      </c>
      <c r="D23" s="78" t="n"/>
      <c r="E23" s="79">
        <f>N($C23)+N($D23)</f>
        <v/>
      </c>
      <c r="F23" s="76" t="inlineStr">
        <is>
          <t>ק"ג</t>
        </is>
      </c>
      <c r="G23" s="69" t="n"/>
    </row>
    <row r="24" ht="20" customHeight="1">
      <c r="A24" s="76" t="inlineStr">
        <is>
          <t>ירקות ופירות</t>
        </is>
      </c>
      <c r="B24" s="19" t="inlineStr">
        <is>
          <t>תמרים</t>
        </is>
      </c>
      <c r="C24" s="77">
        <f>SUMIF('מתכונים'!$B$3:$B$252,$B24,'מתכונים'!$F$3:$F$252)</f>
        <v/>
      </c>
      <c r="D24" s="78" t="n"/>
      <c r="E24" s="79">
        <f>N($C24)+N($D24)</f>
        <v/>
      </c>
      <c r="F24" s="76" t="inlineStr">
        <is>
          <t>ק"ג</t>
        </is>
      </c>
      <c r="G24" s="69" t="n"/>
    </row>
    <row r="25" ht="20" customHeight="1">
      <c r="A25" s="76" t="inlineStr">
        <is>
          <t>ירקות ופירות</t>
        </is>
      </c>
      <c r="B25" s="19" t="inlineStr">
        <is>
          <t>תפוחים</t>
        </is>
      </c>
      <c r="C25" s="77">
        <f>SUMIF('מתכונים'!$B$3:$B$252,$B25,'מתכונים'!$F$3:$F$252)</f>
        <v/>
      </c>
      <c r="D25" s="78" t="n"/>
      <c r="E25" s="79">
        <f>N($C25)+N($D25)</f>
        <v/>
      </c>
      <c r="F25" s="76" t="inlineStr">
        <is>
          <t>ק"ג</t>
        </is>
      </c>
      <c r="G25" s="69" t="n"/>
    </row>
    <row r="26" ht="20" customHeight="1">
      <c r="A26" s="76" t="inlineStr">
        <is>
          <t>לחם ומאפים</t>
        </is>
      </c>
      <c r="B26" s="19" t="inlineStr">
        <is>
          <t>לחם</t>
        </is>
      </c>
      <c r="C26" s="77">
        <f>SUMIF('מתכונים'!$B$3:$B$252,$B26,'מתכונים'!$F$3:$F$252)</f>
        <v/>
      </c>
      <c r="D26" s="78" t="n"/>
      <c r="E26" s="79">
        <f>N($C26)+N($D26)</f>
        <v/>
      </c>
      <c r="F26" s="76" t="inlineStr">
        <is>
          <t>כיכר</t>
        </is>
      </c>
      <c r="G26" s="69" t="n"/>
    </row>
    <row r="27" ht="20" customHeight="1">
      <c r="A27" s="76" t="inlineStr">
        <is>
          <t>לחם ומאפים</t>
        </is>
      </c>
      <c r="B27" s="19" t="inlineStr">
        <is>
          <t>פיתות</t>
        </is>
      </c>
      <c r="C27" s="77">
        <f>SUMIF('מתכונים'!$B$3:$B$252,$B27,'מתכונים'!$F$3:$F$252)</f>
        <v/>
      </c>
      <c r="D27" s="78" t="n"/>
      <c r="E27" s="79">
        <f>N($C27)+N($D27)</f>
        <v/>
      </c>
      <c r="F27" s="76" t="inlineStr">
        <is>
          <t>חבילה</t>
        </is>
      </c>
      <c r="G27" s="69" t="n"/>
    </row>
    <row r="28" ht="20" customHeight="1">
      <c r="A28" s="76" t="inlineStr">
        <is>
          <t>מוצרי חלב וביצים</t>
        </is>
      </c>
      <c r="B28" s="19" t="inlineStr">
        <is>
          <t>ביצים</t>
        </is>
      </c>
      <c r="C28" s="77">
        <f>SUMIF('מתכונים'!$B$3:$B$252,$B28,'מתכונים'!$F$3:$F$252)</f>
        <v/>
      </c>
      <c r="D28" s="78" t="n"/>
      <c r="E28" s="79">
        <f>N($C28)+N($D28)</f>
        <v/>
      </c>
      <c r="F28" s="76" t="inlineStr">
        <is>
          <t>יחידה</t>
        </is>
      </c>
      <c r="G28" s="69" t="n"/>
    </row>
    <row r="29" ht="20" customHeight="1">
      <c r="A29" s="76" t="inlineStr">
        <is>
          <t>מוצרי חלב וביצים</t>
        </is>
      </c>
      <c r="B29" s="19" t="inlineStr">
        <is>
          <t>גבינה לבנה</t>
        </is>
      </c>
      <c r="C29" s="77">
        <f>SUMIF('מתכונים'!$B$3:$B$252,$B29,'מתכונים'!$F$3:$F$252)</f>
        <v/>
      </c>
      <c r="D29" s="78" t="n"/>
      <c r="E29" s="79">
        <f>N($C29)+N($D29)</f>
        <v/>
      </c>
      <c r="F29" s="76" t="inlineStr">
        <is>
          <t>ק"ג</t>
        </is>
      </c>
      <c r="G29" s="69" t="n"/>
    </row>
    <row r="30" ht="20" customHeight="1">
      <c r="A30" s="76" t="inlineStr">
        <is>
          <t>מוצרי חלב וביצים</t>
        </is>
      </c>
      <c r="B30" s="19" t="inlineStr">
        <is>
          <t>גבינה צהובה</t>
        </is>
      </c>
      <c r="C30" s="77">
        <f>SUMIF('מתכונים'!$B$3:$B$252,$B30,'מתכונים'!$F$3:$F$252)</f>
        <v/>
      </c>
      <c r="D30" s="78" t="n"/>
      <c r="E30" s="79">
        <f>N($C30)+N($D30)</f>
        <v/>
      </c>
      <c r="F30" s="76" t="inlineStr">
        <is>
          <t>ק"ג</t>
        </is>
      </c>
      <c r="G30" s="69" t="n"/>
    </row>
    <row r="31" ht="20" customHeight="1">
      <c r="A31" s="76" t="inlineStr">
        <is>
          <t>מוצרי חלב וביצים</t>
        </is>
      </c>
      <c r="B31" s="19" t="inlineStr">
        <is>
          <t>חלב</t>
        </is>
      </c>
      <c r="C31" s="77">
        <f>SUMIF('מתכונים'!$B$3:$B$252,$B31,'מתכונים'!$F$3:$F$252)</f>
        <v/>
      </c>
      <c r="D31" s="78" t="n"/>
      <c r="E31" s="79">
        <f>N($C31)+N($D31)</f>
        <v/>
      </c>
      <c r="F31" s="76" t="inlineStr">
        <is>
          <t>ליטר</t>
        </is>
      </c>
      <c r="G31" s="69" t="n"/>
    </row>
    <row r="32" ht="20" customHeight="1">
      <c r="A32" s="76" t="inlineStr">
        <is>
          <t>מוצרי חלב וביצים</t>
        </is>
      </c>
      <c r="B32" s="19" t="inlineStr">
        <is>
          <t>חלב סויה / שקדים</t>
        </is>
      </c>
      <c r="C32" s="77">
        <f>SUMIF('מתכונים'!$B$3:$B$252,$B32,'מתכונים'!$F$3:$F$252)</f>
        <v/>
      </c>
      <c r="D32" s="78" t="n"/>
      <c r="E32" s="79">
        <f>N($C32)+N($D32)</f>
        <v/>
      </c>
      <c r="F32" s="76" t="inlineStr">
        <is>
          <t>ליטר</t>
        </is>
      </c>
      <c r="G32" s="69" t="n"/>
    </row>
    <row r="33" ht="20" customHeight="1">
      <c r="A33" s="76" t="inlineStr">
        <is>
          <t>מוצרי חלב וביצים</t>
        </is>
      </c>
      <c r="B33" s="19" t="inlineStr">
        <is>
          <t>חמאה</t>
        </is>
      </c>
      <c r="C33" s="77">
        <f>SUMIF('מתכונים'!$B$3:$B$252,$B33,'מתכונים'!$F$3:$F$252)</f>
        <v/>
      </c>
      <c r="D33" s="78" t="n"/>
      <c r="E33" s="79">
        <f>N($C33)+N($D33)</f>
        <v/>
      </c>
      <c r="F33" s="76" t="inlineStr">
        <is>
          <t>חבילה</t>
        </is>
      </c>
      <c r="G33" s="69" t="n"/>
    </row>
    <row r="34" ht="20" customHeight="1">
      <c r="A34" s="76" t="inlineStr">
        <is>
          <t>מוצרי חלב וביצים</t>
        </is>
      </c>
      <c r="B34" s="19" t="inlineStr">
        <is>
          <t>לבנה</t>
        </is>
      </c>
      <c r="C34" s="77">
        <f>SUMIF('מתכונים'!$B$3:$B$252,$B34,'מתכונים'!$F$3:$F$252)</f>
        <v/>
      </c>
      <c r="D34" s="78" t="n"/>
      <c r="E34" s="79">
        <f>N($C34)+N($D34)</f>
        <v/>
      </c>
      <c r="F34" s="76" t="inlineStr">
        <is>
          <t>ק"ג</t>
        </is>
      </c>
      <c r="G34" s="69" t="n"/>
    </row>
    <row r="35" ht="20" customHeight="1">
      <c r="A35" s="76" t="inlineStr">
        <is>
          <t>מוצרי חלב וביצים</t>
        </is>
      </c>
      <c r="B35" s="19" t="inlineStr">
        <is>
          <t>מרגרינה</t>
        </is>
      </c>
      <c r="C35" s="77">
        <f>SUMIF('מתכונים'!$B$3:$B$252,$B35,'מתכונים'!$F$3:$F$252)</f>
        <v/>
      </c>
      <c r="D35" s="78" t="n"/>
      <c r="E35" s="79">
        <f>N($C35)+N($D35)</f>
        <v/>
      </c>
      <c r="F35" s="76" t="inlineStr">
        <is>
          <t>חבילה</t>
        </is>
      </c>
      <c r="G35" s="69" t="n"/>
    </row>
    <row r="36" ht="20" customHeight="1">
      <c r="A36" s="76" t="inlineStr">
        <is>
          <t>מוצרי חלב וביצים</t>
        </is>
      </c>
      <c r="B36" s="19" t="inlineStr">
        <is>
          <t>שמנת מתוקה</t>
        </is>
      </c>
      <c r="C36" s="77">
        <f>SUMIF('מתכונים'!$B$3:$B$252,$B36,'מתכונים'!$F$3:$F$252)</f>
        <v/>
      </c>
      <c r="D36" s="78" t="n"/>
      <c r="E36" s="79">
        <f>N($C36)+N($D36)</f>
        <v/>
      </c>
      <c r="F36" s="76" t="inlineStr">
        <is>
          <t>ליטר</t>
        </is>
      </c>
      <c r="G36" s="69" t="n"/>
    </row>
    <row r="37" ht="20" customHeight="1">
      <c r="A37" s="76" t="inlineStr">
        <is>
          <t>קפואים</t>
        </is>
      </c>
      <c r="B37" s="19" t="inlineStr">
        <is>
          <t>בית לזית</t>
        </is>
      </c>
      <c r="C37" s="77">
        <f>SUMIF('מתכונים'!$B$3:$B$252,$B37,'מתכונים'!$F$3:$F$252)</f>
        <v/>
      </c>
      <c r="D37" s="78" t="n"/>
      <c r="E37" s="79">
        <f>N($C37)+N($D37)</f>
        <v/>
      </c>
      <c r="F37" s="76" t="inlineStr">
        <is>
          <t>חבילה</t>
        </is>
      </c>
      <c r="G37" s="69" t="n"/>
    </row>
    <row r="38" ht="20" customHeight="1">
      <c r="A38" s="76" t="inlineStr">
        <is>
          <t>קפואים</t>
        </is>
      </c>
      <c r="B38" s="19" t="inlineStr">
        <is>
          <t>ג'חנון</t>
        </is>
      </c>
      <c r="C38" s="77">
        <f>SUMIF('מתכונים'!$B$3:$B$252,$B38,'מתכונים'!$F$3:$F$252)</f>
        <v/>
      </c>
      <c r="D38" s="78" t="n"/>
      <c r="E38" s="79">
        <f>N($C38)+N($D38)</f>
        <v/>
      </c>
      <c r="F38" s="76" t="inlineStr">
        <is>
          <t>חבילה</t>
        </is>
      </c>
      <c r="G38" s="69" t="n"/>
    </row>
    <row r="39" ht="20" customHeight="1">
      <c r="A39" s="76" t="inlineStr">
        <is>
          <t>קפואים</t>
        </is>
      </c>
      <c r="B39" s="19" t="inlineStr">
        <is>
          <t>כנאפה</t>
        </is>
      </c>
      <c r="C39" s="77">
        <f>SUMIF('מתכונים'!$B$3:$B$252,$B39,'מתכונים'!$F$3:$F$252)</f>
        <v/>
      </c>
      <c r="D39" s="78" t="n"/>
      <c r="E39" s="79">
        <f>N($C39)+N($D39)</f>
        <v/>
      </c>
      <c r="F39" s="76" t="inlineStr">
        <is>
          <t>חבילה</t>
        </is>
      </c>
      <c r="G39" s="69" t="n"/>
    </row>
    <row r="40" ht="20" customHeight="1">
      <c r="A40" s="76" t="inlineStr">
        <is>
          <t>קפואים</t>
        </is>
      </c>
      <c r="B40" s="19" t="inlineStr">
        <is>
          <t>צ'יפס קפוא</t>
        </is>
      </c>
      <c r="C40" s="77">
        <f>SUMIF('מתכונים'!$B$3:$B$252,$B40,'מתכונים'!$F$3:$F$252)</f>
        <v/>
      </c>
      <c r="D40" s="78" t="n"/>
      <c r="E40" s="79">
        <f>N($C40)+N($D40)</f>
        <v/>
      </c>
      <c r="F40" s="76" t="inlineStr">
        <is>
          <t>ק"ג</t>
        </is>
      </c>
      <c r="G40" s="69" t="n"/>
    </row>
    <row r="41" ht="20" customHeight="1">
      <c r="A41" s="76" t="inlineStr">
        <is>
          <t>שימורים ורטבים</t>
        </is>
      </c>
      <c r="B41" s="19" t="inlineStr">
        <is>
          <t>סחוג</t>
        </is>
      </c>
      <c r="C41" s="77">
        <f>SUMIF('מתכונים'!$B$3:$B$252,$B41,'מתכונים'!$F$3:$F$252)</f>
        <v/>
      </c>
      <c r="D41" s="78" t="n"/>
      <c r="E41" s="79">
        <f>N($C41)+N($D41)</f>
        <v/>
      </c>
      <c r="F41" s="76" t="inlineStr">
        <is>
          <t>קופסה</t>
        </is>
      </c>
      <c r="G41" s="69" t="n"/>
    </row>
    <row r="42" ht="20" customHeight="1">
      <c r="A42" s="76" t="inlineStr">
        <is>
          <t>שתייה</t>
        </is>
      </c>
      <c r="B42" s="19" t="inlineStr">
        <is>
          <t>מיץ ענבים / יין לקידוש</t>
        </is>
      </c>
      <c r="C42" s="77">
        <f>SUMIF('מתכונים'!$B$3:$B$252,$B42,'מתכונים'!$F$3:$F$252)</f>
        <v/>
      </c>
      <c r="D42" s="78" t="n"/>
      <c r="E42" s="79">
        <f>N($C42)+N($D42)</f>
        <v/>
      </c>
      <c r="F42" s="76" t="inlineStr">
        <is>
          <t>בקבוק</t>
        </is>
      </c>
      <c r="G42" s="69" t="n"/>
    </row>
    <row r="43" ht="20" customHeight="1">
      <c r="A43" s="76" t="inlineStr">
        <is>
          <t>שתייה</t>
        </is>
      </c>
      <c r="B43" s="19" t="inlineStr">
        <is>
          <t>שתייה קלה</t>
        </is>
      </c>
      <c r="C43" s="77">
        <f>SUMIF('מתכונים'!$B$3:$B$252,$B43,'מתכונים'!$F$3:$F$252)</f>
        <v/>
      </c>
      <c r="D43" s="78" t="n"/>
      <c r="E43" s="79">
        <f>N($C43)+N($D43)</f>
        <v/>
      </c>
      <c r="F43" s="76" t="inlineStr">
        <is>
          <t>בקבוק</t>
        </is>
      </c>
      <c r="G43" s="69" t="n"/>
    </row>
    <row r="44" ht="20" customHeight="1">
      <c r="A44" s="69" t="n"/>
      <c r="B44" s="80" t="n"/>
      <c r="C44" s="76" t="n"/>
      <c r="D44" s="78" t="n"/>
      <c r="E44" s="79">
        <f>N($C44)+N($D44)</f>
        <v/>
      </c>
      <c r="F44" s="69" t="n"/>
      <c r="G44" s="69" t="n"/>
    </row>
    <row r="45" ht="20" customHeight="1">
      <c r="A45" s="69" t="n"/>
      <c r="B45" s="80" t="n"/>
      <c r="C45" s="76" t="n"/>
      <c r="D45" s="78" t="n"/>
      <c r="E45" s="79">
        <f>N($C45)+N($D45)</f>
        <v/>
      </c>
      <c r="F45" s="69" t="n"/>
      <c r="G45" s="69" t="n"/>
    </row>
    <row r="46" ht="20" customHeight="1">
      <c r="A46" s="69" t="n"/>
      <c r="B46" s="80" t="n"/>
      <c r="C46" s="76" t="n"/>
      <c r="D46" s="78" t="n"/>
      <c r="E46" s="79">
        <f>N($C46)+N($D46)</f>
        <v/>
      </c>
      <c r="F46" s="69" t="n"/>
      <c r="G46" s="69" t="n"/>
    </row>
    <row r="47" ht="20" customHeight="1">
      <c r="A47" s="69" t="n"/>
      <c r="B47" s="80" t="n"/>
      <c r="C47" s="76" t="n"/>
      <c r="D47" s="78" t="n"/>
      <c r="E47" s="79">
        <f>N($C47)+N($D47)</f>
        <v/>
      </c>
      <c r="F47" s="69" t="n"/>
      <c r="G47" s="69" t="n"/>
    </row>
    <row r="48" ht="20" customHeight="1">
      <c r="A48" s="69" t="n"/>
      <c r="B48" s="80" t="n"/>
      <c r="C48" s="76" t="n"/>
      <c r="D48" s="78" t="n"/>
      <c r="E48" s="79">
        <f>N($C48)+N($D48)</f>
        <v/>
      </c>
      <c r="F48" s="69" t="n"/>
      <c r="G48" s="69" t="n"/>
    </row>
    <row r="49" ht="20" customHeight="1">
      <c r="A49" s="69" t="n"/>
      <c r="B49" s="80" t="n"/>
      <c r="C49" s="76" t="n"/>
      <c r="D49" s="78" t="n"/>
      <c r="E49" s="79">
        <f>N($C49)+N($D49)</f>
        <v/>
      </c>
      <c r="F49" s="69" t="n"/>
      <c r="G49" s="69" t="n"/>
    </row>
    <row r="50" ht="20" customHeight="1">
      <c r="A50" s="69" t="n"/>
      <c r="B50" s="80" t="n"/>
      <c r="C50" s="76" t="n"/>
      <c r="D50" s="78" t="n"/>
      <c r="E50" s="79">
        <f>N($C50)+N($D50)</f>
        <v/>
      </c>
      <c r="F50" s="69" t="n"/>
      <c r="G50" s="69" t="n"/>
    </row>
    <row r="51" ht="20" customHeight="1">
      <c r="A51" s="69" t="n"/>
      <c r="B51" s="80" t="n"/>
      <c r="C51" s="76" t="n"/>
      <c r="D51" s="78" t="n"/>
      <c r="E51" s="79">
        <f>N($C51)+N($D51)</f>
        <v/>
      </c>
      <c r="F51" s="69" t="n"/>
      <c r="G51" s="69" t="n"/>
    </row>
    <row r="52" ht="20" customHeight="1">
      <c r="A52" s="69" t="n"/>
      <c r="B52" s="80" t="n"/>
      <c r="C52" s="76" t="n"/>
      <c r="D52" s="78" t="n"/>
      <c r="E52" s="79">
        <f>N($C52)+N($D52)</f>
        <v/>
      </c>
      <c r="F52" s="69" t="n"/>
      <c r="G52" s="69" t="n"/>
    </row>
    <row r="53" ht="20" customHeight="1">
      <c r="A53" s="69" t="n"/>
      <c r="B53" s="80" t="n"/>
      <c r="C53" s="76" t="n"/>
      <c r="D53" s="78" t="n"/>
      <c r="E53" s="79">
        <f>N($C53)+N($D53)</f>
        <v/>
      </c>
      <c r="F53" s="69" t="n"/>
      <c r="G53" s="69" t="n"/>
    </row>
    <row r="54" ht="20" customHeight="1">
      <c r="A54" s="69" t="n"/>
      <c r="B54" s="80" t="n"/>
      <c r="C54" s="76" t="n"/>
      <c r="D54" s="78" t="n"/>
      <c r="E54" s="79">
        <f>N($C54)+N($D54)</f>
        <v/>
      </c>
      <c r="F54" s="69" t="n"/>
      <c r="G54" s="69" t="n"/>
    </row>
    <row r="55" ht="20" customHeight="1">
      <c r="A55" s="69" t="n"/>
      <c r="B55" s="80" t="n"/>
      <c r="C55" s="76" t="n"/>
      <c r="D55" s="78" t="n"/>
      <c r="E55" s="79">
        <f>N($C55)+N($D55)</f>
        <v/>
      </c>
      <c r="F55" s="69" t="n"/>
      <c r="G55" s="69" t="n"/>
    </row>
    <row r="57" ht="28" customHeight="1">
      <c r="A57" s="24" t="inlineStr">
        <is>
          <t>השורות המודגשות הן מה שצריך לקנות בפועל. אפשר לסנן לפי עמודת «סה"כ» או לפי קטגוריה, ולהדפיס. 12 השורות האחרונות פנויות למצרכים שאינם בקטלוג.</t>
        </is>
      </c>
    </row>
  </sheetData>
  <autoFilter ref="A3:G55"/>
  <mergeCells count="3">
    <mergeCell ref="A57:G57"/>
    <mergeCell ref="A2:G2"/>
    <mergeCell ref="A1:G1"/>
  </mergeCells>
  <conditionalFormatting sqref="A4:G55">
    <cfRule type="expression" priority="1" dxfId="16">
      <formula>$E4&gt;0</formula>
    </cfRule>
    <cfRule type="expression" priority="2" dxfId="17">
      <formula>$G4="✔"</formula>
    </cfRule>
  </conditionalFormatting>
  <dataValidations count="1">
    <dataValidation sqref="G4:G55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3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4" customWidth="1" min="5" max="5"/>
    <col width="34" customWidth="1" min="6" max="6"/>
  </cols>
  <sheetData>
    <row r="1" ht="36" customHeight="1">
      <c r="A1" s="5" t="inlineStr">
        <is>
          <t>לבדוק במטבח</t>
        </is>
      </c>
    </row>
    <row r="2" ht="20" customHeight="1">
      <c r="A2" s="24" t="inlineStr">
        <is>
          <t>מצרכים שנמצאים תמיד במטבח — לא קונים אותם אוטומטית, רק מוודאים שיש מספיק. «דרוש השבת» מחושב מהמתכונים; «מינימום» הוא הרף שהגדרתם בקטלוג המצרכים.</t>
        </is>
      </c>
    </row>
    <row r="3" ht="24" customHeight="1">
      <c r="A3" s="16" t="inlineStr">
        <is>
          <t>מצרך</t>
        </is>
      </c>
      <c r="B3" s="16" t="inlineStr">
        <is>
          <t>דרוש השבת</t>
        </is>
      </c>
      <c r="C3" s="16" t="inlineStr">
        <is>
          <t>מינימום במלאי</t>
        </is>
      </c>
      <c r="D3" s="16" t="inlineStr">
        <is>
          <t>יחידה</t>
        </is>
      </c>
      <c r="E3" s="16" t="inlineStr">
        <is>
          <t>יש מספיק?</t>
        </is>
      </c>
      <c r="F3" s="16" t="inlineStr">
        <is>
          <t>הערה</t>
        </is>
      </c>
    </row>
    <row r="4" ht="20" customHeight="1">
      <c r="A4" s="19" t="inlineStr">
        <is>
          <t>אקונומיקה</t>
        </is>
      </c>
      <c r="B4" s="77">
        <f>SUMIF('מתכונים'!$B$3:$B$252,$A4,'מתכונים'!$F$3:$F$252)</f>
        <v/>
      </c>
      <c r="C4" s="81" t="n">
        <v>4</v>
      </c>
      <c r="D4" s="76" t="inlineStr">
        <is>
          <t>בקבוק</t>
        </is>
      </c>
      <c r="E4" s="69" t="n"/>
      <c r="F4" s="70" t="n"/>
    </row>
    <row r="5" ht="20" customHeight="1">
      <c r="A5" s="19" t="inlineStr">
        <is>
          <t>כוסות חד"פ</t>
        </is>
      </c>
      <c r="B5" s="77">
        <f>SUMIF('מתכונים'!$B$3:$B$252,$A5,'מתכונים'!$F$3:$F$252)</f>
        <v/>
      </c>
      <c r="C5" s="81" t="n">
        <v>10</v>
      </c>
      <c r="D5" s="76" t="inlineStr">
        <is>
          <t>חבילה</t>
        </is>
      </c>
      <c r="E5" s="69" t="n"/>
      <c r="F5" s="70" t="n"/>
    </row>
    <row r="6" ht="20" customHeight="1">
      <c r="A6" s="19" t="inlineStr">
        <is>
          <t>מגשי אלומיניום</t>
        </is>
      </c>
      <c r="B6" s="77">
        <f>SUMIF('מתכונים'!$B$3:$B$252,$A6,'מתכונים'!$F$3:$F$252)</f>
        <v/>
      </c>
      <c r="C6" s="81" t="n">
        <v>30</v>
      </c>
      <c r="D6" s="76" t="inlineStr">
        <is>
          <t>יחידה</t>
        </is>
      </c>
      <c r="E6" s="69" t="n"/>
      <c r="F6" s="70" t="n"/>
    </row>
    <row r="7" ht="20" customHeight="1">
      <c r="A7" s="19" t="inlineStr">
        <is>
          <t>ניילון נצמד</t>
        </is>
      </c>
      <c r="B7" s="77">
        <f>SUMIF('מתכונים'!$B$3:$B$252,$A7,'מתכונים'!$F$3:$F$252)</f>
        <v/>
      </c>
      <c r="C7" s="81" t="n">
        <v>3</v>
      </c>
      <c r="D7" s="76" t="inlineStr">
        <is>
          <t>גליל</t>
        </is>
      </c>
      <c r="E7" s="69" t="n"/>
      <c r="F7" s="70" t="n"/>
    </row>
    <row r="8" ht="20" customHeight="1">
      <c r="A8" s="19" t="inlineStr">
        <is>
          <t>נייר אפייה</t>
        </is>
      </c>
      <c r="B8" s="77">
        <f>SUMIF('מתכונים'!$B$3:$B$252,$A8,'מתכונים'!$F$3:$F$252)</f>
        <v/>
      </c>
      <c r="C8" s="81" t="n">
        <v>5</v>
      </c>
      <c r="D8" s="76" t="inlineStr">
        <is>
          <t>גליל</t>
        </is>
      </c>
      <c r="E8" s="69" t="n"/>
      <c r="F8" s="70" t="n"/>
    </row>
    <row r="9" ht="20" customHeight="1">
      <c r="A9" s="19" t="inlineStr">
        <is>
          <t>נייר טואלט</t>
        </is>
      </c>
      <c r="B9" s="77">
        <f>SUMIF('מתכונים'!$B$3:$B$252,$A9,'מתכונים'!$F$3:$F$252)</f>
        <v/>
      </c>
      <c r="C9" s="81" t="n">
        <v>24</v>
      </c>
      <c r="D9" s="76" t="inlineStr">
        <is>
          <t>גליל</t>
        </is>
      </c>
      <c r="E9" s="69" t="n"/>
      <c r="F9" s="70" t="n"/>
    </row>
    <row r="10" ht="20" customHeight="1">
      <c r="A10" s="19" t="inlineStr">
        <is>
          <t>ניירות ניגוב</t>
        </is>
      </c>
      <c r="B10" s="77">
        <f>SUMIF('מתכונים'!$B$3:$B$252,$A10,'מתכונים'!$F$3:$F$252)</f>
        <v/>
      </c>
      <c r="C10" s="81" t="n">
        <v>12</v>
      </c>
      <c r="D10" s="76" t="inlineStr">
        <is>
          <t>גליל</t>
        </is>
      </c>
      <c r="E10" s="69" t="n"/>
      <c r="F10" s="70" t="n"/>
    </row>
    <row r="11" ht="20" customHeight="1">
      <c r="A11" s="19" t="inlineStr">
        <is>
          <t>סבון כלים</t>
        </is>
      </c>
      <c r="B11" s="77">
        <f>SUMIF('מתכונים'!$B$3:$B$252,$A11,'מתכונים'!$F$3:$F$252)</f>
        <v/>
      </c>
      <c r="C11" s="81" t="n">
        <v>4</v>
      </c>
      <c r="D11" s="76" t="inlineStr">
        <is>
          <t>בקבוק</t>
        </is>
      </c>
      <c r="E11" s="69" t="n"/>
      <c r="F11" s="70" t="n"/>
    </row>
    <row r="12" ht="20" customHeight="1">
      <c r="A12" s="19" t="inlineStr">
        <is>
          <t>סכו"ם חד"פ</t>
        </is>
      </c>
      <c r="B12" s="77">
        <f>SUMIF('מתכונים'!$B$3:$B$252,$A12,'מתכונים'!$F$3:$F$252)</f>
        <v/>
      </c>
      <c r="C12" s="81" t="n">
        <v>10</v>
      </c>
      <c r="D12" s="76" t="inlineStr">
        <is>
          <t>חבילה</t>
        </is>
      </c>
      <c r="E12" s="69" t="n"/>
      <c r="F12" s="70" t="n"/>
    </row>
    <row r="13" ht="20" customHeight="1">
      <c r="A13" s="19" t="inlineStr">
        <is>
          <t>צלחות חד"פ</t>
        </is>
      </c>
      <c r="B13" s="77">
        <f>SUMIF('מתכונים'!$B$3:$B$252,$A13,'מתכונים'!$F$3:$F$252)</f>
        <v/>
      </c>
      <c r="C13" s="81" t="n">
        <v>10</v>
      </c>
      <c r="D13" s="76" t="inlineStr">
        <is>
          <t>חבילה</t>
        </is>
      </c>
      <c r="E13" s="69" t="n"/>
      <c r="F13" s="70" t="n"/>
    </row>
    <row r="14" ht="20" customHeight="1">
      <c r="A14" s="19" t="inlineStr">
        <is>
          <t>שקיות אשפה</t>
        </is>
      </c>
      <c r="B14" s="77">
        <f>SUMIF('מתכונים'!$B$3:$B$252,$A14,'מתכונים'!$F$3:$F$252)</f>
        <v/>
      </c>
      <c r="C14" s="81" t="n">
        <v>10</v>
      </c>
      <c r="D14" s="76" t="inlineStr">
        <is>
          <t>גליל</t>
        </is>
      </c>
      <c r="E14" s="69" t="n"/>
      <c r="F14" s="70" t="n"/>
    </row>
    <row r="15" ht="20" customHeight="1">
      <c r="A15" s="19" t="inlineStr">
        <is>
          <t>אבקת אפייה</t>
        </is>
      </c>
      <c r="B15" s="77">
        <f>SUMIF('מתכונים'!$B$3:$B$252,$A15,'מתכונים'!$F$3:$F$252)</f>
        <v/>
      </c>
      <c r="C15" s="81" t="n">
        <v>10</v>
      </c>
      <c r="D15" s="76" t="inlineStr">
        <is>
          <t>שקית</t>
        </is>
      </c>
      <c r="E15" s="69" t="n"/>
      <c r="F15" s="70" t="n"/>
    </row>
    <row r="16" ht="20" customHeight="1">
      <c r="A16" s="19" t="inlineStr">
        <is>
          <t>אורז</t>
        </is>
      </c>
      <c r="B16" s="77">
        <f>SUMIF('מתכונים'!$B$3:$B$252,$A16,'מתכונים'!$F$3:$F$252)</f>
        <v/>
      </c>
      <c r="C16" s="81" t="n">
        <v>10</v>
      </c>
      <c r="D16" s="76" t="inlineStr">
        <is>
          <t>ק"ג</t>
        </is>
      </c>
      <c r="E16" s="69" t="n"/>
      <c r="F16" s="70" t="n"/>
    </row>
    <row r="17" ht="20" customHeight="1">
      <c r="A17" s="19" t="inlineStr">
        <is>
          <t>וניל</t>
        </is>
      </c>
      <c r="B17" s="77">
        <f>SUMIF('מתכונים'!$B$3:$B$252,$A17,'מתכונים'!$F$3:$F$252)</f>
        <v/>
      </c>
      <c r="C17" s="81" t="n">
        <v>10</v>
      </c>
      <c r="D17" s="76" t="inlineStr">
        <is>
          <t>שקית</t>
        </is>
      </c>
      <c r="E17" s="69" t="n"/>
      <c r="F17" s="70" t="n"/>
    </row>
    <row r="18" ht="20" customHeight="1">
      <c r="A18" s="19" t="inlineStr">
        <is>
          <t>מלח</t>
        </is>
      </c>
      <c r="B18" s="77">
        <f>SUMIF('מתכונים'!$B$3:$B$252,$A18,'מתכונים'!$F$3:$F$252)</f>
        <v/>
      </c>
      <c r="C18" s="81" t="n">
        <v>3</v>
      </c>
      <c r="D18" s="76" t="inlineStr">
        <is>
          <t>ק"ג</t>
        </is>
      </c>
      <c r="E18" s="69" t="n"/>
      <c r="F18" s="70" t="n"/>
    </row>
    <row r="19" ht="20" customHeight="1">
      <c r="A19" s="19" t="inlineStr">
        <is>
          <t>סודה לשתייה</t>
        </is>
      </c>
      <c r="B19" s="77">
        <f>SUMIF('מתכונים'!$B$3:$B$252,$A19,'מתכונים'!$F$3:$F$252)</f>
        <v/>
      </c>
      <c r="C19" s="81" t="n">
        <v>5</v>
      </c>
      <c r="D19" s="76" t="inlineStr">
        <is>
          <t>שקית</t>
        </is>
      </c>
      <c r="E19" s="69" t="n"/>
      <c r="F19" s="70" t="n"/>
    </row>
    <row r="20" ht="20" customHeight="1">
      <c r="A20" s="19" t="inlineStr">
        <is>
          <t>סוכר חום</t>
        </is>
      </c>
      <c r="B20" s="77">
        <f>SUMIF('מתכונים'!$B$3:$B$252,$A20,'מתכונים'!$F$3:$F$252)</f>
        <v/>
      </c>
      <c r="C20" s="81" t="n">
        <v>2</v>
      </c>
      <c r="D20" s="76" t="inlineStr">
        <is>
          <t>ק"ג</t>
        </is>
      </c>
      <c r="E20" s="69" t="n"/>
      <c r="F20" s="70" t="n"/>
    </row>
    <row r="21" ht="20" customHeight="1">
      <c r="A21" s="19" t="inlineStr">
        <is>
          <t>סוכר לבן</t>
        </is>
      </c>
      <c r="B21" s="77">
        <f>SUMIF('מתכונים'!$B$3:$B$252,$A21,'מתכונים'!$F$3:$F$252)</f>
        <v/>
      </c>
      <c r="C21" s="81" t="n">
        <v>10</v>
      </c>
      <c r="D21" s="76" t="inlineStr">
        <is>
          <t>ק"ג</t>
        </is>
      </c>
      <c r="E21" s="69" t="n"/>
      <c r="F21" s="70" t="n"/>
    </row>
    <row r="22" ht="20" customHeight="1">
      <c r="A22" s="19" t="inlineStr">
        <is>
          <t>פסטה</t>
        </is>
      </c>
      <c r="B22" s="77">
        <f>SUMIF('מתכונים'!$B$3:$B$252,$A22,'מתכונים'!$F$3:$F$252)</f>
        <v/>
      </c>
      <c r="C22" s="81" t="n">
        <v>5</v>
      </c>
      <c r="D22" s="76" t="inlineStr">
        <is>
          <t>ק"ג</t>
        </is>
      </c>
      <c r="E22" s="69" t="n"/>
      <c r="F22" s="70" t="n"/>
    </row>
    <row r="23" ht="20" customHeight="1">
      <c r="A23" s="19" t="inlineStr">
        <is>
          <t>קמח לבן</t>
        </is>
      </c>
      <c r="B23" s="77">
        <f>SUMIF('מתכונים'!$B$3:$B$252,$A23,'מתכונים'!$F$3:$F$252)</f>
        <v/>
      </c>
      <c r="C23" s="81" t="n">
        <v>15</v>
      </c>
      <c r="D23" s="76" t="inlineStr">
        <is>
          <t>ק"ג</t>
        </is>
      </c>
      <c r="E23" s="69" t="n"/>
      <c r="F23" s="70" t="n"/>
    </row>
    <row r="24" ht="20" customHeight="1">
      <c r="A24" s="19" t="inlineStr">
        <is>
          <t>קמח מלא</t>
        </is>
      </c>
      <c r="B24" s="77">
        <f>SUMIF('מתכונים'!$B$3:$B$252,$A24,'מתכונים'!$F$3:$F$252)</f>
        <v/>
      </c>
      <c r="C24" s="81" t="n">
        <v>5</v>
      </c>
      <c r="D24" s="76" t="inlineStr">
        <is>
          <t>ק"ג</t>
        </is>
      </c>
      <c r="E24" s="69" t="n"/>
      <c r="F24" s="70" t="n"/>
    </row>
    <row r="25" ht="20" customHeight="1">
      <c r="A25" s="19" t="inlineStr">
        <is>
          <t>קקאו</t>
        </is>
      </c>
      <c r="B25" s="77">
        <f>SUMIF('מתכונים'!$B$3:$B$252,$A25,'מתכונים'!$F$3:$F$252)</f>
        <v/>
      </c>
      <c r="C25" s="81" t="n">
        <v>2</v>
      </c>
      <c r="D25" s="76" t="inlineStr">
        <is>
          <t>ק"ג</t>
        </is>
      </c>
      <c r="E25" s="69" t="n"/>
      <c r="F25" s="70" t="n"/>
    </row>
    <row r="26" ht="20" customHeight="1">
      <c r="A26" s="19" t="inlineStr">
        <is>
          <t>שמן קנולה</t>
        </is>
      </c>
      <c r="B26" s="77">
        <f>SUMIF('מתכונים'!$B$3:$B$252,$A26,'מתכונים'!$F$3:$F$252)</f>
        <v/>
      </c>
      <c r="C26" s="81" t="n">
        <v>6</v>
      </c>
      <c r="D26" s="76" t="inlineStr">
        <is>
          <t>ליטר</t>
        </is>
      </c>
      <c r="E26" s="69" t="n"/>
      <c r="F26" s="70" t="n"/>
    </row>
    <row r="27" ht="20" customHeight="1">
      <c r="A27" s="19" t="inlineStr">
        <is>
          <t>שמרים יבשים</t>
        </is>
      </c>
      <c r="B27" s="77">
        <f>SUMIF('מתכונים'!$B$3:$B$252,$A27,'מתכונים'!$F$3:$F$252)</f>
        <v/>
      </c>
      <c r="C27" s="81" t="n">
        <v>20</v>
      </c>
      <c r="D27" s="76" t="inlineStr">
        <is>
          <t>שקית</t>
        </is>
      </c>
      <c r="E27" s="69" t="n"/>
      <c r="F27" s="70" t="n"/>
    </row>
    <row r="28" ht="20" customHeight="1">
      <c r="A28" s="19" t="inlineStr">
        <is>
          <t>חומץ</t>
        </is>
      </c>
      <c r="B28" s="77">
        <f>SUMIF('מתכונים'!$B$3:$B$252,$A28,'מתכונים'!$F$3:$F$252)</f>
        <v/>
      </c>
      <c r="C28" s="81" t="n">
        <v>2</v>
      </c>
      <c r="D28" s="76" t="inlineStr">
        <is>
          <t>בקבוק</t>
        </is>
      </c>
      <c r="E28" s="69" t="n"/>
      <c r="F28" s="70" t="n"/>
    </row>
    <row r="29" ht="20" customHeight="1">
      <c r="A29" s="19" t="inlineStr">
        <is>
          <t>טחינה גולמית</t>
        </is>
      </c>
      <c r="B29" s="77">
        <f>SUMIF('מתכונים'!$B$3:$B$252,$A29,'מתכונים'!$F$3:$F$252)</f>
        <v/>
      </c>
      <c r="C29" s="81" t="n">
        <v>4</v>
      </c>
      <c r="D29" s="76" t="inlineStr">
        <is>
          <t>ק"ג</t>
        </is>
      </c>
      <c r="E29" s="69" t="n"/>
      <c r="F29" s="70" t="n"/>
    </row>
    <row r="30" ht="20" customHeight="1">
      <c r="A30" s="19" t="inlineStr">
        <is>
          <t>מיונז</t>
        </is>
      </c>
      <c r="B30" s="77">
        <f>SUMIF('מתכונים'!$B$3:$B$252,$A30,'מתכונים'!$F$3:$F$252)</f>
        <v/>
      </c>
      <c r="C30" s="81" t="n">
        <v>2</v>
      </c>
      <c r="D30" s="76" t="inlineStr">
        <is>
          <t>ק"ג</t>
        </is>
      </c>
      <c r="E30" s="69" t="n"/>
      <c r="F30" s="70" t="n"/>
    </row>
    <row r="31" ht="20" customHeight="1">
      <c r="A31" s="19" t="inlineStr">
        <is>
          <t>קטשופ</t>
        </is>
      </c>
      <c r="B31" s="77">
        <f>SUMIF('מתכונים'!$B$3:$B$252,$A31,'מתכונים'!$F$3:$F$252)</f>
        <v/>
      </c>
      <c r="C31" s="81" t="n">
        <v>2</v>
      </c>
      <c r="D31" s="76" t="inlineStr">
        <is>
          <t>ק"ג</t>
        </is>
      </c>
      <c r="E31" s="69" t="n"/>
      <c r="F31" s="70" t="n"/>
    </row>
    <row r="32" ht="20" customHeight="1">
      <c r="A32" s="19" t="inlineStr">
        <is>
          <t>רסק עגבניות</t>
        </is>
      </c>
      <c r="B32" s="77">
        <f>SUMIF('מתכונים'!$B$3:$B$252,$A32,'מתכונים'!$F$3:$F$252)</f>
        <v/>
      </c>
      <c r="C32" s="81" t="n">
        <v>6</v>
      </c>
      <c r="D32" s="76" t="inlineStr">
        <is>
          <t>קופסה</t>
        </is>
      </c>
      <c r="E32" s="69" t="n"/>
      <c r="F32" s="70" t="n"/>
    </row>
    <row r="33" ht="20" customHeight="1">
      <c r="A33" s="19" t="inlineStr">
        <is>
          <t>סוכרזית</t>
        </is>
      </c>
      <c r="B33" s="77">
        <f>SUMIF('מתכונים'!$B$3:$B$252,$A33,'מתכונים'!$F$3:$F$252)</f>
        <v/>
      </c>
      <c r="C33" s="81" t="n">
        <v>2</v>
      </c>
      <c r="D33" s="76" t="inlineStr">
        <is>
          <t>חבילה</t>
        </is>
      </c>
      <c r="E33" s="69" t="n"/>
      <c r="F33" s="70" t="n"/>
    </row>
    <row r="34" ht="20" customHeight="1">
      <c r="A34" s="19" t="inlineStr">
        <is>
          <t>קפה</t>
        </is>
      </c>
      <c r="B34" s="77">
        <f>SUMIF('מתכונים'!$B$3:$B$252,$A34,'מתכונים'!$F$3:$F$252)</f>
        <v/>
      </c>
      <c r="C34" s="81" t="n">
        <v>4</v>
      </c>
      <c r="D34" s="76" t="inlineStr">
        <is>
          <t>צנצנת</t>
        </is>
      </c>
      <c r="E34" s="69" t="n"/>
      <c r="F34" s="70" t="n"/>
    </row>
    <row r="35" ht="20" customHeight="1">
      <c r="A35" s="19" t="inlineStr">
        <is>
          <t>תה</t>
        </is>
      </c>
      <c r="B35" s="77">
        <f>SUMIF('מתכונים'!$B$3:$B$252,$A35,'מתכונים'!$F$3:$F$252)</f>
        <v/>
      </c>
      <c r="C35" s="81" t="n">
        <v>4</v>
      </c>
      <c r="D35" s="76" t="inlineStr">
        <is>
          <t>חבילה</t>
        </is>
      </c>
      <c r="E35" s="69" t="n"/>
      <c r="F35" s="70" t="n"/>
    </row>
    <row r="37" ht="28" customHeight="1">
      <c r="A37" s="24" t="inlineStr">
        <is>
          <t>מסומן בכתום = המתכונים של השבת צורכים ממנו. סימון «חסר» מדליק את השורה באדום — זה מה שצריך להוסיף להזמנה.</t>
        </is>
      </c>
    </row>
  </sheetData>
  <mergeCells count="3">
    <mergeCell ref="A2:F2"/>
    <mergeCell ref="A1:F1"/>
    <mergeCell ref="A37:F37"/>
  </mergeCells>
  <conditionalFormatting sqref="A4:F35">
    <cfRule type="expression" priority="1" dxfId="18">
      <formula>$B4&gt;0</formula>
    </cfRule>
    <cfRule type="expression" priority="2" dxfId="0">
      <formula>$E4="חסר"</formula>
    </cfRule>
  </conditionalFormatting>
  <dataValidations count="1">
    <dataValidation sqref="E4:E35" showDropDown="0" showInputMessage="0" showErrorMessage="0" allowBlank="1" type="list">
      <formula1>"יש,חסר"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M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42" customWidth="1" min="4" max="4"/>
    <col width="16" customWidth="1" min="5" max="5"/>
    <col width="40" customWidth="1" min="6" max="6"/>
    <col width="22" customWidth="1" min="7" max="7"/>
    <col width="62" customWidth="1" min="8" max="8"/>
    <col width="8" customWidth="1" min="9" max="9"/>
    <col hidden="1" width="20" customWidth="1" min="10" max="10"/>
    <col hidden="1" width="20" customWidth="1" min="11" max="11"/>
    <col hidden="1" width="20" customWidth="1" min="12" max="12"/>
    <col width="22" customWidth="1" min="13" max="13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שעה</t>
        </is>
      </c>
      <c r="D2" s="16" t="inlineStr">
        <is>
          <t>משימה</t>
        </is>
      </c>
      <c r="E2" s="16" t="inlineStr">
        <is>
          <t>קטגוריה</t>
        </is>
      </c>
      <c r="F2" s="16" t="inlineStr">
        <is>
          <t>פרטים וכמויות</t>
        </is>
      </c>
      <c r="G2" s="16" t="inlineStr">
        <is>
          <t>עוגן בלו"ז</t>
        </is>
      </c>
      <c r="H2" s="16" t="inlineStr">
        <is>
          <t>שורת צל</t>
        </is>
      </c>
      <c r="I2" s="16" t="inlineStr">
        <is>
          <t>בוצע</t>
        </is>
      </c>
      <c r="J2" s="16" t="inlineStr">
        <is>
          <t>עוגן בפועל</t>
        </is>
      </c>
      <c r="K2" s="16" t="inlineStr">
        <is>
          <t>מפתח קבוצה</t>
        </is>
      </c>
      <c r="L2" s="16" t="inlineStr">
        <is>
          <t>מפתח עוגן</t>
        </is>
      </c>
      <c r="M2" s="16" t="inlineStr">
        <is>
          <t>בדיקה</t>
        </is>
      </c>
    </row>
    <row r="3" ht="28" customHeight="1">
      <c r="A3" s="80" t="n"/>
      <c r="B3" s="69" t="n"/>
      <c r="C3" s="82" t="n"/>
      <c r="D3" s="70" t="n"/>
      <c r="E3" s="83">
        <f>IF($D3="","",IFERROR(INDEX('מאגר משימות'!$A$3:$A$252,MATCH($D3,'מאגר משימות'!$D$3:$D$252,0)),""))</f>
        <v/>
      </c>
      <c r="F3" s="70" t="n"/>
      <c r="G3" s="69" t="n"/>
      <c r="H3" s="84">
        <f>IF($D3="","",IF($C3="","",TEXT(HOUR($C3),"00")&amp;":"&amp;TEXT(MINUTE($C3),"00")&amp;" · ")&amp;$D3&amp;IF($A3="",""," — "&amp;$A3)&amp;IF($F3="",""," ("&amp;$F3&amp;")"))</f>
        <v/>
      </c>
      <c r="I3" s="76" t="n"/>
      <c r="J3" s="85">
        <f>IF($D3="","",IF($G3="","(ללא עוגן)",$G3))</f>
        <v/>
      </c>
      <c r="K3" s="85">
        <f>IF($A3="","",$A3&amp;"|"&amp;COUNTIF($A$3:$A3,$A3))</f>
        <v/>
      </c>
      <c r="L3" s="85">
        <f>IF($J3="","",$J3&amp;"|"&amp;COUNTIF($J$3:$J3,$J3))</f>
        <v/>
      </c>
      <c r="M3" s="35">
        <f>IF($A3="","",IF(COUNTIF('קבוצות'!$A$3:$A$8,$A3)=0,"⚠ שם קבוצה לא מוכר",""))</f>
        <v/>
      </c>
    </row>
    <row r="4" ht="28" customHeight="1">
      <c r="A4" s="80" t="n"/>
      <c r="B4" s="69" t="n"/>
      <c r="C4" s="82" t="n"/>
      <c r="D4" s="70" t="n"/>
      <c r="E4" s="83">
        <f>IF($D4="","",IFERROR(INDEX('מאגר משימות'!$A$3:$A$252,MATCH($D4,'מאגר משימות'!$D$3:$D$252,0)),""))</f>
        <v/>
      </c>
      <c r="F4" s="70" t="n"/>
      <c r="G4" s="69" t="n"/>
      <c r="H4" s="84">
        <f>IF($D4="","",IF($C4="","",TEXT(HOUR($C4),"00")&amp;":"&amp;TEXT(MINUTE($C4),"00")&amp;" · ")&amp;$D4&amp;IF($A4="",""," — "&amp;$A4)&amp;IF($F4="",""," ("&amp;$F4&amp;")"))</f>
        <v/>
      </c>
      <c r="I4" s="76" t="n"/>
      <c r="J4" s="85">
        <f>IF($D4="","",IF($G4="","(ללא עוגן)",$G4))</f>
        <v/>
      </c>
      <c r="K4" s="85">
        <f>IF($A4="","",$A4&amp;"|"&amp;COUNTIF($A$3:$A4,$A4))</f>
        <v/>
      </c>
      <c r="L4" s="85">
        <f>IF($J4="","",$J4&amp;"|"&amp;COUNTIF($J$3:$J4,$J4))</f>
        <v/>
      </c>
      <c r="M4" s="35">
        <f>IF($A4="","",IF(COUNTIF('קבוצות'!$A$3:$A$8,$A4)=0,"⚠ שם קבוצה לא מוכר",""))</f>
        <v/>
      </c>
    </row>
    <row r="5" ht="28" customHeight="1">
      <c r="A5" s="80" t="n"/>
      <c r="B5" s="69" t="n"/>
      <c r="C5" s="82" t="n"/>
      <c r="D5" s="70" t="n"/>
      <c r="E5" s="83">
        <f>IF($D5="","",IFERROR(INDEX('מאגר משימות'!$A$3:$A$252,MATCH($D5,'מאגר משימות'!$D$3:$D$252,0)),""))</f>
        <v/>
      </c>
      <c r="F5" s="70" t="n"/>
      <c r="G5" s="69" t="n"/>
      <c r="H5" s="84">
        <f>IF($D5="","",IF($C5="","",TEXT(HOUR($C5),"00")&amp;":"&amp;TEXT(MINUTE($C5),"00")&amp;" · ")&amp;$D5&amp;IF($A5="",""," — "&amp;$A5)&amp;IF($F5="",""," ("&amp;$F5&amp;")"))</f>
        <v/>
      </c>
      <c r="I5" s="76" t="n"/>
      <c r="J5" s="85">
        <f>IF($D5="","",IF($G5="","(ללא עוגן)",$G5))</f>
        <v/>
      </c>
      <c r="K5" s="85">
        <f>IF($A5="","",$A5&amp;"|"&amp;COUNTIF($A$3:$A5,$A5))</f>
        <v/>
      </c>
      <c r="L5" s="85">
        <f>IF($J5="","",$J5&amp;"|"&amp;COUNTIF($J$3:$J5,$J5))</f>
        <v/>
      </c>
      <c r="M5" s="35">
        <f>IF($A5="","",IF(COUNTIF('קבוצות'!$A$3:$A$8,$A5)=0,"⚠ שם קבוצה לא מוכר",""))</f>
        <v/>
      </c>
    </row>
    <row r="6" ht="28" customHeight="1">
      <c r="A6" s="80" t="n"/>
      <c r="B6" s="69" t="n"/>
      <c r="C6" s="82" t="n"/>
      <c r="D6" s="70" t="n"/>
      <c r="E6" s="83">
        <f>IF($D6="","",IFERROR(INDEX('מאגר משימות'!$A$3:$A$252,MATCH($D6,'מאגר משימות'!$D$3:$D$252,0)),""))</f>
        <v/>
      </c>
      <c r="F6" s="70" t="n"/>
      <c r="G6" s="69" t="n"/>
      <c r="H6" s="84">
        <f>IF($D6="","",IF($C6="","",TEXT(HOUR($C6),"00")&amp;":"&amp;TEXT(MINUTE($C6),"00")&amp;" · ")&amp;$D6&amp;IF($A6="",""," — "&amp;$A6)&amp;IF($F6="",""," ("&amp;$F6&amp;")"))</f>
        <v/>
      </c>
      <c r="I6" s="76" t="n"/>
      <c r="J6" s="85">
        <f>IF($D6="","",IF($G6="","(ללא עוגן)",$G6))</f>
        <v/>
      </c>
      <c r="K6" s="85">
        <f>IF($A6="","",$A6&amp;"|"&amp;COUNTIF($A$3:$A6,$A6))</f>
        <v/>
      </c>
      <c r="L6" s="85">
        <f>IF($J6="","",$J6&amp;"|"&amp;COUNTIF($J$3:$J6,$J6))</f>
        <v/>
      </c>
      <c r="M6" s="35">
        <f>IF($A6="","",IF(COUNTIF('קבוצות'!$A$3:$A$8,$A6)=0,"⚠ שם קבוצה לא מוכר",""))</f>
        <v/>
      </c>
    </row>
    <row r="7" ht="28" customHeight="1">
      <c r="A7" s="80" t="n"/>
      <c r="B7" s="69" t="n"/>
      <c r="C7" s="82" t="n"/>
      <c r="D7" s="70" t="n"/>
      <c r="E7" s="83">
        <f>IF($D7="","",IFERROR(INDEX('מאגר משימות'!$A$3:$A$252,MATCH($D7,'מאגר משימות'!$D$3:$D$252,0)),""))</f>
        <v/>
      </c>
      <c r="F7" s="70" t="n"/>
      <c r="G7" s="69" t="n"/>
      <c r="H7" s="84">
        <f>IF($D7="","",IF($C7="","",TEXT(HOUR($C7),"00")&amp;":"&amp;TEXT(MINUTE($C7),"00")&amp;" · ")&amp;$D7&amp;IF($A7="",""," — "&amp;$A7)&amp;IF($F7="",""," ("&amp;$F7&amp;")"))</f>
        <v/>
      </c>
      <c r="I7" s="76" t="n"/>
      <c r="J7" s="85">
        <f>IF($D7="","",IF($G7="","(ללא עוגן)",$G7))</f>
        <v/>
      </c>
      <c r="K7" s="85">
        <f>IF($A7="","",$A7&amp;"|"&amp;COUNTIF($A$3:$A7,$A7))</f>
        <v/>
      </c>
      <c r="L7" s="85">
        <f>IF($J7="","",$J7&amp;"|"&amp;COUNTIF($J$3:$J7,$J7))</f>
        <v/>
      </c>
      <c r="M7" s="35">
        <f>IF($A7="","",IF(COUNTIF('קבוצות'!$A$3:$A$8,$A7)=0,"⚠ שם קבוצה לא מוכר",""))</f>
        <v/>
      </c>
    </row>
    <row r="8" ht="28" customHeight="1">
      <c r="A8" s="80" t="n"/>
      <c r="B8" s="69" t="n"/>
      <c r="C8" s="82" t="n"/>
      <c r="D8" s="70" t="n"/>
      <c r="E8" s="83">
        <f>IF($D8="","",IFERROR(INDEX('מאגר משימות'!$A$3:$A$252,MATCH($D8,'מאגר משימות'!$D$3:$D$252,0)),""))</f>
        <v/>
      </c>
      <c r="F8" s="70" t="n"/>
      <c r="G8" s="69" t="n"/>
      <c r="H8" s="84">
        <f>IF($D8="","",IF($C8="","",TEXT(HOUR($C8),"00")&amp;":"&amp;TEXT(MINUTE($C8),"00")&amp;" · ")&amp;$D8&amp;IF($A8="",""," — "&amp;$A8)&amp;IF($F8="",""," ("&amp;$F8&amp;")"))</f>
        <v/>
      </c>
      <c r="I8" s="76" t="n"/>
      <c r="J8" s="85">
        <f>IF($D8="","",IF($G8="","(ללא עוגן)",$G8))</f>
        <v/>
      </c>
      <c r="K8" s="85">
        <f>IF($A8="","",$A8&amp;"|"&amp;COUNTIF($A$3:$A8,$A8))</f>
        <v/>
      </c>
      <c r="L8" s="85">
        <f>IF($J8="","",$J8&amp;"|"&amp;COUNTIF($J$3:$J8,$J8))</f>
        <v/>
      </c>
      <c r="M8" s="35">
        <f>IF($A8="","",IF(COUNTIF('קבוצות'!$A$3:$A$8,$A8)=0,"⚠ שם קבוצה לא מוכר",""))</f>
        <v/>
      </c>
    </row>
    <row r="9" ht="28" customHeight="1">
      <c r="A9" s="80" t="n"/>
      <c r="B9" s="69" t="n"/>
      <c r="C9" s="82" t="n"/>
      <c r="D9" s="70" t="n"/>
      <c r="E9" s="83">
        <f>IF($D9="","",IFERROR(INDEX('מאגר משימות'!$A$3:$A$252,MATCH($D9,'מאגר משימות'!$D$3:$D$252,0)),""))</f>
        <v/>
      </c>
      <c r="F9" s="70" t="n"/>
      <c r="G9" s="69" t="n"/>
      <c r="H9" s="84">
        <f>IF($D9="","",IF($C9="","",TEXT(HOUR($C9),"00")&amp;":"&amp;TEXT(MINUTE($C9),"00")&amp;" · ")&amp;$D9&amp;IF($A9="",""," — "&amp;$A9)&amp;IF($F9="",""," ("&amp;$F9&amp;")"))</f>
        <v/>
      </c>
      <c r="I9" s="76" t="n"/>
      <c r="J9" s="85">
        <f>IF($D9="","",IF($G9="","(ללא עוגן)",$G9))</f>
        <v/>
      </c>
      <c r="K9" s="85">
        <f>IF($A9="","",$A9&amp;"|"&amp;COUNTIF($A$3:$A9,$A9))</f>
        <v/>
      </c>
      <c r="L9" s="85">
        <f>IF($J9="","",$J9&amp;"|"&amp;COUNTIF($J$3:$J9,$J9))</f>
        <v/>
      </c>
      <c r="M9" s="35">
        <f>IF($A9="","",IF(COUNTIF('קבוצות'!$A$3:$A$8,$A9)=0,"⚠ שם קבוצה לא מוכר",""))</f>
        <v/>
      </c>
    </row>
    <row r="10" ht="28" customHeight="1">
      <c r="A10" s="80" t="n"/>
      <c r="B10" s="69" t="n"/>
      <c r="C10" s="82" t="n"/>
      <c r="D10" s="70" t="n"/>
      <c r="E10" s="83">
        <f>IF($D10="","",IFERROR(INDEX('מאגר משימות'!$A$3:$A$252,MATCH($D10,'מאגר משימות'!$D$3:$D$252,0)),""))</f>
        <v/>
      </c>
      <c r="F10" s="70" t="n"/>
      <c r="G10" s="69" t="n"/>
      <c r="H10" s="84">
        <f>IF($D10="","",IF($C10="","",TEXT(HOUR($C10),"00")&amp;":"&amp;TEXT(MINUTE($C10),"00")&amp;" · ")&amp;$D10&amp;IF($A10="",""," — "&amp;$A10)&amp;IF($F10="",""," ("&amp;$F10&amp;")"))</f>
        <v/>
      </c>
      <c r="I10" s="76" t="n"/>
      <c r="J10" s="85">
        <f>IF($D10="","",IF($G10="","(ללא עוגן)",$G10))</f>
        <v/>
      </c>
      <c r="K10" s="85">
        <f>IF($A10="","",$A10&amp;"|"&amp;COUNTIF($A$3:$A10,$A10))</f>
        <v/>
      </c>
      <c r="L10" s="85">
        <f>IF($J10="","",$J10&amp;"|"&amp;COUNTIF($J$3:$J10,$J10))</f>
        <v/>
      </c>
      <c r="M10" s="35">
        <f>IF($A10="","",IF(COUNTIF('קבוצות'!$A$3:$A$8,$A10)=0,"⚠ שם קבוצה לא מוכר",""))</f>
        <v/>
      </c>
    </row>
    <row r="11" ht="28" customHeight="1">
      <c r="A11" s="80" t="n"/>
      <c r="B11" s="69" t="n"/>
      <c r="C11" s="82" t="n"/>
      <c r="D11" s="70" t="n"/>
      <c r="E11" s="83">
        <f>IF($D11="","",IFERROR(INDEX('מאגר משימות'!$A$3:$A$252,MATCH($D11,'מאגר משימות'!$D$3:$D$252,0)),""))</f>
        <v/>
      </c>
      <c r="F11" s="70" t="n"/>
      <c r="G11" s="69" t="n"/>
      <c r="H11" s="84">
        <f>IF($D11="","",IF($C11="","",TEXT(HOUR($C11),"00")&amp;":"&amp;TEXT(MINUTE($C11),"00")&amp;" · ")&amp;$D11&amp;IF($A11="",""," — "&amp;$A11)&amp;IF($F11="",""," ("&amp;$F11&amp;")"))</f>
        <v/>
      </c>
      <c r="I11" s="76" t="n"/>
      <c r="J11" s="85">
        <f>IF($D11="","",IF($G11="","(ללא עוגן)",$G11))</f>
        <v/>
      </c>
      <c r="K11" s="85">
        <f>IF($A11="","",$A11&amp;"|"&amp;COUNTIF($A$3:$A11,$A11))</f>
        <v/>
      </c>
      <c r="L11" s="85">
        <f>IF($J11="","",$J11&amp;"|"&amp;COUNTIF($J$3:$J11,$J11))</f>
        <v/>
      </c>
      <c r="M11" s="35">
        <f>IF($A11="","",IF(COUNTIF('קבוצות'!$A$3:$A$8,$A11)=0,"⚠ שם קבוצה לא מוכר",""))</f>
        <v/>
      </c>
    </row>
    <row r="12" ht="28" customHeight="1">
      <c r="A12" s="80" t="n"/>
      <c r="B12" s="69" t="n"/>
      <c r="C12" s="82" t="n"/>
      <c r="D12" s="70" t="n"/>
      <c r="E12" s="83">
        <f>IF($D12="","",IFERROR(INDEX('מאגר משימות'!$A$3:$A$252,MATCH($D12,'מאגר משימות'!$D$3:$D$252,0)),""))</f>
        <v/>
      </c>
      <c r="F12" s="70" t="n"/>
      <c r="G12" s="69" t="n"/>
      <c r="H12" s="84">
        <f>IF($D12="","",IF($C12="","",TEXT(HOUR($C12),"00")&amp;":"&amp;TEXT(MINUTE($C12),"00")&amp;" · ")&amp;$D12&amp;IF($A12="",""," — "&amp;$A12)&amp;IF($F12="",""," ("&amp;$F12&amp;")"))</f>
        <v/>
      </c>
      <c r="I12" s="76" t="n"/>
      <c r="J12" s="85">
        <f>IF($D12="","",IF($G12="","(ללא עוגן)",$G12))</f>
        <v/>
      </c>
      <c r="K12" s="85">
        <f>IF($A12="","",$A12&amp;"|"&amp;COUNTIF($A$3:$A12,$A12))</f>
        <v/>
      </c>
      <c r="L12" s="85">
        <f>IF($J12="","",$J12&amp;"|"&amp;COUNTIF($J$3:$J12,$J12))</f>
        <v/>
      </c>
      <c r="M12" s="35">
        <f>IF($A12="","",IF(COUNTIF('קבוצות'!$A$3:$A$8,$A12)=0,"⚠ שם קבוצה לא מוכר",""))</f>
        <v/>
      </c>
    </row>
    <row r="13" ht="28" customHeight="1">
      <c r="A13" s="80" t="n"/>
      <c r="B13" s="69" t="n"/>
      <c r="C13" s="82" t="n"/>
      <c r="D13" s="70" t="n"/>
      <c r="E13" s="83">
        <f>IF($D13="","",IFERROR(INDEX('מאגר משימות'!$A$3:$A$252,MATCH($D13,'מאגר משימות'!$D$3:$D$252,0)),""))</f>
        <v/>
      </c>
      <c r="F13" s="70" t="n"/>
      <c r="G13" s="69" t="n"/>
      <c r="H13" s="84">
        <f>IF($D13="","",IF($C13="","",TEXT(HOUR($C13),"00")&amp;":"&amp;TEXT(MINUTE($C13),"00")&amp;" · ")&amp;$D13&amp;IF($A13="",""," — "&amp;$A13)&amp;IF($F13="",""," ("&amp;$F13&amp;")"))</f>
        <v/>
      </c>
      <c r="I13" s="76" t="n"/>
      <c r="J13" s="85">
        <f>IF($D13="","",IF($G13="","(ללא עוגן)",$G13))</f>
        <v/>
      </c>
      <c r="K13" s="85">
        <f>IF($A13="","",$A13&amp;"|"&amp;COUNTIF($A$3:$A13,$A13))</f>
        <v/>
      </c>
      <c r="L13" s="85">
        <f>IF($J13="","",$J13&amp;"|"&amp;COUNTIF($J$3:$J13,$J13))</f>
        <v/>
      </c>
      <c r="M13" s="35">
        <f>IF($A13="","",IF(COUNTIF('קבוצות'!$A$3:$A$8,$A13)=0,"⚠ שם קבוצה לא מוכר",""))</f>
        <v/>
      </c>
    </row>
    <row r="14" ht="28" customHeight="1">
      <c r="A14" s="80" t="n"/>
      <c r="B14" s="69" t="n"/>
      <c r="C14" s="82" t="n"/>
      <c r="D14" s="70" t="n"/>
      <c r="E14" s="83">
        <f>IF($D14="","",IFERROR(INDEX('מאגר משימות'!$A$3:$A$252,MATCH($D14,'מאגר משימות'!$D$3:$D$252,0)),""))</f>
        <v/>
      </c>
      <c r="F14" s="70" t="n"/>
      <c r="G14" s="69" t="n"/>
      <c r="H14" s="84">
        <f>IF($D14="","",IF($C14="","",TEXT(HOUR($C14),"00")&amp;":"&amp;TEXT(MINUTE($C14),"00")&amp;" · ")&amp;$D14&amp;IF($A14="",""," — "&amp;$A14)&amp;IF($F14="",""," ("&amp;$F14&amp;")"))</f>
        <v/>
      </c>
      <c r="I14" s="76" t="n"/>
      <c r="J14" s="85">
        <f>IF($D14="","",IF($G14="","(ללא עוגן)",$G14))</f>
        <v/>
      </c>
      <c r="K14" s="85">
        <f>IF($A14="","",$A14&amp;"|"&amp;COUNTIF($A$3:$A14,$A14))</f>
        <v/>
      </c>
      <c r="L14" s="85">
        <f>IF($J14="","",$J14&amp;"|"&amp;COUNTIF($J$3:$J14,$J14))</f>
        <v/>
      </c>
      <c r="M14" s="35">
        <f>IF($A14="","",IF(COUNTIF('קבוצות'!$A$3:$A$8,$A14)=0,"⚠ שם קבוצה לא מוכר",""))</f>
        <v/>
      </c>
    </row>
    <row r="15" ht="28" customHeight="1">
      <c r="A15" s="80" t="n"/>
      <c r="B15" s="69" t="n"/>
      <c r="C15" s="82" t="n"/>
      <c r="D15" s="70" t="n"/>
      <c r="E15" s="83">
        <f>IF($D15="","",IFERROR(INDEX('מאגר משימות'!$A$3:$A$252,MATCH($D15,'מאגר משימות'!$D$3:$D$252,0)),""))</f>
        <v/>
      </c>
      <c r="F15" s="70" t="n"/>
      <c r="G15" s="69" t="n"/>
      <c r="H15" s="84">
        <f>IF($D15="","",IF($C15="","",TEXT(HOUR($C15),"00")&amp;":"&amp;TEXT(MINUTE($C15),"00")&amp;" · ")&amp;$D15&amp;IF($A15="",""," — "&amp;$A15)&amp;IF($F15="",""," ("&amp;$F15&amp;")"))</f>
        <v/>
      </c>
      <c r="I15" s="76" t="n"/>
      <c r="J15" s="85">
        <f>IF($D15="","",IF($G15="","(ללא עוגן)",$G15))</f>
        <v/>
      </c>
      <c r="K15" s="85">
        <f>IF($A15="","",$A15&amp;"|"&amp;COUNTIF($A$3:$A15,$A15))</f>
        <v/>
      </c>
      <c r="L15" s="85">
        <f>IF($J15="","",$J15&amp;"|"&amp;COUNTIF($J$3:$J15,$J15))</f>
        <v/>
      </c>
      <c r="M15" s="35">
        <f>IF($A15="","",IF(COUNTIF('קבוצות'!$A$3:$A$8,$A15)=0,"⚠ שם קבוצה לא מוכר",""))</f>
        <v/>
      </c>
    </row>
    <row r="16" ht="28" customHeight="1">
      <c r="A16" s="80" t="n"/>
      <c r="B16" s="69" t="n"/>
      <c r="C16" s="82" t="n"/>
      <c r="D16" s="70" t="n"/>
      <c r="E16" s="83">
        <f>IF($D16="","",IFERROR(INDEX('מאגר משימות'!$A$3:$A$252,MATCH($D16,'מאגר משימות'!$D$3:$D$252,0)),""))</f>
        <v/>
      </c>
      <c r="F16" s="70" t="n"/>
      <c r="G16" s="69" t="n"/>
      <c r="H16" s="84">
        <f>IF($D16="","",IF($C16="","",TEXT(HOUR($C16),"00")&amp;":"&amp;TEXT(MINUTE($C16),"00")&amp;" · ")&amp;$D16&amp;IF($A16="",""," — "&amp;$A16)&amp;IF($F16="",""," ("&amp;$F16&amp;")"))</f>
        <v/>
      </c>
      <c r="I16" s="76" t="n"/>
      <c r="J16" s="85">
        <f>IF($D16="","",IF($G16="","(ללא עוגן)",$G16))</f>
        <v/>
      </c>
      <c r="K16" s="85">
        <f>IF($A16="","",$A16&amp;"|"&amp;COUNTIF($A$3:$A16,$A16))</f>
        <v/>
      </c>
      <c r="L16" s="85">
        <f>IF($J16="","",$J16&amp;"|"&amp;COUNTIF($J$3:$J16,$J16))</f>
        <v/>
      </c>
      <c r="M16" s="35">
        <f>IF($A16="","",IF(COUNTIF('קבוצות'!$A$3:$A$8,$A16)=0,"⚠ שם קבוצה לא מוכר",""))</f>
        <v/>
      </c>
    </row>
    <row r="17" ht="28" customHeight="1">
      <c r="A17" s="80" t="n"/>
      <c r="B17" s="69" t="n"/>
      <c r="C17" s="82" t="n"/>
      <c r="D17" s="70" t="n"/>
      <c r="E17" s="83">
        <f>IF($D17="","",IFERROR(INDEX('מאגר משימות'!$A$3:$A$252,MATCH($D17,'מאגר משימות'!$D$3:$D$252,0)),""))</f>
        <v/>
      </c>
      <c r="F17" s="70" t="n"/>
      <c r="G17" s="69" t="n"/>
      <c r="H17" s="84">
        <f>IF($D17="","",IF($C17="","",TEXT(HOUR($C17),"00")&amp;":"&amp;TEXT(MINUTE($C17),"00")&amp;" · ")&amp;$D17&amp;IF($A17="",""," — "&amp;$A17)&amp;IF($F17="",""," ("&amp;$F17&amp;")"))</f>
        <v/>
      </c>
      <c r="I17" s="76" t="n"/>
      <c r="J17" s="85">
        <f>IF($D17="","",IF($G17="","(ללא עוגן)",$G17))</f>
        <v/>
      </c>
      <c r="K17" s="85">
        <f>IF($A17="","",$A17&amp;"|"&amp;COUNTIF($A$3:$A17,$A17))</f>
        <v/>
      </c>
      <c r="L17" s="85">
        <f>IF($J17="","",$J17&amp;"|"&amp;COUNTIF($J$3:$J17,$J17))</f>
        <v/>
      </c>
      <c r="M17" s="35">
        <f>IF($A17="","",IF(COUNTIF('קבוצות'!$A$3:$A$8,$A17)=0,"⚠ שם קבוצה לא מוכר",""))</f>
        <v/>
      </c>
    </row>
    <row r="18" ht="28" customHeight="1">
      <c r="A18" s="80" t="n"/>
      <c r="B18" s="69" t="n"/>
      <c r="C18" s="82" t="n"/>
      <c r="D18" s="70" t="n"/>
      <c r="E18" s="83">
        <f>IF($D18="","",IFERROR(INDEX('מאגר משימות'!$A$3:$A$252,MATCH($D18,'מאגר משימות'!$D$3:$D$252,0)),""))</f>
        <v/>
      </c>
      <c r="F18" s="70" t="n"/>
      <c r="G18" s="69" t="n"/>
      <c r="H18" s="84">
        <f>IF($D18="","",IF($C18="","",TEXT(HOUR($C18),"00")&amp;":"&amp;TEXT(MINUTE($C18),"00")&amp;" · ")&amp;$D18&amp;IF($A18="",""," — "&amp;$A18)&amp;IF($F18="",""," ("&amp;$F18&amp;")"))</f>
        <v/>
      </c>
      <c r="I18" s="76" t="n"/>
      <c r="J18" s="85">
        <f>IF($D18="","",IF($G18="","(ללא עוגן)",$G18))</f>
        <v/>
      </c>
      <c r="K18" s="85">
        <f>IF($A18="","",$A18&amp;"|"&amp;COUNTIF($A$3:$A18,$A18))</f>
        <v/>
      </c>
      <c r="L18" s="85">
        <f>IF($J18="","",$J18&amp;"|"&amp;COUNTIF($J$3:$J18,$J18))</f>
        <v/>
      </c>
      <c r="M18" s="35">
        <f>IF($A18="","",IF(COUNTIF('קבוצות'!$A$3:$A$8,$A18)=0,"⚠ שם קבוצה לא מוכר",""))</f>
        <v/>
      </c>
    </row>
    <row r="19" ht="28" customHeight="1">
      <c r="A19" s="80" t="n"/>
      <c r="B19" s="69" t="n"/>
      <c r="C19" s="82" t="n"/>
      <c r="D19" s="70" t="n"/>
      <c r="E19" s="83">
        <f>IF($D19="","",IFERROR(INDEX('מאגר משימות'!$A$3:$A$252,MATCH($D19,'מאגר משימות'!$D$3:$D$252,0)),""))</f>
        <v/>
      </c>
      <c r="F19" s="70" t="n"/>
      <c r="G19" s="69" t="n"/>
      <c r="H19" s="84">
        <f>IF($D19="","",IF($C19="","",TEXT(HOUR($C19),"00")&amp;":"&amp;TEXT(MINUTE($C19),"00")&amp;" · ")&amp;$D19&amp;IF($A19="",""," — "&amp;$A19)&amp;IF($F19="",""," ("&amp;$F19&amp;")"))</f>
        <v/>
      </c>
      <c r="I19" s="76" t="n"/>
      <c r="J19" s="85">
        <f>IF($D19="","",IF($G19="","(ללא עוגן)",$G19))</f>
        <v/>
      </c>
      <c r="K19" s="85">
        <f>IF($A19="","",$A19&amp;"|"&amp;COUNTIF($A$3:$A19,$A19))</f>
        <v/>
      </c>
      <c r="L19" s="85">
        <f>IF($J19="","",$J19&amp;"|"&amp;COUNTIF($J$3:$J19,$J19))</f>
        <v/>
      </c>
      <c r="M19" s="35">
        <f>IF($A19="","",IF(COUNTIF('קבוצות'!$A$3:$A$8,$A19)=0,"⚠ שם קבוצה לא מוכר",""))</f>
        <v/>
      </c>
    </row>
    <row r="20" ht="28" customHeight="1">
      <c r="A20" s="80" t="n"/>
      <c r="B20" s="69" t="n"/>
      <c r="C20" s="82" t="n"/>
      <c r="D20" s="70" t="n"/>
      <c r="E20" s="83">
        <f>IF($D20="","",IFERROR(INDEX('מאגר משימות'!$A$3:$A$252,MATCH($D20,'מאגר משימות'!$D$3:$D$252,0)),""))</f>
        <v/>
      </c>
      <c r="F20" s="70" t="n"/>
      <c r="G20" s="69" t="n"/>
      <c r="H20" s="84">
        <f>IF($D20="","",IF($C20="","",TEXT(HOUR($C20),"00")&amp;":"&amp;TEXT(MINUTE($C20),"00")&amp;" · ")&amp;$D20&amp;IF($A20="",""," — "&amp;$A20)&amp;IF($F20="",""," ("&amp;$F20&amp;")"))</f>
        <v/>
      </c>
      <c r="I20" s="76" t="n"/>
      <c r="J20" s="85">
        <f>IF($D20="","",IF($G20="","(ללא עוגן)",$G20))</f>
        <v/>
      </c>
      <c r="K20" s="85">
        <f>IF($A20="","",$A20&amp;"|"&amp;COUNTIF($A$3:$A20,$A20))</f>
        <v/>
      </c>
      <c r="L20" s="85">
        <f>IF($J20="","",$J20&amp;"|"&amp;COUNTIF($J$3:$J20,$J20))</f>
        <v/>
      </c>
      <c r="M20" s="35">
        <f>IF($A20="","",IF(COUNTIF('קבוצות'!$A$3:$A$8,$A20)=0,"⚠ שם קבוצה לא מוכר",""))</f>
        <v/>
      </c>
    </row>
    <row r="21" ht="28" customHeight="1">
      <c r="A21" s="80" t="n"/>
      <c r="B21" s="69" t="n"/>
      <c r="C21" s="82" t="n"/>
      <c r="D21" s="70" t="n"/>
      <c r="E21" s="83">
        <f>IF($D21="","",IFERROR(INDEX('מאגר משימות'!$A$3:$A$252,MATCH($D21,'מאגר משימות'!$D$3:$D$252,0)),""))</f>
        <v/>
      </c>
      <c r="F21" s="70" t="n"/>
      <c r="G21" s="69" t="n"/>
      <c r="H21" s="84">
        <f>IF($D21="","",IF($C21="","",TEXT(HOUR($C21),"00")&amp;":"&amp;TEXT(MINUTE($C21),"00")&amp;" · ")&amp;$D21&amp;IF($A21="",""," — "&amp;$A21)&amp;IF($F21="",""," ("&amp;$F21&amp;")"))</f>
        <v/>
      </c>
      <c r="I21" s="76" t="n"/>
      <c r="J21" s="85">
        <f>IF($D21="","",IF($G21="","(ללא עוגן)",$G21))</f>
        <v/>
      </c>
      <c r="K21" s="85">
        <f>IF($A21="","",$A21&amp;"|"&amp;COUNTIF($A$3:$A21,$A21))</f>
        <v/>
      </c>
      <c r="L21" s="85">
        <f>IF($J21="","",$J21&amp;"|"&amp;COUNTIF($J$3:$J21,$J21))</f>
        <v/>
      </c>
      <c r="M21" s="35">
        <f>IF($A21="","",IF(COUNTIF('קבוצות'!$A$3:$A$8,$A21)=0,"⚠ שם קבוצה לא מוכר",""))</f>
        <v/>
      </c>
    </row>
    <row r="22" ht="28" customHeight="1">
      <c r="A22" s="80" t="n"/>
      <c r="B22" s="69" t="n"/>
      <c r="C22" s="82" t="n"/>
      <c r="D22" s="70" t="n"/>
      <c r="E22" s="83">
        <f>IF($D22="","",IFERROR(INDEX('מאגר משימות'!$A$3:$A$252,MATCH($D22,'מאגר משימות'!$D$3:$D$252,0)),""))</f>
        <v/>
      </c>
      <c r="F22" s="70" t="n"/>
      <c r="G22" s="69" t="n"/>
      <c r="H22" s="84">
        <f>IF($D22="","",IF($C22="","",TEXT(HOUR($C22),"00")&amp;":"&amp;TEXT(MINUTE($C22),"00")&amp;" · ")&amp;$D22&amp;IF($A22="",""," — "&amp;$A22)&amp;IF($F22="",""," ("&amp;$F22&amp;")"))</f>
        <v/>
      </c>
      <c r="I22" s="76" t="n"/>
      <c r="J22" s="85">
        <f>IF($D22="","",IF($G22="","(ללא עוגן)",$G22))</f>
        <v/>
      </c>
      <c r="K22" s="85">
        <f>IF($A22="","",$A22&amp;"|"&amp;COUNTIF($A$3:$A22,$A22))</f>
        <v/>
      </c>
      <c r="L22" s="85">
        <f>IF($J22="","",$J22&amp;"|"&amp;COUNTIF($J$3:$J22,$J22))</f>
        <v/>
      </c>
      <c r="M22" s="35">
        <f>IF($A22="","",IF(COUNTIF('קבוצות'!$A$3:$A$8,$A22)=0,"⚠ שם קבוצה לא מוכר",""))</f>
        <v/>
      </c>
    </row>
    <row r="23" ht="28" customHeight="1">
      <c r="A23" s="80" t="n"/>
      <c r="B23" s="69" t="n"/>
      <c r="C23" s="82" t="n"/>
      <c r="D23" s="70" t="n"/>
      <c r="E23" s="83">
        <f>IF($D23="","",IFERROR(INDEX('מאגר משימות'!$A$3:$A$252,MATCH($D23,'מאגר משימות'!$D$3:$D$252,0)),""))</f>
        <v/>
      </c>
      <c r="F23" s="70" t="n"/>
      <c r="G23" s="69" t="n"/>
      <c r="H23" s="84">
        <f>IF($D23="","",IF($C23="","",TEXT(HOUR($C23),"00")&amp;":"&amp;TEXT(MINUTE($C23),"00")&amp;" · ")&amp;$D23&amp;IF($A23="",""," — "&amp;$A23)&amp;IF($F23="",""," ("&amp;$F23&amp;")"))</f>
        <v/>
      </c>
      <c r="I23" s="76" t="n"/>
      <c r="J23" s="85">
        <f>IF($D23="","",IF($G23="","(ללא עוגן)",$G23))</f>
        <v/>
      </c>
      <c r="K23" s="85">
        <f>IF($A23="","",$A23&amp;"|"&amp;COUNTIF($A$3:$A23,$A23))</f>
        <v/>
      </c>
      <c r="L23" s="85">
        <f>IF($J23="","",$J23&amp;"|"&amp;COUNTIF($J$3:$J23,$J23))</f>
        <v/>
      </c>
      <c r="M23" s="35">
        <f>IF($A23="","",IF(COUNTIF('קבוצות'!$A$3:$A$8,$A23)=0,"⚠ שם קבוצה לא מוכר",""))</f>
        <v/>
      </c>
    </row>
    <row r="24" ht="28" customHeight="1">
      <c r="A24" s="80" t="n"/>
      <c r="B24" s="69" t="n"/>
      <c r="C24" s="82" t="n"/>
      <c r="D24" s="70" t="n"/>
      <c r="E24" s="83">
        <f>IF($D24="","",IFERROR(INDEX('מאגר משימות'!$A$3:$A$252,MATCH($D24,'מאגר משימות'!$D$3:$D$252,0)),""))</f>
        <v/>
      </c>
      <c r="F24" s="70" t="n"/>
      <c r="G24" s="69" t="n"/>
      <c r="H24" s="84">
        <f>IF($D24="","",IF($C24="","",TEXT(HOUR($C24),"00")&amp;":"&amp;TEXT(MINUTE($C24),"00")&amp;" · ")&amp;$D24&amp;IF($A24="",""," — "&amp;$A24)&amp;IF($F24="",""," ("&amp;$F24&amp;")"))</f>
        <v/>
      </c>
      <c r="I24" s="76" t="n"/>
      <c r="J24" s="85">
        <f>IF($D24="","",IF($G24="","(ללא עוגן)",$G24))</f>
        <v/>
      </c>
      <c r="K24" s="85">
        <f>IF($A24="","",$A24&amp;"|"&amp;COUNTIF($A$3:$A24,$A24))</f>
        <v/>
      </c>
      <c r="L24" s="85">
        <f>IF($J24="","",$J24&amp;"|"&amp;COUNTIF($J$3:$J24,$J24))</f>
        <v/>
      </c>
      <c r="M24" s="35">
        <f>IF($A24="","",IF(COUNTIF('קבוצות'!$A$3:$A$8,$A24)=0,"⚠ שם קבוצה לא מוכר",""))</f>
        <v/>
      </c>
    </row>
    <row r="25" ht="28" customHeight="1">
      <c r="A25" s="80" t="n"/>
      <c r="B25" s="69" t="n"/>
      <c r="C25" s="82" t="n"/>
      <c r="D25" s="70" t="n"/>
      <c r="E25" s="83">
        <f>IF($D25="","",IFERROR(INDEX('מאגר משימות'!$A$3:$A$252,MATCH($D25,'מאגר משימות'!$D$3:$D$252,0)),""))</f>
        <v/>
      </c>
      <c r="F25" s="70" t="n"/>
      <c r="G25" s="69" t="n"/>
      <c r="H25" s="84">
        <f>IF($D25="","",IF($C25="","",TEXT(HOUR($C25),"00")&amp;":"&amp;TEXT(MINUTE($C25),"00")&amp;" · ")&amp;$D25&amp;IF($A25="",""," — "&amp;$A25)&amp;IF($F25="",""," ("&amp;$F25&amp;")"))</f>
        <v/>
      </c>
      <c r="I25" s="76" t="n"/>
      <c r="J25" s="85">
        <f>IF($D25="","",IF($G25="","(ללא עוגן)",$G25))</f>
        <v/>
      </c>
      <c r="K25" s="85">
        <f>IF($A25="","",$A25&amp;"|"&amp;COUNTIF($A$3:$A25,$A25))</f>
        <v/>
      </c>
      <c r="L25" s="85">
        <f>IF($J25="","",$J25&amp;"|"&amp;COUNTIF($J$3:$J25,$J25))</f>
        <v/>
      </c>
      <c r="M25" s="35">
        <f>IF($A25="","",IF(COUNTIF('קבוצות'!$A$3:$A$8,$A25)=0,"⚠ שם קבוצה לא מוכר",""))</f>
        <v/>
      </c>
    </row>
    <row r="26" ht="28" customHeight="1">
      <c r="A26" s="80" t="n"/>
      <c r="B26" s="69" t="n"/>
      <c r="C26" s="82" t="n"/>
      <c r="D26" s="70" t="n"/>
      <c r="E26" s="83">
        <f>IF($D26="","",IFERROR(INDEX('מאגר משימות'!$A$3:$A$252,MATCH($D26,'מאגר משימות'!$D$3:$D$252,0)),""))</f>
        <v/>
      </c>
      <c r="F26" s="70" t="n"/>
      <c r="G26" s="69" t="n"/>
      <c r="H26" s="84">
        <f>IF($D26="","",IF($C26="","",TEXT(HOUR($C26),"00")&amp;":"&amp;TEXT(MINUTE($C26),"00")&amp;" · ")&amp;$D26&amp;IF($A26="",""," — "&amp;$A26)&amp;IF($F26="",""," ("&amp;$F26&amp;")"))</f>
        <v/>
      </c>
      <c r="I26" s="76" t="n"/>
      <c r="J26" s="85">
        <f>IF($D26="","",IF($G26="","(ללא עוגן)",$G26))</f>
        <v/>
      </c>
      <c r="K26" s="85">
        <f>IF($A26="","",$A26&amp;"|"&amp;COUNTIF($A$3:$A26,$A26))</f>
        <v/>
      </c>
      <c r="L26" s="85">
        <f>IF($J26="","",$J26&amp;"|"&amp;COUNTIF($J$3:$J26,$J26))</f>
        <v/>
      </c>
      <c r="M26" s="35">
        <f>IF($A26="","",IF(COUNTIF('קבוצות'!$A$3:$A$8,$A26)=0,"⚠ שם קבוצה לא מוכר",""))</f>
        <v/>
      </c>
    </row>
    <row r="27" ht="28" customHeight="1">
      <c r="A27" s="80" t="n"/>
      <c r="B27" s="69" t="n"/>
      <c r="C27" s="82" t="n"/>
      <c r="D27" s="70" t="n"/>
      <c r="E27" s="83">
        <f>IF($D27="","",IFERROR(INDEX('מאגר משימות'!$A$3:$A$252,MATCH($D27,'מאגר משימות'!$D$3:$D$252,0)),""))</f>
        <v/>
      </c>
      <c r="F27" s="70" t="n"/>
      <c r="G27" s="69" t="n"/>
      <c r="H27" s="84">
        <f>IF($D27="","",IF($C27="","",TEXT(HOUR($C27),"00")&amp;":"&amp;TEXT(MINUTE($C27),"00")&amp;" · ")&amp;$D27&amp;IF($A27="",""," — "&amp;$A27)&amp;IF($F27="",""," ("&amp;$F27&amp;")"))</f>
        <v/>
      </c>
      <c r="I27" s="76" t="n"/>
      <c r="J27" s="85">
        <f>IF($D27="","",IF($G27="","(ללא עוגן)",$G27))</f>
        <v/>
      </c>
      <c r="K27" s="85">
        <f>IF($A27="","",$A27&amp;"|"&amp;COUNTIF($A$3:$A27,$A27))</f>
        <v/>
      </c>
      <c r="L27" s="85">
        <f>IF($J27="","",$J27&amp;"|"&amp;COUNTIF($J$3:$J27,$J27))</f>
        <v/>
      </c>
      <c r="M27" s="35">
        <f>IF($A27="","",IF(COUNTIF('קבוצות'!$A$3:$A$8,$A27)=0,"⚠ שם קבוצה לא מוכר",""))</f>
        <v/>
      </c>
    </row>
    <row r="28" ht="28" customHeight="1">
      <c r="A28" s="80" t="n"/>
      <c r="B28" s="69" t="n"/>
      <c r="C28" s="82" t="n"/>
      <c r="D28" s="70" t="n"/>
      <c r="E28" s="83">
        <f>IF($D28="","",IFERROR(INDEX('מאגר משימות'!$A$3:$A$252,MATCH($D28,'מאגר משימות'!$D$3:$D$252,0)),""))</f>
        <v/>
      </c>
      <c r="F28" s="70" t="n"/>
      <c r="G28" s="69" t="n"/>
      <c r="H28" s="84">
        <f>IF($D28="","",IF($C28="","",TEXT(HOUR($C28),"00")&amp;":"&amp;TEXT(MINUTE($C28),"00")&amp;" · ")&amp;$D28&amp;IF($A28="",""," — "&amp;$A28)&amp;IF($F28="",""," ("&amp;$F28&amp;")"))</f>
        <v/>
      </c>
      <c r="I28" s="76" t="n"/>
      <c r="J28" s="85">
        <f>IF($D28="","",IF($G28="","(ללא עוגן)",$G28))</f>
        <v/>
      </c>
      <c r="K28" s="85">
        <f>IF($A28="","",$A28&amp;"|"&amp;COUNTIF($A$3:$A28,$A28))</f>
        <v/>
      </c>
      <c r="L28" s="85">
        <f>IF($J28="","",$J28&amp;"|"&amp;COUNTIF($J$3:$J28,$J28))</f>
        <v/>
      </c>
      <c r="M28" s="35">
        <f>IF($A28="","",IF(COUNTIF('קבוצות'!$A$3:$A$8,$A28)=0,"⚠ שם קבוצה לא מוכר",""))</f>
        <v/>
      </c>
    </row>
    <row r="29" ht="28" customHeight="1">
      <c r="A29" s="80" t="n"/>
      <c r="B29" s="69" t="n"/>
      <c r="C29" s="82" t="n"/>
      <c r="D29" s="70" t="n"/>
      <c r="E29" s="83">
        <f>IF($D29="","",IFERROR(INDEX('מאגר משימות'!$A$3:$A$252,MATCH($D29,'מאגר משימות'!$D$3:$D$252,0)),""))</f>
        <v/>
      </c>
      <c r="F29" s="70" t="n"/>
      <c r="G29" s="69" t="n"/>
      <c r="H29" s="84">
        <f>IF($D29="","",IF($C29="","",TEXT(HOUR($C29),"00")&amp;":"&amp;TEXT(MINUTE($C29),"00")&amp;" · ")&amp;$D29&amp;IF($A29="",""," — "&amp;$A29)&amp;IF($F29="",""," ("&amp;$F29&amp;")"))</f>
        <v/>
      </c>
      <c r="I29" s="76" t="n"/>
      <c r="J29" s="85">
        <f>IF($D29="","",IF($G29="","(ללא עוגן)",$G29))</f>
        <v/>
      </c>
      <c r="K29" s="85">
        <f>IF($A29="","",$A29&amp;"|"&amp;COUNTIF($A$3:$A29,$A29))</f>
        <v/>
      </c>
      <c r="L29" s="85">
        <f>IF($J29="","",$J29&amp;"|"&amp;COUNTIF($J$3:$J29,$J29))</f>
        <v/>
      </c>
      <c r="M29" s="35">
        <f>IF($A29="","",IF(COUNTIF('קבוצות'!$A$3:$A$8,$A29)=0,"⚠ שם קבוצה לא מוכר",""))</f>
        <v/>
      </c>
    </row>
    <row r="30" ht="28" customHeight="1">
      <c r="A30" s="80" t="n"/>
      <c r="B30" s="69" t="n"/>
      <c r="C30" s="82" t="n"/>
      <c r="D30" s="70" t="n"/>
      <c r="E30" s="83">
        <f>IF($D30="","",IFERROR(INDEX('מאגר משימות'!$A$3:$A$252,MATCH($D30,'מאגר משימות'!$D$3:$D$252,0)),""))</f>
        <v/>
      </c>
      <c r="F30" s="70" t="n"/>
      <c r="G30" s="69" t="n"/>
      <c r="H30" s="84">
        <f>IF($D30="","",IF($C30="","",TEXT(HOUR($C30),"00")&amp;":"&amp;TEXT(MINUTE($C30),"00")&amp;" · ")&amp;$D30&amp;IF($A30="",""," — "&amp;$A30)&amp;IF($F30="",""," ("&amp;$F30&amp;")"))</f>
        <v/>
      </c>
      <c r="I30" s="76" t="n"/>
      <c r="J30" s="85">
        <f>IF($D30="","",IF($G30="","(ללא עוגן)",$G30))</f>
        <v/>
      </c>
      <c r="K30" s="85">
        <f>IF($A30="","",$A30&amp;"|"&amp;COUNTIF($A$3:$A30,$A30))</f>
        <v/>
      </c>
      <c r="L30" s="85">
        <f>IF($J30="","",$J30&amp;"|"&amp;COUNTIF($J$3:$J30,$J30))</f>
        <v/>
      </c>
      <c r="M30" s="35">
        <f>IF($A30="","",IF(COUNTIF('קבוצות'!$A$3:$A$8,$A30)=0,"⚠ שם קבוצה לא מוכר",""))</f>
        <v/>
      </c>
    </row>
    <row r="31" ht="28" customHeight="1">
      <c r="A31" s="80" t="n"/>
      <c r="B31" s="69" t="n"/>
      <c r="C31" s="82" t="n"/>
      <c r="D31" s="70" t="n"/>
      <c r="E31" s="83">
        <f>IF($D31="","",IFERROR(INDEX('מאגר משימות'!$A$3:$A$252,MATCH($D31,'מאגר משימות'!$D$3:$D$252,0)),""))</f>
        <v/>
      </c>
      <c r="F31" s="70" t="n"/>
      <c r="G31" s="69" t="n"/>
      <c r="H31" s="84">
        <f>IF($D31="","",IF($C31="","",TEXT(HOUR($C31),"00")&amp;":"&amp;TEXT(MINUTE($C31),"00")&amp;" · ")&amp;$D31&amp;IF($A31="",""," — "&amp;$A31)&amp;IF($F31="",""," ("&amp;$F31&amp;")"))</f>
        <v/>
      </c>
      <c r="I31" s="76" t="n"/>
      <c r="J31" s="85">
        <f>IF($D31="","",IF($G31="","(ללא עוגן)",$G31))</f>
        <v/>
      </c>
      <c r="K31" s="85">
        <f>IF($A31="","",$A31&amp;"|"&amp;COUNTIF($A$3:$A31,$A31))</f>
        <v/>
      </c>
      <c r="L31" s="85">
        <f>IF($J31="","",$J31&amp;"|"&amp;COUNTIF($J$3:$J31,$J31))</f>
        <v/>
      </c>
      <c r="M31" s="35">
        <f>IF($A31="","",IF(COUNTIF('קבוצות'!$A$3:$A$8,$A31)=0,"⚠ שם קבוצה לא מוכר",""))</f>
        <v/>
      </c>
    </row>
    <row r="32" ht="28" customHeight="1">
      <c r="A32" s="80" t="n"/>
      <c r="B32" s="69" t="n"/>
      <c r="C32" s="82" t="n"/>
      <c r="D32" s="70" t="n"/>
      <c r="E32" s="83">
        <f>IF($D32="","",IFERROR(INDEX('מאגר משימות'!$A$3:$A$252,MATCH($D32,'מאגר משימות'!$D$3:$D$252,0)),""))</f>
        <v/>
      </c>
      <c r="F32" s="70" t="n"/>
      <c r="G32" s="69" t="n"/>
      <c r="H32" s="84">
        <f>IF($D32="","",IF($C32="","",TEXT(HOUR($C32),"00")&amp;":"&amp;TEXT(MINUTE($C32),"00")&amp;" · ")&amp;$D32&amp;IF($A32="",""," — "&amp;$A32)&amp;IF($F32="",""," ("&amp;$F32&amp;")"))</f>
        <v/>
      </c>
      <c r="I32" s="76" t="n"/>
      <c r="J32" s="85">
        <f>IF($D32="","",IF($G32="","(ללא עוגן)",$G32))</f>
        <v/>
      </c>
      <c r="K32" s="85">
        <f>IF($A32="","",$A32&amp;"|"&amp;COUNTIF($A$3:$A32,$A32))</f>
        <v/>
      </c>
      <c r="L32" s="85">
        <f>IF($J32="","",$J32&amp;"|"&amp;COUNTIF($J$3:$J32,$J32))</f>
        <v/>
      </c>
      <c r="M32" s="35">
        <f>IF($A32="","",IF(COUNTIF('קבוצות'!$A$3:$A$8,$A32)=0,"⚠ שם קבוצה לא מוכר",""))</f>
        <v/>
      </c>
    </row>
    <row r="33" ht="28" customHeight="1">
      <c r="A33" s="80" t="n"/>
      <c r="B33" s="69" t="n"/>
      <c r="C33" s="82" t="n"/>
      <c r="D33" s="70" t="n"/>
      <c r="E33" s="83">
        <f>IF($D33="","",IFERROR(INDEX('מאגר משימות'!$A$3:$A$252,MATCH($D33,'מאגר משימות'!$D$3:$D$252,0)),""))</f>
        <v/>
      </c>
      <c r="F33" s="70" t="n"/>
      <c r="G33" s="69" t="n"/>
      <c r="H33" s="84">
        <f>IF($D33="","",IF($C33="","",TEXT(HOUR($C33),"00")&amp;":"&amp;TEXT(MINUTE($C33),"00")&amp;" · ")&amp;$D33&amp;IF($A33="",""," — "&amp;$A33)&amp;IF($F33="",""," ("&amp;$F33&amp;")"))</f>
        <v/>
      </c>
      <c r="I33" s="76" t="n"/>
      <c r="J33" s="85">
        <f>IF($D33="","",IF($G33="","(ללא עוגן)",$G33))</f>
        <v/>
      </c>
      <c r="K33" s="85">
        <f>IF($A33="","",$A33&amp;"|"&amp;COUNTIF($A$3:$A33,$A33))</f>
        <v/>
      </c>
      <c r="L33" s="85">
        <f>IF($J33="","",$J33&amp;"|"&amp;COUNTIF($J$3:$J33,$J33))</f>
        <v/>
      </c>
      <c r="M33" s="35">
        <f>IF($A33="","",IF(COUNTIF('קבוצות'!$A$3:$A$8,$A33)=0,"⚠ שם קבוצה לא מוכר",""))</f>
        <v/>
      </c>
    </row>
    <row r="34" ht="28" customHeight="1">
      <c r="A34" s="80" t="n"/>
      <c r="B34" s="69" t="n"/>
      <c r="C34" s="82" t="n"/>
      <c r="D34" s="70" t="n"/>
      <c r="E34" s="83">
        <f>IF($D34="","",IFERROR(INDEX('מאגר משימות'!$A$3:$A$252,MATCH($D34,'מאגר משימות'!$D$3:$D$252,0)),""))</f>
        <v/>
      </c>
      <c r="F34" s="70" t="n"/>
      <c r="G34" s="69" t="n"/>
      <c r="H34" s="84">
        <f>IF($D34="","",IF($C34="","",TEXT(HOUR($C34),"00")&amp;":"&amp;TEXT(MINUTE($C34),"00")&amp;" · ")&amp;$D34&amp;IF($A34="",""," — "&amp;$A34)&amp;IF($F34="",""," ("&amp;$F34&amp;")"))</f>
        <v/>
      </c>
      <c r="I34" s="76" t="n"/>
      <c r="J34" s="85">
        <f>IF($D34="","",IF($G34="","(ללא עוגן)",$G34))</f>
        <v/>
      </c>
      <c r="K34" s="85">
        <f>IF($A34="","",$A34&amp;"|"&amp;COUNTIF($A$3:$A34,$A34))</f>
        <v/>
      </c>
      <c r="L34" s="85">
        <f>IF($J34="","",$J34&amp;"|"&amp;COUNTIF($J$3:$J34,$J34))</f>
        <v/>
      </c>
      <c r="M34" s="35">
        <f>IF($A34="","",IF(COUNTIF('קבוצות'!$A$3:$A$8,$A34)=0,"⚠ שם קבוצה לא מוכר",""))</f>
        <v/>
      </c>
    </row>
    <row r="35" ht="28" customHeight="1">
      <c r="A35" s="80" t="n"/>
      <c r="B35" s="69" t="n"/>
      <c r="C35" s="82" t="n"/>
      <c r="D35" s="70" t="n"/>
      <c r="E35" s="83">
        <f>IF($D35="","",IFERROR(INDEX('מאגר משימות'!$A$3:$A$252,MATCH($D35,'מאגר משימות'!$D$3:$D$252,0)),""))</f>
        <v/>
      </c>
      <c r="F35" s="70" t="n"/>
      <c r="G35" s="69" t="n"/>
      <c r="H35" s="84">
        <f>IF($D35="","",IF($C35="","",TEXT(HOUR($C35),"00")&amp;":"&amp;TEXT(MINUTE($C35),"00")&amp;" · ")&amp;$D35&amp;IF($A35="",""," — "&amp;$A35)&amp;IF($F35="",""," ("&amp;$F35&amp;")"))</f>
        <v/>
      </c>
      <c r="I35" s="76" t="n"/>
      <c r="J35" s="85">
        <f>IF($D35="","",IF($G35="","(ללא עוגן)",$G35))</f>
        <v/>
      </c>
      <c r="K35" s="85">
        <f>IF($A35="","",$A35&amp;"|"&amp;COUNTIF($A$3:$A35,$A35))</f>
        <v/>
      </c>
      <c r="L35" s="85">
        <f>IF($J35="","",$J35&amp;"|"&amp;COUNTIF($J$3:$J35,$J35))</f>
        <v/>
      </c>
      <c r="M35" s="35">
        <f>IF($A35="","",IF(COUNTIF('קבוצות'!$A$3:$A$8,$A35)=0,"⚠ שם קבוצה לא מוכר",""))</f>
        <v/>
      </c>
    </row>
    <row r="36" ht="28" customHeight="1">
      <c r="A36" s="80" t="n"/>
      <c r="B36" s="69" t="n"/>
      <c r="C36" s="82" t="n"/>
      <c r="D36" s="70" t="n"/>
      <c r="E36" s="83">
        <f>IF($D36="","",IFERROR(INDEX('מאגר משימות'!$A$3:$A$252,MATCH($D36,'מאגר משימות'!$D$3:$D$252,0)),""))</f>
        <v/>
      </c>
      <c r="F36" s="70" t="n"/>
      <c r="G36" s="69" t="n"/>
      <c r="H36" s="84">
        <f>IF($D36="","",IF($C36="","",TEXT(HOUR($C36),"00")&amp;":"&amp;TEXT(MINUTE($C36),"00")&amp;" · ")&amp;$D36&amp;IF($A36="",""," — "&amp;$A36)&amp;IF($F36="",""," ("&amp;$F36&amp;")"))</f>
        <v/>
      </c>
      <c r="I36" s="76" t="n"/>
      <c r="J36" s="85">
        <f>IF($D36="","",IF($G36="","(ללא עוגן)",$G36))</f>
        <v/>
      </c>
      <c r="K36" s="85">
        <f>IF($A36="","",$A36&amp;"|"&amp;COUNTIF($A$3:$A36,$A36))</f>
        <v/>
      </c>
      <c r="L36" s="85">
        <f>IF($J36="","",$J36&amp;"|"&amp;COUNTIF($J$3:$J36,$J36))</f>
        <v/>
      </c>
      <c r="M36" s="35">
        <f>IF($A36="","",IF(COUNTIF('קבוצות'!$A$3:$A$8,$A36)=0,"⚠ שם קבוצה לא מוכר",""))</f>
        <v/>
      </c>
    </row>
    <row r="37" ht="28" customHeight="1">
      <c r="A37" s="80" t="n"/>
      <c r="B37" s="69" t="n"/>
      <c r="C37" s="82" t="n"/>
      <c r="D37" s="70" t="n"/>
      <c r="E37" s="83">
        <f>IF($D37="","",IFERROR(INDEX('מאגר משימות'!$A$3:$A$252,MATCH($D37,'מאגר משימות'!$D$3:$D$252,0)),""))</f>
        <v/>
      </c>
      <c r="F37" s="70" t="n"/>
      <c r="G37" s="69" t="n"/>
      <c r="H37" s="84">
        <f>IF($D37="","",IF($C37="","",TEXT(HOUR($C37),"00")&amp;":"&amp;TEXT(MINUTE($C37),"00")&amp;" · ")&amp;$D37&amp;IF($A37="",""," — "&amp;$A37)&amp;IF($F37="",""," ("&amp;$F37&amp;")"))</f>
        <v/>
      </c>
      <c r="I37" s="76" t="n"/>
      <c r="J37" s="85">
        <f>IF($D37="","",IF($G37="","(ללא עוגן)",$G37))</f>
        <v/>
      </c>
      <c r="K37" s="85">
        <f>IF($A37="","",$A37&amp;"|"&amp;COUNTIF($A$3:$A37,$A37))</f>
        <v/>
      </c>
      <c r="L37" s="85">
        <f>IF($J37="","",$J37&amp;"|"&amp;COUNTIF($J$3:$J37,$J37))</f>
        <v/>
      </c>
      <c r="M37" s="35">
        <f>IF($A37="","",IF(COUNTIF('קבוצות'!$A$3:$A$8,$A37)=0,"⚠ שם קבוצה לא מוכר",""))</f>
        <v/>
      </c>
    </row>
    <row r="38" ht="28" customHeight="1">
      <c r="A38" s="80" t="n"/>
      <c r="B38" s="69" t="n"/>
      <c r="C38" s="82" t="n"/>
      <c r="D38" s="70" t="n"/>
      <c r="E38" s="83">
        <f>IF($D38="","",IFERROR(INDEX('מאגר משימות'!$A$3:$A$252,MATCH($D38,'מאגר משימות'!$D$3:$D$252,0)),""))</f>
        <v/>
      </c>
      <c r="F38" s="70" t="n"/>
      <c r="G38" s="69" t="n"/>
      <c r="H38" s="84">
        <f>IF($D38="","",IF($C38="","",TEXT(HOUR($C38),"00")&amp;":"&amp;TEXT(MINUTE($C38),"00")&amp;" · ")&amp;$D38&amp;IF($A38="",""," — "&amp;$A38)&amp;IF($F38="",""," ("&amp;$F38&amp;")"))</f>
        <v/>
      </c>
      <c r="I38" s="76" t="n"/>
      <c r="J38" s="85">
        <f>IF($D38="","",IF($G38="","(ללא עוגן)",$G38))</f>
        <v/>
      </c>
      <c r="K38" s="85">
        <f>IF($A38="","",$A38&amp;"|"&amp;COUNTIF($A$3:$A38,$A38))</f>
        <v/>
      </c>
      <c r="L38" s="85">
        <f>IF($J38="","",$J38&amp;"|"&amp;COUNTIF($J$3:$J38,$J38))</f>
        <v/>
      </c>
      <c r="M38" s="35">
        <f>IF($A38="","",IF(COUNTIF('קבוצות'!$A$3:$A$8,$A38)=0,"⚠ שם קבוצה לא מוכר",""))</f>
        <v/>
      </c>
    </row>
    <row r="39" ht="28" customHeight="1">
      <c r="A39" s="80" t="n"/>
      <c r="B39" s="69" t="n"/>
      <c r="C39" s="82" t="n"/>
      <c r="D39" s="70" t="n"/>
      <c r="E39" s="83">
        <f>IF($D39="","",IFERROR(INDEX('מאגר משימות'!$A$3:$A$252,MATCH($D39,'מאגר משימות'!$D$3:$D$252,0)),""))</f>
        <v/>
      </c>
      <c r="F39" s="70" t="n"/>
      <c r="G39" s="69" t="n"/>
      <c r="H39" s="84">
        <f>IF($D39="","",IF($C39="","",TEXT(HOUR($C39),"00")&amp;":"&amp;TEXT(MINUTE($C39),"00")&amp;" · ")&amp;$D39&amp;IF($A39="",""," — "&amp;$A39)&amp;IF($F39="",""," ("&amp;$F39&amp;")"))</f>
        <v/>
      </c>
      <c r="I39" s="76" t="n"/>
      <c r="J39" s="85">
        <f>IF($D39="","",IF($G39="","(ללא עוגן)",$G39))</f>
        <v/>
      </c>
      <c r="K39" s="85">
        <f>IF($A39="","",$A39&amp;"|"&amp;COUNTIF($A$3:$A39,$A39))</f>
        <v/>
      </c>
      <c r="L39" s="85">
        <f>IF($J39="","",$J39&amp;"|"&amp;COUNTIF($J$3:$J39,$J39))</f>
        <v/>
      </c>
      <c r="M39" s="35">
        <f>IF($A39="","",IF(COUNTIF('קבוצות'!$A$3:$A$8,$A39)=0,"⚠ שם קבוצה לא מוכר",""))</f>
        <v/>
      </c>
    </row>
    <row r="40" ht="28" customHeight="1">
      <c r="A40" s="80" t="n"/>
      <c r="B40" s="69" t="n"/>
      <c r="C40" s="82" t="n"/>
      <c r="D40" s="70" t="n"/>
      <c r="E40" s="83">
        <f>IF($D40="","",IFERROR(INDEX('מאגר משימות'!$A$3:$A$252,MATCH($D40,'מאגר משימות'!$D$3:$D$252,0)),""))</f>
        <v/>
      </c>
      <c r="F40" s="70" t="n"/>
      <c r="G40" s="69" t="n"/>
      <c r="H40" s="84">
        <f>IF($D40="","",IF($C40="","",TEXT(HOUR($C40),"00")&amp;":"&amp;TEXT(MINUTE($C40),"00")&amp;" · ")&amp;$D40&amp;IF($A40="",""," — "&amp;$A40)&amp;IF($F40="",""," ("&amp;$F40&amp;")"))</f>
        <v/>
      </c>
      <c r="I40" s="76" t="n"/>
      <c r="J40" s="85">
        <f>IF($D40="","",IF($G40="","(ללא עוגן)",$G40))</f>
        <v/>
      </c>
      <c r="K40" s="85">
        <f>IF($A40="","",$A40&amp;"|"&amp;COUNTIF($A$3:$A40,$A40))</f>
        <v/>
      </c>
      <c r="L40" s="85">
        <f>IF($J40="","",$J40&amp;"|"&amp;COUNTIF($J$3:$J40,$J40))</f>
        <v/>
      </c>
      <c r="M40" s="35">
        <f>IF($A40="","",IF(COUNTIF('קבוצות'!$A$3:$A$8,$A40)=0,"⚠ שם קבוצה לא מוכר",""))</f>
        <v/>
      </c>
    </row>
    <row r="41" ht="28" customHeight="1">
      <c r="A41" s="80" t="n"/>
      <c r="B41" s="69" t="n"/>
      <c r="C41" s="82" t="n"/>
      <c r="D41" s="70" t="n"/>
      <c r="E41" s="83">
        <f>IF($D41="","",IFERROR(INDEX('מאגר משימות'!$A$3:$A$252,MATCH($D41,'מאגר משימות'!$D$3:$D$252,0)),""))</f>
        <v/>
      </c>
      <c r="F41" s="70" t="n"/>
      <c r="G41" s="69" t="n"/>
      <c r="H41" s="84">
        <f>IF($D41="","",IF($C41="","",TEXT(HOUR($C41),"00")&amp;":"&amp;TEXT(MINUTE($C41),"00")&amp;" · ")&amp;$D41&amp;IF($A41="",""," — "&amp;$A41)&amp;IF($F41="",""," ("&amp;$F41&amp;")"))</f>
        <v/>
      </c>
      <c r="I41" s="76" t="n"/>
      <c r="J41" s="85">
        <f>IF($D41="","",IF($G41="","(ללא עוגן)",$G41))</f>
        <v/>
      </c>
      <c r="K41" s="85">
        <f>IF($A41="","",$A41&amp;"|"&amp;COUNTIF($A$3:$A41,$A41))</f>
        <v/>
      </c>
      <c r="L41" s="85">
        <f>IF($J41="","",$J41&amp;"|"&amp;COUNTIF($J$3:$J41,$J41))</f>
        <v/>
      </c>
      <c r="M41" s="35">
        <f>IF($A41="","",IF(COUNTIF('קבוצות'!$A$3:$A$8,$A41)=0,"⚠ שם קבוצה לא מוכר",""))</f>
        <v/>
      </c>
    </row>
    <row r="42" ht="28" customHeight="1">
      <c r="A42" s="80" t="n"/>
      <c r="B42" s="69" t="n"/>
      <c r="C42" s="82" t="n"/>
      <c r="D42" s="70" t="n"/>
      <c r="E42" s="83">
        <f>IF($D42="","",IFERROR(INDEX('מאגר משימות'!$A$3:$A$252,MATCH($D42,'מאגר משימות'!$D$3:$D$252,0)),""))</f>
        <v/>
      </c>
      <c r="F42" s="70" t="n"/>
      <c r="G42" s="69" t="n"/>
      <c r="H42" s="84">
        <f>IF($D42="","",IF($C42="","",TEXT(HOUR($C42),"00")&amp;":"&amp;TEXT(MINUTE($C42),"00")&amp;" · ")&amp;$D42&amp;IF($A42="",""," — "&amp;$A42)&amp;IF($F42="",""," ("&amp;$F42&amp;")"))</f>
        <v/>
      </c>
      <c r="I42" s="76" t="n"/>
      <c r="J42" s="85">
        <f>IF($D42="","",IF($G42="","(ללא עוגן)",$G42))</f>
        <v/>
      </c>
      <c r="K42" s="85">
        <f>IF($A42="","",$A42&amp;"|"&amp;COUNTIF($A$3:$A42,$A42))</f>
        <v/>
      </c>
      <c r="L42" s="85">
        <f>IF($J42="","",$J42&amp;"|"&amp;COUNTIF($J$3:$J42,$J42))</f>
        <v/>
      </c>
      <c r="M42" s="35">
        <f>IF($A42="","",IF(COUNTIF('קבוצות'!$A$3:$A$8,$A42)=0,"⚠ שם קבוצה לא מוכר",""))</f>
        <v/>
      </c>
    </row>
    <row r="43" ht="28" customHeight="1">
      <c r="A43" s="80" t="n"/>
      <c r="B43" s="69" t="n"/>
      <c r="C43" s="82" t="n"/>
      <c r="D43" s="70" t="n"/>
      <c r="E43" s="83">
        <f>IF($D43="","",IFERROR(INDEX('מאגר משימות'!$A$3:$A$252,MATCH($D43,'מאגר משימות'!$D$3:$D$252,0)),""))</f>
        <v/>
      </c>
      <c r="F43" s="70" t="n"/>
      <c r="G43" s="69" t="n"/>
      <c r="H43" s="84">
        <f>IF($D43="","",IF($C43="","",TEXT(HOUR($C43),"00")&amp;":"&amp;TEXT(MINUTE($C43),"00")&amp;" · ")&amp;$D43&amp;IF($A43="",""," — "&amp;$A43)&amp;IF($F43="",""," ("&amp;$F43&amp;")"))</f>
        <v/>
      </c>
      <c r="I43" s="76" t="n"/>
      <c r="J43" s="85">
        <f>IF($D43="","",IF($G43="","(ללא עוגן)",$G43))</f>
        <v/>
      </c>
      <c r="K43" s="85">
        <f>IF($A43="","",$A43&amp;"|"&amp;COUNTIF($A$3:$A43,$A43))</f>
        <v/>
      </c>
      <c r="L43" s="85">
        <f>IF($J43="","",$J43&amp;"|"&amp;COUNTIF($J$3:$J43,$J43))</f>
        <v/>
      </c>
      <c r="M43" s="35">
        <f>IF($A43="","",IF(COUNTIF('קבוצות'!$A$3:$A$8,$A43)=0,"⚠ שם קבוצה לא מוכר",""))</f>
        <v/>
      </c>
    </row>
    <row r="44" ht="28" customHeight="1">
      <c r="A44" s="80" t="n"/>
      <c r="B44" s="69" t="n"/>
      <c r="C44" s="82" t="n"/>
      <c r="D44" s="70" t="n"/>
      <c r="E44" s="83">
        <f>IF($D44="","",IFERROR(INDEX('מאגר משימות'!$A$3:$A$252,MATCH($D44,'מאגר משימות'!$D$3:$D$252,0)),""))</f>
        <v/>
      </c>
      <c r="F44" s="70" t="n"/>
      <c r="G44" s="69" t="n"/>
      <c r="H44" s="84">
        <f>IF($D44="","",IF($C44="","",TEXT(HOUR($C44),"00")&amp;":"&amp;TEXT(MINUTE($C44),"00")&amp;" · ")&amp;$D44&amp;IF($A44="",""," — "&amp;$A44)&amp;IF($F44="",""," ("&amp;$F44&amp;")"))</f>
        <v/>
      </c>
      <c r="I44" s="76" t="n"/>
      <c r="J44" s="85">
        <f>IF($D44="","",IF($G44="","(ללא עוגן)",$G44))</f>
        <v/>
      </c>
      <c r="K44" s="85">
        <f>IF($A44="","",$A44&amp;"|"&amp;COUNTIF($A$3:$A44,$A44))</f>
        <v/>
      </c>
      <c r="L44" s="85">
        <f>IF($J44="","",$J44&amp;"|"&amp;COUNTIF($J$3:$J44,$J44))</f>
        <v/>
      </c>
      <c r="M44" s="35">
        <f>IF($A44="","",IF(COUNTIF('קבוצות'!$A$3:$A$8,$A44)=0,"⚠ שם קבוצה לא מוכר",""))</f>
        <v/>
      </c>
    </row>
    <row r="45" ht="28" customHeight="1">
      <c r="A45" s="80" t="n"/>
      <c r="B45" s="69" t="n"/>
      <c r="C45" s="82" t="n"/>
      <c r="D45" s="70" t="n"/>
      <c r="E45" s="83">
        <f>IF($D45="","",IFERROR(INDEX('מאגר משימות'!$A$3:$A$252,MATCH($D45,'מאגר משימות'!$D$3:$D$252,0)),""))</f>
        <v/>
      </c>
      <c r="F45" s="70" t="n"/>
      <c r="G45" s="69" t="n"/>
      <c r="H45" s="84">
        <f>IF($D45="","",IF($C45="","",TEXT(HOUR($C45),"00")&amp;":"&amp;TEXT(MINUTE($C45),"00")&amp;" · ")&amp;$D45&amp;IF($A45="",""," — "&amp;$A45)&amp;IF($F45="",""," ("&amp;$F45&amp;")"))</f>
        <v/>
      </c>
      <c r="I45" s="76" t="n"/>
      <c r="J45" s="85">
        <f>IF($D45="","",IF($G45="","(ללא עוגן)",$G45))</f>
        <v/>
      </c>
      <c r="K45" s="85">
        <f>IF($A45="","",$A45&amp;"|"&amp;COUNTIF($A$3:$A45,$A45))</f>
        <v/>
      </c>
      <c r="L45" s="85">
        <f>IF($J45="","",$J45&amp;"|"&amp;COUNTIF($J$3:$J45,$J45))</f>
        <v/>
      </c>
      <c r="M45" s="35">
        <f>IF($A45="","",IF(COUNTIF('קבוצות'!$A$3:$A$8,$A45)=0,"⚠ שם קבוצה לא מוכר",""))</f>
        <v/>
      </c>
    </row>
    <row r="46" ht="28" customHeight="1">
      <c r="A46" s="80" t="n"/>
      <c r="B46" s="69" t="n"/>
      <c r="C46" s="82" t="n"/>
      <c r="D46" s="70" t="n"/>
      <c r="E46" s="83">
        <f>IF($D46="","",IFERROR(INDEX('מאגר משימות'!$A$3:$A$252,MATCH($D46,'מאגר משימות'!$D$3:$D$252,0)),""))</f>
        <v/>
      </c>
      <c r="F46" s="70" t="n"/>
      <c r="G46" s="69" t="n"/>
      <c r="H46" s="84">
        <f>IF($D46="","",IF($C46="","",TEXT(HOUR($C46),"00")&amp;":"&amp;TEXT(MINUTE($C46),"00")&amp;" · ")&amp;$D46&amp;IF($A46="",""," — "&amp;$A46)&amp;IF($F46="",""," ("&amp;$F46&amp;")"))</f>
        <v/>
      </c>
      <c r="I46" s="76" t="n"/>
      <c r="J46" s="85">
        <f>IF($D46="","",IF($G46="","(ללא עוגן)",$G46))</f>
        <v/>
      </c>
      <c r="K46" s="85">
        <f>IF($A46="","",$A46&amp;"|"&amp;COUNTIF($A$3:$A46,$A46))</f>
        <v/>
      </c>
      <c r="L46" s="85">
        <f>IF($J46="","",$J46&amp;"|"&amp;COUNTIF($J$3:$J46,$J46))</f>
        <v/>
      </c>
      <c r="M46" s="35">
        <f>IF($A46="","",IF(COUNTIF('קבוצות'!$A$3:$A$8,$A46)=0,"⚠ שם קבוצה לא מוכר",""))</f>
        <v/>
      </c>
    </row>
    <row r="47" ht="28" customHeight="1">
      <c r="A47" s="80" t="n"/>
      <c r="B47" s="69" t="n"/>
      <c r="C47" s="82" t="n"/>
      <c r="D47" s="70" t="n"/>
      <c r="E47" s="83">
        <f>IF($D47="","",IFERROR(INDEX('מאגר משימות'!$A$3:$A$252,MATCH($D47,'מאגר משימות'!$D$3:$D$252,0)),""))</f>
        <v/>
      </c>
      <c r="F47" s="70" t="n"/>
      <c r="G47" s="69" t="n"/>
      <c r="H47" s="84">
        <f>IF($D47="","",IF($C47="","",TEXT(HOUR($C47),"00")&amp;":"&amp;TEXT(MINUTE($C47),"00")&amp;" · ")&amp;$D47&amp;IF($A47="",""," — "&amp;$A47)&amp;IF($F47="",""," ("&amp;$F47&amp;")"))</f>
        <v/>
      </c>
      <c r="I47" s="76" t="n"/>
      <c r="J47" s="85">
        <f>IF($D47="","",IF($G47="","(ללא עוגן)",$G47))</f>
        <v/>
      </c>
      <c r="K47" s="85">
        <f>IF($A47="","",$A47&amp;"|"&amp;COUNTIF($A$3:$A47,$A47))</f>
        <v/>
      </c>
      <c r="L47" s="85">
        <f>IF($J47="","",$J47&amp;"|"&amp;COUNTIF($J$3:$J47,$J47))</f>
        <v/>
      </c>
      <c r="M47" s="35">
        <f>IF($A47="","",IF(COUNTIF('קבוצות'!$A$3:$A$8,$A47)=0,"⚠ שם קבוצה לא מוכר",""))</f>
        <v/>
      </c>
    </row>
    <row r="48" ht="28" customHeight="1">
      <c r="A48" s="80" t="n"/>
      <c r="B48" s="69" t="n"/>
      <c r="C48" s="82" t="n"/>
      <c r="D48" s="70" t="n"/>
      <c r="E48" s="83">
        <f>IF($D48="","",IFERROR(INDEX('מאגר משימות'!$A$3:$A$252,MATCH($D48,'מאגר משימות'!$D$3:$D$252,0)),""))</f>
        <v/>
      </c>
      <c r="F48" s="70" t="n"/>
      <c r="G48" s="69" t="n"/>
      <c r="H48" s="84">
        <f>IF($D48="","",IF($C48="","",TEXT(HOUR($C48),"00")&amp;":"&amp;TEXT(MINUTE($C48),"00")&amp;" · ")&amp;$D48&amp;IF($A48="",""," — "&amp;$A48)&amp;IF($F48="",""," ("&amp;$F48&amp;")"))</f>
        <v/>
      </c>
      <c r="I48" s="76" t="n"/>
      <c r="J48" s="85">
        <f>IF($D48="","",IF($G48="","(ללא עוגן)",$G48))</f>
        <v/>
      </c>
      <c r="K48" s="85">
        <f>IF($A48="","",$A48&amp;"|"&amp;COUNTIF($A$3:$A48,$A48))</f>
        <v/>
      </c>
      <c r="L48" s="85">
        <f>IF($J48="","",$J48&amp;"|"&amp;COUNTIF($J$3:$J48,$J48))</f>
        <v/>
      </c>
      <c r="M48" s="35">
        <f>IF($A48="","",IF(COUNTIF('קבוצות'!$A$3:$A$8,$A48)=0,"⚠ שם קבוצה לא מוכר",""))</f>
        <v/>
      </c>
    </row>
    <row r="49" ht="28" customHeight="1">
      <c r="A49" s="80" t="n"/>
      <c r="B49" s="69" t="n"/>
      <c r="C49" s="82" t="n"/>
      <c r="D49" s="70" t="n"/>
      <c r="E49" s="83">
        <f>IF($D49="","",IFERROR(INDEX('מאגר משימות'!$A$3:$A$252,MATCH($D49,'מאגר משימות'!$D$3:$D$252,0)),""))</f>
        <v/>
      </c>
      <c r="F49" s="70" t="n"/>
      <c r="G49" s="69" t="n"/>
      <c r="H49" s="84">
        <f>IF($D49="","",IF($C49="","",TEXT(HOUR($C49),"00")&amp;":"&amp;TEXT(MINUTE($C49),"00")&amp;" · ")&amp;$D49&amp;IF($A49="",""," — "&amp;$A49)&amp;IF($F49="",""," ("&amp;$F49&amp;")"))</f>
        <v/>
      </c>
      <c r="I49" s="76" t="n"/>
      <c r="J49" s="85">
        <f>IF($D49="","",IF($G49="","(ללא עוגן)",$G49))</f>
        <v/>
      </c>
      <c r="K49" s="85">
        <f>IF($A49="","",$A49&amp;"|"&amp;COUNTIF($A$3:$A49,$A49))</f>
        <v/>
      </c>
      <c r="L49" s="85">
        <f>IF($J49="","",$J49&amp;"|"&amp;COUNTIF($J$3:$J49,$J49))</f>
        <v/>
      </c>
      <c r="M49" s="35">
        <f>IF($A49="","",IF(COUNTIF('קבוצות'!$A$3:$A$8,$A49)=0,"⚠ שם קבוצה לא מוכר",""))</f>
        <v/>
      </c>
    </row>
    <row r="50" ht="28" customHeight="1">
      <c r="A50" s="80" t="n"/>
      <c r="B50" s="69" t="n"/>
      <c r="C50" s="82" t="n"/>
      <c r="D50" s="70" t="n"/>
      <c r="E50" s="83">
        <f>IF($D50="","",IFERROR(INDEX('מאגר משימות'!$A$3:$A$252,MATCH($D50,'מאגר משימות'!$D$3:$D$252,0)),""))</f>
        <v/>
      </c>
      <c r="F50" s="70" t="n"/>
      <c r="G50" s="69" t="n"/>
      <c r="H50" s="84">
        <f>IF($D50="","",IF($C50="","",TEXT(HOUR($C50),"00")&amp;":"&amp;TEXT(MINUTE($C50),"00")&amp;" · ")&amp;$D50&amp;IF($A50="",""," — "&amp;$A50)&amp;IF($F50="",""," ("&amp;$F50&amp;")"))</f>
        <v/>
      </c>
      <c r="I50" s="76" t="n"/>
      <c r="J50" s="85">
        <f>IF($D50="","",IF($G50="","(ללא עוגן)",$G50))</f>
        <v/>
      </c>
      <c r="K50" s="85">
        <f>IF($A50="","",$A50&amp;"|"&amp;COUNTIF($A$3:$A50,$A50))</f>
        <v/>
      </c>
      <c r="L50" s="85">
        <f>IF($J50="","",$J50&amp;"|"&amp;COUNTIF($J$3:$J50,$J50))</f>
        <v/>
      </c>
      <c r="M50" s="35">
        <f>IF($A50="","",IF(COUNTIF('קבוצות'!$A$3:$A$8,$A50)=0,"⚠ שם קבוצה לא מוכר",""))</f>
        <v/>
      </c>
    </row>
    <row r="51" ht="28" customHeight="1">
      <c r="A51" s="80" t="n"/>
      <c r="B51" s="69" t="n"/>
      <c r="C51" s="82" t="n"/>
      <c r="D51" s="70" t="n"/>
      <c r="E51" s="83">
        <f>IF($D51="","",IFERROR(INDEX('מאגר משימות'!$A$3:$A$252,MATCH($D51,'מאגר משימות'!$D$3:$D$252,0)),""))</f>
        <v/>
      </c>
      <c r="F51" s="70" t="n"/>
      <c r="G51" s="69" t="n"/>
      <c r="H51" s="84">
        <f>IF($D51="","",IF($C51="","",TEXT(HOUR($C51),"00")&amp;":"&amp;TEXT(MINUTE($C51),"00")&amp;" · ")&amp;$D51&amp;IF($A51="",""," — "&amp;$A51)&amp;IF($F51="",""," ("&amp;$F51&amp;")"))</f>
        <v/>
      </c>
      <c r="I51" s="76" t="n"/>
      <c r="J51" s="85">
        <f>IF($D51="","",IF($G51="","(ללא עוגן)",$G51))</f>
        <v/>
      </c>
      <c r="K51" s="85">
        <f>IF($A51="","",$A51&amp;"|"&amp;COUNTIF($A$3:$A51,$A51))</f>
        <v/>
      </c>
      <c r="L51" s="85">
        <f>IF($J51="","",$J51&amp;"|"&amp;COUNTIF($J$3:$J51,$J51))</f>
        <v/>
      </c>
      <c r="M51" s="35">
        <f>IF($A51="","",IF(COUNTIF('קבוצות'!$A$3:$A$8,$A51)=0,"⚠ שם קבוצה לא מוכר",""))</f>
        <v/>
      </c>
    </row>
    <row r="52" ht="28" customHeight="1">
      <c r="A52" s="80" t="n"/>
      <c r="B52" s="69" t="n"/>
      <c r="C52" s="82" t="n"/>
      <c r="D52" s="70" t="n"/>
      <c r="E52" s="83">
        <f>IF($D52="","",IFERROR(INDEX('מאגר משימות'!$A$3:$A$252,MATCH($D52,'מאגר משימות'!$D$3:$D$252,0)),""))</f>
        <v/>
      </c>
      <c r="F52" s="70" t="n"/>
      <c r="G52" s="69" t="n"/>
      <c r="H52" s="84">
        <f>IF($D52="","",IF($C52="","",TEXT(HOUR($C52),"00")&amp;":"&amp;TEXT(MINUTE($C52),"00")&amp;" · ")&amp;$D52&amp;IF($A52="",""," — "&amp;$A52)&amp;IF($F52="",""," ("&amp;$F52&amp;")"))</f>
        <v/>
      </c>
      <c r="I52" s="76" t="n"/>
      <c r="J52" s="85">
        <f>IF($D52="","",IF($G52="","(ללא עוגן)",$G52))</f>
        <v/>
      </c>
      <c r="K52" s="85">
        <f>IF($A52="","",$A52&amp;"|"&amp;COUNTIF($A$3:$A52,$A52))</f>
        <v/>
      </c>
      <c r="L52" s="85">
        <f>IF($J52="","",$J52&amp;"|"&amp;COUNTIF($J$3:$J52,$J52))</f>
        <v/>
      </c>
      <c r="M52" s="35">
        <f>IF($A52="","",IF(COUNTIF('קבוצות'!$A$3:$A$8,$A52)=0,"⚠ שם קבוצה לא מוכר",""))</f>
        <v/>
      </c>
    </row>
    <row r="53" ht="28" customHeight="1">
      <c r="A53" s="80" t="n"/>
      <c r="B53" s="69" t="n"/>
      <c r="C53" s="82" t="n"/>
      <c r="D53" s="70" t="n"/>
      <c r="E53" s="83">
        <f>IF($D53="","",IFERROR(INDEX('מאגר משימות'!$A$3:$A$252,MATCH($D53,'מאגר משימות'!$D$3:$D$252,0)),""))</f>
        <v/>
      </c>
      <c r="F53" s="70" t="n"/>
      <c r="G53" s="69" t="n"/>
      <c r="H53" s="84">
        <f>IF($D53="","",IF($C53="","",TEXT(HOUR($C53),"00")&amp;":"&amp;TEXT(MINUTE($C53),"00")&amp;" · ")&amp;$D53&amp;IF($A53="",""," — "&amp;$A53)&amp;IF($F53="",""," ("&amp;$F53&amp;")"))</f>
        <v/>
      </c>
      <c r="I53" s="76" t="n"/>
      <c r="J53" s="85">
        <f>IF($D53="","",IF($G53="","(ללא עוגן)",$G53))</f>
        <v/>
      </c>
      <c r="K53" s="85">
        <f>IF($A53="","",$A53&amp;"|"&amp;COUNTIF($A$3:$A53,$A53))</f>
        <v/>
      </c>
      <c r="L53" s="85">
        <f>IF($J53="","",$J53&amp;"|"&amp;COUNTIF($J$3:$J53,$J53))</f>
        <v/>
      </c>
      <c r="M53" s="35">
        <f>IF($A53="","",IF(COUNTIF('קבוצות'!$A$3:$A$8,$A53)=0,"⚠ שם קבוצה לא מוכר",""))</f>
        <v/>
      </c>
    </row>
    <row r="54" ht="28" customHeight="1">
      <c r="A54" s="80" t="n"/>
      <c r="B54" s="69" t="n"/>
      <c r="C54" s="82" t="n"/>
      <c r="D54" s="70" t="n"/>
      <c r="E54" s="83">
        <f>IF($D54="","",IFERROR(INDEX('מאגר משימות'!$A$3:$A$252,MATCH($D54,'מאגר משימות'!$D$3:$D$252,0)),""))</f>
        <v/>
      </c>
      <c r="F54" s="70" t="n"/>
      <c r="G54" s="69" t="n"/>
      <c r="H54" s="84">
        <f>IF($D54="","",IF($C54="","",TEXT(HOUR($C54),"00")&amp;":"&amp;TEXT(MINUTE($C54),"00")&amp;" · ")&amp;$D54&amp;IF($A54="",""," — "&amp;$A54)&amp;IF($F54="",""," ("&amp;$F54&amp;")"))</f>
        <v/>
      </c>
      <c r="I54" s="76" t="n"/>
      <c r="J54" s="85">
        <f>IF($D54="","",IF($G54="","(ללא עוגן)",$G54))</f>
        <v/>
      </c>
      <c r="K54" s="85">
        <f>IF($A54="","",$A54&amp;"|"&amp;COUNTIF($A$3:$A54,$A54))</f>
        <v/>
      </c>
      <c r="L54" s="85">
        <f>IF($J54="","",$J54&amp;"|"&amp;COUNTIF($J$3:$J54,$J54))</f>
        <v/>
      </c>
      <c r="M54" s="35">
        <f>IF($A54="","",IF(COUNTIF('קבוצות'!$A$3:$A$8,$A54)=0,"⚠ שם קבוצה לא מוכר",""))</f>
        <v/>
      </c>
    </row>
    <row r="55" ht="28" customHeight="1">
      <c r="A55" s="80" t="n"/>
      <c r="B55" s="69" t="n"/>
      <c r="C55" s="82" t="n"/>
      <c r="D55" s="70" t="n"/>
      <c r="E55" s="83">
        <f>IF($D55="","",IFERROR(INDEX('מאגר משימות'!$A$3:$A$252,MATCH($D55,'מאגר משימות'!$D$3:$D$252,0)),""))</f>
        <v/>
      </c>
      <c r="F55" s="70" t="n"/>
      <c r="G55" s="69" t="n"/>
      <c r="H55" s="84">
        <f>IF($D55="","",IF($C55="","",TEXT(HOUR($C55),"00")&amp;":"&amp;TEXT(MINUTE($C55),"00")&amp;" · ")&amp;$D55&amp;IF($A55="",""," — "&amp;$A55)&amp;IF($F55="",""," ("&amp;$F55&amp;")"))</f>
        <v/>
      </c>
      <c r="I55" s="76" t="n"/>
      <c r="J55" s="85">
        <f>IF($D55="","",IF($G55="","(ללא עוגן)",$G55))</f>
        <v/>
      </c>
      <c r="K55" s="85">
        <f>IF($A55="","",$A55&amp;"|"&amp;COUNTIF($A$3:$A55,$A55))</f>
        <v/>
      </c>
      <c r="L55" s="85">
        <f>IF($J55="","",$J55&amp;"|"&amp;COUNTIF($J$3:$J55,$J55))</f>
        <v/>
      </c>
      <c r="M55" s="35">
        <f>IF($A55="","",IF(COUNTIF('קבוצות'!$A$3:$A$8,$A55)=0,"⚠ שם קבוצה לא מוכר",""))</f>
        <v/>
      </c>
    </row>
    <row r="56" ht="28" customHeight="1">
      <c r="A56" s="80" t="n"/>
      <c r="B56" s="69" t="n"/>
      <c r="C56" s="82" t="n"/>
      <c r="D56" s="70" t="n"/>
      <c r="E56" s="83">
        <f>IF($D56="","",IFERROR(INDEX('מאגר משימות'!$A$3:$A$252,MATCH($D56,'מאגר משימות'!$D$3:$D$252,0)),""))</f>
        <v/>
      </c>
      <c r="F56" s="70" t="n"/>
      <c r="G56" s="69" t="n"/>
      <c r="H56" s="84">
        <f>IF($D56="","",IF($C56="","",TEXT(HOUR($C56),"00")&amp;":"&amp;TEXT(MINUTE($C56),"00")&amp;" · ")&amp;$D56&amp;IF($A56="",""," — "&amp;$A56)&amp;IF($F56="",""," ("&amp;$F56&amp;")"))</f>
        <v/>
      </c>
      <c r="I56" s="76" t="n"/>
      <c r="J56" s="85">
        <f>IF($D56="","",IF($G56="","(ללא עוגן)",$G56))</f>
        <v/>
      </c>
      <c r="K56" s="85">
        <f>IF($A56="","",$A56&amp;"|"&amp;COUNTIF($A$3:$A56,$A56))</f>
        <v/>
      </c>
      <c r="L56" s="85">
        <f>IF($J56="","",$J56&amp;"|"&amp;COUNTIF($J$3:$J56,$J56))</f>
        <v/>
      </c>
      <c r="M56" s="35">
        <f>IF($A56="","",IF(COUNTIF('קבוצות'!$A$3:$A$8,$A56)=0,"⚠ שם קבוצה לא מוכר",""))</f>
        <v/>
      </c>
    </row>
    <row r="57" ht="28" customHeight="1">
      <c r="A57" s="80" t="n"/>
      <c r="B57" s="69" t="n"/>
      <c r="C57" s="82" t="n"/>
      <c r="D57" s="70" t="n"/>
      <c r="E57" s="83">
        <f>IF($D57="","",IFERROR(INDEX('מאגר משימות'!$A$3:$A$252,MATCH($D57,'מאגר משימות'!$D$3:$D$252,0)),""))</f>
        <v/>
      </c>
      <c r="F57" s="70" t="n"/>
      <c r="G57" s="69" t="n"/>
      <c r="H57" s="84">
        <f>IF($D57="","",IF($C57="","",TEXT(HOUR($C57),"00")&amp;":"&amp;TEXT(MINUTE($C57),"00")&amp;" · ")&amp;$D57&amp;IF($A57="",""," — "&amp;$A57)&amp;IF($F57="",""," ("&amp;$F57&amp;")"))</f>
        <v/>
      </c>
      <c r="I57" s="76" t="n"/>
      <c r="J57" s="85">
        <f>IF($D57="","",IF($G57="","(ללא עוגן)",$G57))</f>
        <v/>
      </c>
      <c r="K57" s="85">
        <f>IF($A57="","",$A57&amp;"|"&amp;COUNTIF($A$3:$A57,$A57))</f>
        <v/>
      </c>
      <c r="L57" s="85">
        <f>IF($J57="","",$J57&amp;"|"&amp;COUNTIF($J$3:$J57,$J57))</f>
        <v/>
      </c>
      <c r="M57" s="35">
        <f>IF($A57="","",IF(COUNTIF('קבוצות'!$A$3:$A$8,$A57)=0,"⚠ שם קבוצה לא מוכר",""))</f>
        <v/>
      </c>
    </row>
    <row r="58" ht="28" customHeight="1">
      <c r="A58" s="80" t="n"/>
      <c r="B58" s="69" t="n"/>
      <c r="C58" s="82" t="n"/>
      <c r="D58" s="70" t="n"/>
      <c r="E58" s="83">
        <f>IF($D58="","",IFERROR(INDEX('מאגר משימות'!$A$3:$A$252,MATCH($D58,'מאגר משימות'!$D$3:$D$252,0)),""))</f>
        <v/>
      </c>
      <c r="F58" s="70" t="n"/>
      <c r="G58" s="69" t="n"/>
      <c r="H58" s="84">
        <f>IF($D58="","",IF($C58="","",TEXT(HOUR($C58),"00")&amp;":"&amp;TEXT(MINUTE($C58),"00")&amp;" · ")&amp;$D58&amp;IF($A58="",""," — "&amp;$A58)&amp;IF($F58="",""," ("&amp;$F58&amp;")"))</f>
        <v/>
      </c>
      <c r="I58" s="76" t="n"/>
      <c r="J58" s="85">
        <f>IF($D58="","",IF($G58="","(ללא עוגן)",$G58))</f>
        <v/>
      </c>
      <c r="K58" s="85">
        <f>IF($A58="","",$A58&amp;"|"&amp;COUNTIF($A$3:$A58,$A58))</f>
        <v/>
      </c>
      <c r="L58" s="85">
        <f>IF($J58="","",$J58&amp;"|"&amp;COUNTIF($J$3:$J58,$J58))</f>
        <v/>
      </c>
      <c r="M58" s="35">
        <f>IF($A58="","",IF(COUNTIF('קבוצות'!$A$3:$A$8,$A58)=0,"⚠ שם קבוצה לא מוכר",""))</f>
        <v/>
      </c>
    </row>
    <row r="59" ht="28" customHeight="1">
      <c r="A59" s="80" t="n"/>
      <c r="B59" s="69" t="n"/>
      <c r="C59" s="82" t="n"/>
      <c r="D59" s="70" t="n"/>
      <c r="E59" s="83">
        <f>IF($D59="","",IFERROR(INDEX('מאגר משימות'!$A$3:$A$252,MATCH($D59,'מאגר משימות'!$D$3:$D$252,0)),""))</f>
        <v/>
      </c>
      <c r="F59" s="70" t="n"/>
      <c r="G59" s="69" t="n"/>
      <c r="H59" s="84">
        <f>IF($D59="","",IF($C59="","",TEXT(HOUR($C59),"00")&amp;":"&amp;TEXT(MINUTE($C59),"00")&amp;" · ")&amp;$D59&amp;IF($A59="",""," — "&amp;$A59)&amp;IF($F59="",""," ("&amp;$F59&amp;")"))</f>
        <v/>
      </c>
      <c r="I59" s="76" t="n"/>
      <c r="J59" s="85">
        <f>IF($D59="","",IF($G59="","(ללא עוגן)",$G59))</f>
        <v/>
      </c>
      <c r="K59" s="85">
        <f>IF($A59="","",$A59&amp;"|"&amp;COUNTIF($A$3:$A59,$A59))</f>
        <v/>
      </c>
      <c r="L59" s="85">
        <f>IF($J59="","",$J59&amp;"|"&amp;COUNTIF($J$3:$J59,$J59))</f>
        <v/>
      </c>
      <c r="M59" s="35">
        <f>IF($A59="","",IF(COUNTIF('קבוצות'!$A$3:$A$8,$A59)=0,"⚠ שם קבוצה לא מוכר",""))</f>
        <v/>
      </c>
    </row>
    <row r="60" ht="28" customHeight="1">
      <c r="A60" s="80" t="n"/>
      <c r="B60" s="69" t="n"/>
      <c r="C60" s="82" t="n"/>
      <c r="D60" s="70" t="n"/>
      <c r="E60" s="83">
        <f>IF($D60="","",IFERROR(INDEX('מאגר משימות'!$A$3:$A$252,MATCH($D60,'מאגר משימות'!$D$3:$D$252,0)),""))</f>
        <v/>
      </c>
      <c r="F60" s="70" t="n"/>
      <c r="G60" s="69" t="n"/>
      <c r="H60" s="84">
        <f>IF($D60="","",IF($C60="","",TEXT(HOUR($C60),"00")&amp;":"&amp;TEXT(MINUTE($C60),"00")&amp;" · ")&amp;$D60&amp;IF($A60="",""," — "&amp;$A60)&amp;IF($F60="",""," ("&amp;$F60&amp;")"))</f>
        <v/>
      </c>
      <c r="I60" s="76" t="n"/>
      <c r="J60" s="85">
        <f>IF($D60="","",IF($G60="","(ללא עוגן)",$G60))</f>
        <v/>
      </c>
      <c r="K60" s="85">
        <f>IF($A60="","",$A60&amp;"|"&amp;COUNTIF($A$3:$A60,$A60))</f>
        <v/>
      </c>
      <c r="L60" s="85">
        <f>IF($J60="","",$J60&amp;"|"&amp;COUNTIF($J$3:$J60,$J60))</f>
        <v/>
      </c>
      <c r="M60" s="35">
        <f>IF($A60="","",IF(COUNTIF('קבוצות'!$A$3:$A$8,$A60)=0,"⚠ שם קבוצה לא מוכר",""))</f>
        <v/>
      </c>
    </row>
    <row r="61" ht="28" customHeight="1">
      <c r="A61" s="80" t="n"/>
      <c r="B61" s="69" t="n"/>
      <c r="C61" s="82" t="n"/>
      <c r="D61" s="70" t="n"/>
      <c r="E61" s="83">
        <f>IF($D61="","",IFERROR(INDEX('מאגר משימות'!$A$3:$A$252,MATCH($D61,'מאגר משימות'!$D$3:$D$252,0)),""))</f>
        <v/>
      </c>
      <c r="F61" s="70" t="n"/>
      <c r="G61" s="69" t="n"/>
      <c r="H61" s="84">
        <f>IF($D61="","",IF($C61="","",TEXT(HOUR($C61),"00")&amp;":"&amp;TEXT(MINUTE($C61),"00")&amp;" · ")&amp;$D61&amp;IF($A61="",""," — "&amp;$A61)&amp;IF($F61="",""," ("&amp;$F61&amp;")"))</f>
        <v/>
      </c>
      <c r="I61" s="76" t="n"/>
      <c r="J61" s="85">
        <f>IF($D61="","",IF($G61="","(ללא עוגן)",$G61))</f>
        <v/>
      </c>
      <c r="K61" s="85">
        <f>IF($A61="","",$A61&amp;"|"&amp;COUNTIF($A$3:$A61,$A61))</f>
        <v/>
      </c>
      <c r="L61" s="85">
        <f>IF($J61="","",$J61&amp;"|"&amp;COUNTIF($J$3:$J61,$J61))</f>
        <v/>
      </c>
      <c r="M61" s="35">
        <f>IF($A61="","",IF(COUNTIF('קבוצות'!$A$3:$A$8,$A61)=0,"⚠ שם קבוצה לא מוכר",""))</f>
        <v/>
      </c>
    </row>
    <row r="62" ht="28" customHeight="1">
      <c r="A62" s="80" t="n"/>
      <c r="B62" s="69" t="n"/>
      <c r="C62" s="82" t="n"/>
      <c r="D62" s="70" t="n"/>
      <c r="E62" s="83">
        <f>IF($D62="","",IFERROR(INDEX('מאגר משימות'!$A$3:$A$252,MATCH($D62,'מאגר משימות'!$D$3:$D$252,0)),""))</f>
        <v/>
      </c>
      <c r="F62" s="70" t="n"/>
      <c r="G62" s="69" t="n"/>
      <c r="H62" s="84">
        <f>IF($D62="","",IF($C62="","",TEXT(HOUR($C62),"00")&amp;":"&amp;TEXT(MINUTE($C62),"00")&amp;" · ")&amp;$D62&amp;IF($A62="",""," — "&amp;$A62)&amp;IF($F62="",""," ("&amp;$F62&amp;")"))</f>
        <v/>
      </c>
      <c r="I62" s="76" t="n"/>
      <c r="J62" s="85">
        <f>IF($D62="","",IF($G62="","(ללא עוגן)",$G62))</f>
        <v/>
      </c>
      <c r="K62" s="85">
        <f>IF($A62="","",$A62&amp;"|"&amp;COUNTIF($A$3:$A62,$A62))</f>
        <v/>
      </c>
      <c r="L62" s="85">
        <f>IF($J62="","",$J62&amp;"|"&amp;COUNTIF($J$3:$J62,$J62))</f>
        <v/>
      </c>
      <c r="M62" s="35">
        <f>IF($A62="","",IF(COUNTIF('קבוצות'!$A$3:$A$8,$A62)=0,"⚠ שם קבוצה לא מוכר",""))</f>
        <v/>
      </c>
    </row>
    <row r="63" ht="28" customHeight="1">
      <c r="A63" s="80" t="n"/>
      <c r="B63" s="69" t="n"/>
      <c r="C63" s="82" t="n"/>
      <c r="D63" s="70" t="n"/>
      <c r="E63" s="83">
        <f>IF($D63="","",IFERROR(INDEX('מאגר משימות'!$A$3:$A$252,MATCH($D63,'מאגר משימות'!$D$3:$D$252,0)),""))</f>
        <v/>
      </c>
      <c r="F63" s="70" t="n"/>
      <c r="G63" s="69" t="n"/>
      <c r="H63" s="84">
        <f>IF($D63="","",IF($C63="","",TEXT(HOUR($C63),"00")&amp;":"&amp;TEXT(MINUTE($C63),"00")&amp;" · ")&amp;$D63&amp;IF($A63="",""," — "&amp;$A63)&amp;IF($F63="",""," ("&amp;$F63&amp;")"))</f>
        <v/>
      </c>
      <c r="I63" s="76" t="n"/>
      <c r="J63" s="85">
        <f>IF($D63="","",IF($G63="","(ללא עוגן)",$G63))</f>
        <v/>
      </c>
      <c r="K63" s="85">
        <f>IF($A63="","",$A63&amp;"|"&amp;COUNTIF($A$3:$A63,$A63))</f>
        <v/>
      </c>
      <c r="L63" s="85">
        <f>IF($J63="","",$J63&amp;"|"&amp;COUNTIF($J$3:$J63,$J63))</f>
        <v/>
      </c>
      <c r="M63" s="35">
        <f>IF($A63="","",IF(COUNTIF('קבוצות'!$A$3:$A$8,$A63)=0,"⚠ שם קבוצה לא מוכר",""))</f>
        <v/>
      </c>
    </row>
    <row r="64" ht="28" customHeight="1">
      <c r="A64" s="80" t="n"/>
      <c r="B64" s="69" t="n"/>
      <c r="C64" s="82" t="n"/>
      <c r="D64" s="70" t="n"/>
      <c r="E64" s="83">
        <f>IF($D64="","",IFERROR(INDEX('מאגר משימות'!$A$3:$A$252,MATCH($D64,'מאגר משימות'!$D$3:$D$252,0)),""))</f>
        <v/>
      </c>
      <c r="F64" s="70" t="n"/>
      <c r="G64" s="69" t="n"/>
      <c r="H64" s="84">
        <f>IF($D64="","",IF($C64="","",TEXT(HOUR($C64),"00")&amp;":"&amp;TEXT(MINUTE($C64),"00")&amp;" · ")&amp;$D64&amp;IF($A64="",""," — "&amp;$A64)&amp;IF($F64="",""," ("&amp;$F64&amp;")"))</f>
        <v/>
      </c>
      <c r="I64" s="76" t="n"/>
      <c r="J64" s="85">
        <f>IF($D64="","",IF($G64="","(ללא עוגן)",$G64))</f>
        <v/>
      </c>
      <c r="K64" s="85">
        <f>IF($A64="","",$A64&amp;"|"&amp;COUNTIF($A$3:$A64,$A64))</f>
        <v/>
      </c>
      <c r="L64" s="85">
        <f>IF($J64="","",$J64&amp;"|"&amp;COUNTIF($J$3:$J64,$J64))</f>
        <v/>
      </c>
      <c r="M64" s="35">
        <f>IF($A64="","",IF(COUNTIF('קבוצות'!$A$3:$A$8,$A64)=0,"⚠ שם קבוצה לא מוכר",""))</f>
        <v/>
      </c>
    </row>
    <row r="65" ht="28" customHeight="1">
      <c r="A65" s="80" t="n"/>
      <c r="B65" s="69" t="n"/>
      <c r="C65" s="82" t="n"/>
      <c r="D65" s="70" t="n"/>
      <c r="E65" s="83">
        <f>IF($D65="","",IFERROR(INDEX('מאגר משימות'!$A$3:$A$252,MATCH($D65,'מאגר משימות'!$D$3:$D$252,0)),""))</f>
        <v/>
      </c>
      <c r="F65" s="70" t="n"/>
      <c r="G65" s="69" t="n"/>
      <c r="H65" s="84">
        <f>IF($D65="","",IF($C65="","",TEXT(HOUR($C65),"00")&amp;":"&amp;TEXT(MINUTE($C65),"00")&amp;" · ")&amp;$D65&amp;IF($A65="",""," — "&amp;$A65)&amp;IF($F65="",""," ("&amp;$F65&amp;")"))</f>
        <v/>
      </c>
      <c r="I65" s="76" t="n"/>
      <c r="J65" s="85">
        <f>IF($D65="","",IF($G65="","(ללא עוגן)",$G65))</f>
        <v/>
      </c>
      <c r="K65" s="85">
        <f>IF($A65="","",$A65&amp;"|"&amp;COUNTIF($A$3:$A65,$A65))</f>
        <v/>
      </c>
      <c r="L65" s="85">
        <f>IF($J65="","",$J65&amp;"|"&amp;COUNTIF($J$3:$J65,$J65))</f>
        <v/>
      </c>
      <c r="M65" s="35">
        <f>IF($A65="","",IF(COUNTIF('קבוצות'!$A$3:$A$8,$A65)=0,"⚠ שם קבוצה לא מוכר",""))</f>
        <v/>
      </c>
    </row>
    <row r="66" ht="28" customHeight="1">
      <c r="A66" s="80" t="n"/>
      <c r="B66" s="69" t="n"/>
      <c r="C66" s="82" t="n"/>
      <c r="D66" s="70" t="n"/>
      <c r="E66" s="83">
        <f>IF($D66="","",IFERROR(INDEX('מאגר משימות'!$A$3:$A$252,MATCH($D66,'מאגר משימות'!$D$3:$D$252,0)),""))</f>
        <v/>
      </c>
      <c r="F66" s="70" t="n"/>
      <c r="G66" s="69" t="n"/>
      <c r="H66" s="84">
        <f>IF($D66="","",IF($C66="","",TEXT(HOUR($C66),"00")&amp;":"&amp;TEXT(MINUTE($C66),"00")&amp;" · ")&amp;$D66&amp;IF($A66="",""," — "&amp;$A66)&amp;IF($F66="",""," ("&amp;$F66&amp;")"))</f>
        <v/>
      </c>
      <c r="I66" s="76" t="n"/>
      <c r="J66" s="85">
        <f>IF($D66="","",IF($G66="","(ללא עוגן)",$G66))</f>
        <v/>
      </c>
      <c r="K66" s="85">
        <f>IF($A66="","",$A66&amp;"|"&amp;COUNTIF($A$3:$A66,$A66))</f>
        <v/>
      </c>
      <c r="L66" s="85">
        <f>IF($J66="","",$J66&amp;"|"&amp;COUNTIF($J$3:$J66,$J66))</f>
        <v/>
      </c>
      <c r="M66" s="35">
        <f>IF($A66="","",IF(COUNTIF('קבוצות'!$A$3:$A$8,$A66)=0,"⚠ שם קבוצה לא מוכר",""))</f>
        <v/>
      </c>
    </row>
    <row r="67" ht="28" customHeight="1">
      <c r="A67" s="80" t="n"/>
      <c r="B67" s="69" t="n"/>
      <c r="C67" s="82" t="n"/>
      <c r="D67" s="70" t="n"/>
      <c r="E67" s="83">
        <f>IF($D67="","",IFERROR(INDEX('מאגר משימות'!$A$3:$A$252,MATCH($D67,'מאגר משימות'!$D$3:$D$252,0)),""))</f>
        <v/>
      </c>
      <c r="F67" s="70" t="n"/>
      <c r="G67" s="69" t="n"/>
      <c r="H67" s="84">
        <f>IF($D67="","",IF($C67="","",TEXT(HOUR($C67),"00")&amp;":"&amp;TEXT(MINUTE($C67),"00")&amp;" · ")&amp;$D67&amp;IF($A67="",""," — "&amp;$A67)&amp;IF($F67="",""," ("&amp;$F67&amp;")"))</f>
        <v/>
      </c>
      <c r="I67" s="76" t="n"/>
      <c r="J67" s="85">
        <f>IF($D67="","",IF($G67="","(ללא עוגן)",$G67))</f>
        <v/>
      </c>
      <c r="K67" s="85">
        <f>IF($A67="","",$A67&amp;"|"&amp;COUNTIF($A$3:$A67,$A67))</f>
        <v/>
      </c>
      <c r="L67" s="85">
        <f>IF($J67="","",$J67&amp;"|"&amp;COUNTIF($J$3:$J67,$J67))</f>
        <v/>
      </c>
      <c r="M67" s="35">
        <f>IF($A67="","",IF(COUNTIF('קבוצות'!$A$3:$A$8,$A67)=0,"⚠ שם קבוצה לא מוכר",""))</f>
        <v/>
      </c>
    </row>
    <row r="68" ht="28" customHeight="1">
      <c r="A68" s="80" t="n"/>
      <c r="B68" s="69" t="n"/>
      <c r="C68" s="82" t="n"/>
      <c r="D68" s="70" t="n"/>
      <c r="E68" s="83">
        <f>IF($D68="","",IFERROR(INDEX('מאגר משימות'!$A$3:$A$252,MATCH($D68,'מאגר משימות'!$D$3:$D$252,0)),""))</f>
        <v/>
      </c>
      <c r="F68" s="70" t="n"/>
      <c r="G68" s="69" t="n"/>
      <c r="H68" s="84">
        <f>IF($D68="","",IF($C68="","",TEXT(HOUR($C68),"00")&amp;":"&amp;TEXT(MINUTE($C68),"00")&amp;" · ")&amp;$D68&amp;IF($A68="",""," — "&amp;$A68)&amp;IF($F68="",""," ("&amp;$F68&amp;")"))</f>
        <v/>
      </c>
      <c r="I68" s="76" t="n"/>
      <c r="J68" s="85">
        <f>IF($D68="","",IF($G68="","(ללא עוגן)",$G68))</f>
        <v/>
      </c>
      <c r="K68" s="85">
        <f>IF($A68="","",$A68&amp;"|"&amp;COUNTIF($A$3:$A68,$A68))</f>
        <v/>
      </c>
      <c r="L68" s="85">
        <f>IF($J68="","",$J68&amp;"|"&amp;COUNTIF($J$3:$J68,$J68))</f>
        <v/>
      </c>
      <c r="M68" s="35">
        <f>IF($A68="","",IF(COUNTIF('קבוצות'!$A$3:$A$8,$A68)=0,"⚠ שם קבוצה לא מוכר",""))</f>
        <v/>
      </c>
    </row>
    <row r="69" ht="28" customHeight="1">
      <c r="A69" s="80" t="n"/>
      <c r="B69" s="69" t="n"/>
      <c r="C69" s="82" t="n"/>
      <c r="D69" s="70" t="n"/>
      <c r="E69" s="83">
        <f>IF($D69="","",IFERROR(INDEX('מאגר משימות'!$A$3:$A$252,MATCH($D69,'מאגר משימות'!$D$3:$D$252,0)),""))</f>
        <v/>
      </c>
      <c r="F69" s="70" t="n"/>
      <c r="G69" s="69" t="n"/>
      <c r="H69" s="84">
        <f>IF($D69="","",IF($C69="","",TEXT(HOUR($C69),"00")&amp;":"&amp;TEXT(MINUTE($C69),"00")&amp;" · ")&amp;$D69&amp;IF($A69="",""," — "&amp;$A69)&amp;IF($F69="",""," ("&amp;$F69&amp;")"))</f>
        <v/>
      </c>
      <c r="I69" s="76" t="n"/>
      <c r="J69" s="85">
        <f>IF($D69="","",IF($G69="","(ללא עוגן)",$G69))</f>
        <v/>
      </c>
      <c r="K69" s="85">
        <f>IF($A69="","",$A69&amp;"|"&amp;COUNTIF($A$3:$A69,$A69))</f>
        <v/>
      </c>
      <c r="L69" s="85">
        <f>IF($J69="","",$J69&amp;"|"&amp;COUNTIF($J$3:$J69,$J69))</f>
        <v/>
      </c>
      <c r="M69" s="35">
        <f>IF($A69="","",IF(COUNTIF('קבוצות'!$A$3:$A$8,$A69)=0,"⚠ שם קבוצה לא מוכר",""))</f>
        <v/>
      </c>
    </row>
    <row r="70" ht="28" customHeight="1">
      <c r="A70" s="80" t="n"/>
      <c r="B70" s="69" t="n"/>
      <c r="C70" s="82" t="n"/>
      <c r="D70" s="70" t="n"/>
      <c r="E70" s="83">
        <f>IF($D70="","",IFERROR(INDEX('מאגר משימות'!$A$3:$A$252,MATCH($D70,'מאגר משימות'!$D$3:$D$252,0)),""))</f>
        <v/>
      </c>
      <c r="F70" s="70" t="n"/>
      <c r="G70" s="69" t="n"/>
      <c r="H70" s="84">
        <f>IF($D70="","",IF($C70="","",TEXT(HOUR($C70),"00")&amp;":"&amp;TEXT(MINUTE($C70),"00")&amp;" · ")&amp;$D70&amp;IF($A70="",""," — "&amp;$A70)&amp;IF($F70="",""," ("&amp;$F70&amp;")"))</f>
        <v/>
      </c>
      <c r="I70" s="76" t="n"/>
      <c r="J70" s="85">
        <f>IF($D70="","",IF($G70="","(ללא עוגן)",$G70))</f>
        <v/>
      </c>
      <c r="K70" s="85">
        <f>IF($A70="","",$A70&amp;"|"&amp;COUNTIF($A$3:$A70,$A70))</f>
        <v/>
      </c>
      <c r="L70" s="85">
        <f>IF($J70="","",$J70&amp;"|"&amp;COUNTIF($J$3:$J70,$J70))</f>
        <v/>
      </c>
      <c r="M70" s="35">
        <f>IF($A70="","",IF(COUNTIF('קבוצות'!$A$3:$A$8,$A70)=0,"⚠ שם קבוצה לא מוכר",""))</f>
        <v/>
      </c>
    </row>
    <row r="71" ht="28" customHeight="1">
      <c r="A71" s="80" t="n"/>
      <c r="B71" s="69" t="n"/>
      <c r="C71" s="82" t="n"/>
      <c r="D71" s="70" t="n"/>
      <c r="E71" s="83">
        <f>IF($D71="","",IFERROR(INDEX('מאגר משימות'!$A$3:$A$252,MATCH($D71,'מאגר משימות'!$D$3:$D$252,0)),""))</f>
        <v/>
      </c>
      <c r="F71" s="70" t="n"/>
      <c r="G71" s="69" t="n"/>
      <c r="H71" s="84">
        <f>IF($D71="","",IF($C71="","",TEXT(HOUR($C71),"00")&amp;":"&amp;TEXT(MINUTE($C71),"00")&amp;" · ")&amp;$D71&amp;IF($A71="",""," — "&amp;$A71)&amp;IF($F71="",""," ("&amp;$F71&amp;")"))</f>
        <v/>
      </c>
      <c r="I71" s="76" t="n"/>
      <c r="J71" s="85">
        <f>IF($D71="","",IF($G71="","(ללא עוגן)",$G71))</f>
        <v/>
      </c>
      <c r="K71" s="85">
        <f>IF($A71="","",$A71&amp;"|"&amp;COUNTIF($A$3:$A71,$A71))</f>
        <v/>
      </c>
      <c r="L71" s="85">
        <f>IF($J71="","",$J71&amp;"|"&amp;COUNTIF($J$3:$J71,$J71))</f>
        <v/>
      </c>
      <c r="M71" s="35">
        <f>IF($A71="","",IF(COUNTIF('קבוצות'!$A$3:$A$8,$A71)=0,"⚠ שם קבוצה לא מוכר",""))</f>
        <v/>
      </c>
    </row>
    <row r="72" ht="28" customHeight="1">
      <c r="A72" s="80" t="n"/>
      <c r="B72" s="69" t="n"/>
      <c r="C72" s="82" t="n"/>
      <c r="D72" s="70" t="n"/>
      <c r="E72" s="83">
        <f>IF($D72="","",IFERROR(INDEX('מאגר משימות'!$A$3:$A$252,MATCH($D72,'מאגר משימות'!$D$3:$D$252,0)),""))</f>
        <v/>
      </c>
      <c r="F72" s="70" t="n"/>
      <c r="G72" s="69" t="n"/>
      <c r="H72" s="84">
        <f>IF($D72="","",IF($C72="","",TEXT(HOUR($C72),"00")&amp;":"&amp;TEXT(MINUTE($C72),"00")&amp;" · ")&amp;$D72&amp;IF($A72="",""," — "&amp;$A72)&amp;IF($F72="",""," ("&amp;$F72&amp;")"))</f>
        <v/>
      </c>
      <c r="I72" s="76" t="n"/>
      <c r="J72" s="85">
        <f>IF($D72="","",IF($G72="","(ללא עוגן)",$G72))</f>
        <v/>
      </c>
      <c r="K72" s="85">
        <f>IF($A72="","",$A72&amp;"|"&amp;COUNTIF($A$3:$A72,$A72))</f>
        <v/>
      </c>
      <c r="L72" s="85">
        <f>IF($J72="","",$J72&amp;"|"&amp;COUNTIF($J$3:$J72,$J72))</f>
        <v/>
      </c>
      <c r="M72" s="35">
        <f>IF($A72="","",IF(COUNTIF('קבוצות'!$A$3:$A$8,$A72)=0,"⚠ שם קבוצה לא מוכר",""))</f>
        <v/>
      </c>
    </row>
    <row r="73" ht="28" customHeight="1">
      <c r="A73" s="80" t="n"/>
      <c r="B73" s="69" t="n"/>
      <c r="C73" s="82" t="n"/>
      <c r="D73" s="70" t="n"/>
      <c r="E73" s="83">
        <f>IF($D73="","",IFERROR(INDEX('מאגר משימות'!$A$3:$A$252,MATCH($D73,'מאגר משימות'!$D$3:$D$252,0)),""))</f>
        <v/>
      </c>
      <c r="F73" s="70" t="n"/>
      <c r="G73" s="69" t="n"/>
      <c r="H73" s="84">
        <f>IF($D73="","",IF($C73="","",TEXT(HOUR($C73),"00")&amp;":"&amp;TEXT(MINUTE($C73),"00")&amp;" · ")&amp;$D73&amp;IF($A73="",""," — "&amp;$A73)&amp;IF($F73="",""," ("&amp;$F73&amp;")"))</f>
        <v/>
      </c>
      <c r="I73" s="76" t="n"/>
      <c r="J73" s="85">
        <f>IF($D73="","",IF($G73="","(ללא עוגן)",$G73))</f>
        <v/>
      </c>
      <c r="K73" s="85">
        <f>IF($A73="","",$A73&amp;"|"&amp;COUNTIF($A$3:$A73,$A73))</f>
        <v/>
      </c>
      <c r="L73" s="85">
        <f>IF($J73="","",$J73&amp;"|"&amp;COUNTIF($J$3:$J73,$J73))</f>
        <v/>
      </c>
      <c r="M73" s="35">
        <f>IF($A73="","",IF(COUNTIF('קבוצות'!$A$3:$A$8,$A73)=0,"⚠ שם קבוצה לא מוכר",""))</f>
        <v/>
      </c>
    </row>
    <row r="74" ht="28" customHeight="1">
      <c r="A74" s="80" t="n"/>
      <c r="B74" s="69" t="n"/>
      <c r="C74" s="82" t="n"/>
      <c r="D74" s="70" t="n"/>
      <c r="E74" s="83">
        <f>IF($D74="","",IFERROR(INDEX('מאגר משימות'!$A$3:$A$252,MATCH($D74,'מאגר משימות'!$D$3:$D$252,0)),""))</f>
        <v/>
      </c>
      <c r="F74" s="70" t="n"/>
      <c r="G74" s="69" t="n"/>
      <c r="H74" s="84">
        <f>IF($D74="","",IF($C74="","",TEXT(HOUR($C74),"00")&amp;":"&amp;TEXT(MINUTE($C74),"00")&amp;" · ")&amp;$D74&amp;IF($A74="",""," — "&amp;$A74)&amp;IF($F74="",""," ("&amp;$F74&amp;")"))</f>
        <v/>
      </c>
      <c r="I74" s="76" t="n"/>
      <c r="J74" s="85">
        <f>IF($D74="","",IF($G74="","(ללא עוגן)",$G74))</f>
        <v/>
      </c>
      <c r="K74" s="85">
        <f>IF($A74="","",$A74&amp;"|"&amp;COUNTIF($A$3:$A74,$A74))</f>
        <v/>
      </c>
      <c r="L74" s="85">
        <f>IF($J74="","",$J74&amp;"|"&amp;COUNTIF($J$3:$J74,$J74))</f>
        <v/>
      </c>
      <c r="M74" s="35">
        <f>IF($A74="","",IF(COUNTIF('קבוצות'!$A$3:$A$8,$A74)=0,"⚠ שם קבוצה לא מוכר",""))</f>
        <v/>
      </c>
    </row>
    <row r="75" ht="28" customHeight="1">
      <c r="A75" s="80" t="n"/>
      <c r="B75" s="69" t="n"/>
      <c r="C75" s="82" t="n"/>
      <c r="D75" s="70" t="n"/>
      <c r="E75" s="83">
        <f>IF($D75="","",IFERROR(INDEX('מאגר משימות'!$A$3:$A$252,MATCH($D75,'מאגר משימות'!$D$3:$D$252,0)),""))</f>
        <v/>
      </c>
      <c r="F75" s="70" t="n"/>
      <c r="G75" s="69" t="n"/>
      <c r="H75" s="84">
        <f>IF($D75="","",IF($C75="","",TEXT(HOUR($C75),"00")&amp;":"&amp;TEXT(MINUTE($C75),"00")&amp;" · ")&amp;$D75&amp;IF($A75="",""," — "&amp;$A75)&amp;IF($F75="",""," ("&amp;$F75&amp;")"))</f>
        <v/>
      </c>
      <c r="I75" s="76" t="n"/>
      <c r="J75" s="85">
        <f>IF($D75="","",IF($G75="","(ללא עוגן)",$G75))</f>
        <v/>
      </c>
      <c r="K75" s="85">
        <f>IF($A75="","",$A75&amp;"|"&amp;COUNTIF($A$3:$A75,$A75))</f>
        <v/>
      </c>
      <c r="L75" s="85">
        <f>IF($J75="","",$J75&amp;"|"&amp;COUNTIF($J$3:$J75,$J75))</f>
        <v/>
      </c>
      <c r="M75" s="35">
        <f>IF($A75="","",IF(COUNTIF('קבוצות'!$A$3:$A$8,$A75)=0,"⚠ שם קבוצה לא מוכר",""))</f>
        <v/>
      </c>
    </row>
    <row r="76" ht="28" customHeight="1">
      <c r="A76" s="80" t="n"/>
      <c r="B76" s="69" t="n"/>
      <c r="C76" s="82" t="n"/>
      <c r="D76" s="70" t="n"/>
      <c r="E76" s="83">
        <f>IF($D76="","",IFERROR(INDEX('מאגר משימות'!$A$3:$A$252,MATCH($D76,'מאגר משימות'!$D$3:$D$252,0)),""))</f>
        <v/>
      </c>
      <c r="F76" s="70" t="n"/>
      <c r="G76" s="69" t="n"/>
      <c r="H76" s="84">
        <f>IF($D76="","",IF($C76="","",TEXT(HOUR($C76),"00")&amp;":"&amp;TEXT(MINUTE($C76),"00")&amp;" · ")&amp;$D76&amp;IF($A76="",""," — "&amp;$A76)&amp;IF($F76="",""," ("&amp;$F76&amp;")"))</f>
        <v/>
      </c>
      <c r="I76" s="76" t="n"/>
      <c r="J76" s="85">
        <f>IF($D76="","",IF($G76="","(ללא עוגן)",$G76))</f>
        <v/>
      </c>
      <c r="K76" s="85">
        <f>IF($A76="","",$A76&amp;"|"&amp;COUNTIF($A$3:$A76,$A76))</f>
        <v/>
      </c>
      <c r="L76" s="85">
        <f>IF($J76="","",$J76&amp;"|"&amp;COUNTIF($J$3:$J76,$J76))</f>
        <v/>
      </c>
      <c r="M76" s="35">
        <f>IF($A76="","",IF(COUNTIF('קבוצות'!$A$3:$A$8,$A76)=0,"⚠ שם קבוצה לא מוכר",""))</f>
        <v/>
      </c>
    </row>
    <row r="77" ht="28" customHeight="1">
      <c r="A77" s="80" t="n"/>
      <c r="B77" s="69" t="n"/>
      <c r="C77" s="82" t="n"/>
      <c r="D77" s="70" t="n"/>
      <c r="E77" s="83">
        <f>IF($D77="","",IFERROR(INDEX('מאגר משימות'!$A$3:$A$252,MATCH($D77,'מאגר משימות'!$D$3:$D$252,0)),""))</f>
        <v/>
      </c>
      <c r="F77" s="70" t="n"/>
      <c r="G77" s="69" t="n"/>
      <c r="H77" s="84">
        <f>IF($D77="","",IF($C77="","",TEXT(HOUR($C77),"00")&amp;":"&amp;TEXT(MINUTE($C77),"00")&amp;" · ")&amp;$D77&amp;IF($A77="",""," — "&amp;$A77)&amp;IF($F77="",""," ("&amp;$F77&amp;")"))</f>
        <v/>
      </c>
      <c r="I77" s="76" t="n"/>
      <c r="J77" s="85">
        <f>IF($D77="","",IF($G77="","(ללא עוגן)",$G77))</f>
        <v/>
      </c>
      <c r="K77" s="85">
        <f>IF($A77="","",$A77&amp;"|"&amp;COUNTIF($A$3:$A77,$A77))</f>
        <v/>
      </c>
      <c r="L77" s="85">
        <f>IF($J77="","",$J77&amp;"|"&amp;COUNTIF($J$3:$J77,$J77))</f>
        <v/>
      </c>
      <c r="M77" s="35">
        <f>IF($A77="","",IF(COUNTIF('קבוצות'!$A$3:$A$8,$A77)=0,"⚠ שם קבוצה לא מוכר",""))</f>
        <v/>
      </c>
    </row>
    <row r="78" ht="28" customHeight="1">
      <c r="A78" s="80" t="n"/>
      <c r="B78" s="69" t="n"/>
      <c r="C78" s="82" t="n"/>
      <c r="D78" s="70" t="n"/>
      <c r="E78" s="83">
        <f>IF($D78="","",IFERROR(INDEX('מאגר משימות'!$A$3:$A$252,MATCH($D78,'מאגר משימות'!$D$3:$D$252,0)),""))</f>
        <v/>
      </c>
      <c r="F78" s="70" t="n"/>
      <c r="G78" s="69" t="n"/>
      <c r="H78" s="84">
        <f>IF($D78="","",IF($C78="","",TEXT(HOUR($C78),"00")&amp;":"&amp;TEXT(MINUTE($C78),"00")&amp;" · ")&amp;$D78&amp;IF($A78="",""," — "&amp;$A78)&amp;IF($F78="",""," ("&amp;$F78&amp;")"))</f>
        <v/>
      </c>
      <c r="I78" s="76" t="n"/>
      <c r="J78" s="85">
        <f>IF($D78="","",IF($G78="","(ללא עוגן)",$G78))</f>
        <v/>
      </c>
      <c r="K78" s="85">
        <f>IF($A78="","",$A78&amp;"|"&amp;COUNTIF($A$3:$A78,$A78))</f>
        <v/>
      </c>
      <c r="L78" s="85">
        <f>IF($J78="","",$J78&amp;"|"&amp;COUNTIF($J$3:$J78,$J78))</f>
        <v/>
      </c>
      <c r="M78" s="35">
        <f>IF($A78="","",IF(COUNTIF('קבוצות'!$A$3:$A$8,$A78)=0,"⚠ שם קבוצה לא מוכר",""))</f>
        <v/>
      </c>
    </row>
    <row r="79" ht="28" customHeight="1">
      <c r="A79" s="80" t="n"/>
      <c r="B79" s="69" t="n"/>
      <c r="C79" s="82" t="n"/>
      <c r="D79" s="70" t="n"/>
      <c r="E79" s="83">
        <f>IF($D79="","",IFERROR(INDEX('מאגר משימות'!$A$3:$A$252,MATCH($D79,'מאגר משימות'!$D$3:$D$252,0)),""))</f>
        <v/>
      </c>
      <c r="F79" s="70" t="n"/>
      <c r="G79" s="69" t="n"/>
      <c r="H79" s="84">
        <f>IF($D79="","",IF($C79="","",TEXT(HOUR($C79),"00")&amp;":"&amp;TEXT(MINUTE($C79),"00")&amp;" · ")&amp;$D79&amp;IF($A79="",""," — "&amp;$A79)&amp;IF($F79="",""," ("&amp;$F79&amp;")"))</f>
        <v/>
      </c>
      <c r="I79" s="76" t="n"/>
      <c r="J79" s="85">
        <f>IF($D79="","",IF($G79="","(ללא עוגן)",$G79))</f>
        <v/>
      </c>
      <c r="K79" s="85">
        <f>IF($A79="","",$A79&amp;"|"&amp;COUNTIF($A$3:$A79,$A79))</f>
        <v/>
      </c>
      <c r="L79" s="85">
        <f>IF($J79="","",$J79&amp;"|"&amp;COUNTIF($J$3:$J79,$J79))</f>
        <v/>
      </c>
      <c r="M79" s="35">
        <f>IF($A79="","",IF(COUNTIF('קבוצות'!$A$3:$A$8,$A79)=0,"⚠ שם קבוצה לא מוכר",""))</f>
        <v/>
      </c>
    </row>
    <row r="80" ht="28" customHeight="1">
      <c r="A80" s="80" t="n"/>
      <c r="B80" s="69" t="n"/>
      <c r="C80" s="82" t="n"/>
      <c r="D80" s="70" t="n"/>
      <c r="E80" s="83">
        <f>IF($D80="","",IFERROR(INDEX('מאגר משימות'!$A$3:$A$252,MATCH($D80,'מאגר משימות'!$D$3:$D$252,0)),""))</f>
        <v/>
      </c>
      <c r="F80" s="70" t="n"/>
      <c r="G80" s="69" t="n"/>
      <c r="H80" s="84">
        <f>IF($D80="","",IF($C80="","",TEXT(HOUR($C80),"00")&amp;":"&amp;TEXT(MINUTE($C80),"00")&amp;" · ")&amp;$D80&amp;IF($A80="",""," — "&amp;$A80)&amp;IF($F80="",""," ("&amp;$F80&amp;")"))</f>
        <v/>
      </c>
      <c r="I80" s="76" t="n"/>
      <c r="J80" s="85">
        <f>IF($D80="","",IF($G80="","(ללא עוגן)",$G80))</f>
        <v/>
      </c>
      <c r="K80" s="85">
        <f>IF($A80="","",$A80&amp;"|"&amp;COUNTIF($A$3:$A80,$A80))</f>
        <v/>
      </c>
      <c r="L80" s="85">
        <f>IF($J80="","",$J80&amp;"|"&amp;COUNTIF($J$3:$J80,$J80))</f>
        <v/>
      </c>
      <c r="M80" s="35">
        <f>IF($A80="","",IF(COUNTIF('קבוצות'!$A$3:$A$8,$A80)=0,"⚠ שם קבוצה לא מוכר",""))</f>
        <v/>
      </c>
    </row>
    <row r="81" ht="28" customHeight="1">
      <c r="A81" s="80" t="n"/>
      <c r="B81" s="69" t="n"/>
      <c r="C81" s="82" t="n"/>
      <c r="D81" s="70" t="n"/>
      <c r="E81" s="83">
        <f>IF($D81="","",IFERROR(INDEX('מאגר משימות'!$A$3:$A$252,MATCH($D81,'מאגר משימות'!$D$3:$D$252,0)),""))</f>
        <v/>
      </c>
      <c r="F81" s="70" t="n"/>
      <c r="G81" s="69" t="n"/>
      <c r="H81" s="84">
        <f>IF($D81="","",IF($C81="","",TEXT(HOUR($C81),"00")&amp;":"&amp;TEXT(MINUTE($C81),"00")&amp;" · ")&amp;$D81&amp;IF($A81="",""," — "&amp;$A81)&amp;IF($F81="",""," ("&amp;$F81&amp;")"))</f>
        <v/>
      </c>
      <c r="I81" s="76" t="n"/>
      <c r="J81" s="85">
        <f>IF($D81="","",IF($G81="","(ללא עוגן)",$G81))</f>
        <v/>
      </c>
      <c r="K81" s="85">
        <f>IF($A81="","",$A81&amp;"|"&amp;COUNTIF($A$3:$A81,$A81))</f>
        <v/>
      </c>
      <c r="L81" s="85">
        <f>IF($J81="","",$J81&amp;"|"&amp;COUNTIF($J$3:$J81,$J81))</f>
        <v/>
      </c>
      <c r="M81" s="35">
        <f>IF($A81="","",IF(COUNTIF('קבוצות'!$A$3:$A$8,$A81)=0,"⚠ שם קבוצה לא מוכר",""))</f>
        <v/>
      </c>
    </row>
    <row r="82" ht="28" customHeight="1">
      <c r="A82" s="80" t="n"/>
      <c r="B82" s="69" t="n"/>
      <c r="C82" s="82" t="n"/>
      <c r="D82" s="70" t="n"/>
      <c r="E82" s="83">
        <f>IF($D82="","",IFERROR(INDEX('מאגר משימות'!$A$3:$A$252,MATCH($D82,'מאגר משימות'!$D$3:$D$252,0)),""))</f>
        <v/>
      </c>
      <c r="F82" s="70" t="n"/>
      <c r="G82" s="69" t="n"/>
      <c r="H82" s="84">
        <f>IF($D82="","",IF($C82="","",TEXT(HOUR($C82),"00")&amp;":"&amp;TEXT(MINUTE($C82),"00")&amp;" · ")&amp;$D82&amp;IF($A82="",""," — "&amp;$A82)&amp;IF($F82="",""," ("&amp;$F82&amp;")"))</f>
        <v/>
      </c>
      <c r="I82" s="76" t="n"/>
      <c r="J82" s="85">
        <f>IF($D82="","",IF($G82="","(ללא עוגן)",$G82))</f>
        <v/>
      </c>
      <c r="K82" s="85">
        <f>IF($A82="","",$A82&amp;"|"&amp;COUNTIF($A$3:$A82,$A82))</f>
        <v/>
      </c>
      <c r="L82" s="85">
        <f>IF($J82="","",$J82&amp;"|"&amp;COUNTIF($J$3:$J82,$J82))</f>
        <v/>
      </c>
      <c r="M82" s="35">
        <f>IF($A82="","",IF(COUNTIF('קבוצות'!$A$3:$A$8,$A82)=0,"⚠ שם קבוצה לא מוכר",""))</f>
        <v/>
      </c>
    </row>
    <row r="83" ht="28" customHeight="1">
      <c r="A83" s="80" t="n"/>
      <c r="B83" s="69" t="n"/>
      <c r="C83" s="82" t="n"/>
      <c r="D83" s="70" t="n"/>
      <c r="E83" s="83">
        <f>IF($D83="","",IFERROR(INDEX('מאגר משימות'!$A$3:$A$252,MATCH($D83,'מאגר משימות'!$D$3:$D$252,0)),""))</f>
        <v/>
      </c>
      <c r="F83" s="70" t="n"/>
      <c r="G83" s="69" t="n"/>
      <c r="H83" s="84">
        <f>IF($D83="","",IF($C83="","",TEXT(HOUR($C83),"00")&amp;":"&amp;TEXT(MINUTE($C83),"00")&amp;" · ")&amp;$D83&amp;IF($A83="",""," — "&amp;$A83)&amp;IF($F83="",""," ("&amp;$F83&amp;")"))</f>
        <v/>
      </c>
      <c r="I83" s="76" t="n"/>
      <c r="J83" s="85">
        <f>IF($D83="","",IF($G83="","(ללא עוגן)",$G83))</f>
        <v/>
      </c>
      <c r="K83" s="85">
        <f>IF($A83="","",$A83&amp;"|"&amp;COUNTIF($A$3:$A83,$A83))</f>
        <v/>
      </c>
      <c r="L83" s="85">
        <f>IF($J83="","",$J83&amp;"|"&amp;COUNTIF($J$3:$J83,$J83))</f>
        <v/>
      </c>
      <c r="M83" s="35">
        <f>IF($A83="","",IF(COUNTIF('קבוצות'!$A$3:$A$8,$A83)=0,"⚠ שם קבוצה לא מוכר",""))</f>
        <v/>
      </c>
    </row>
    <row r="84" ht="28" customHeight="1">
      <c r="A84" s="80" t="n"/>
      <c r="B84" s="69" t="n"/>
      <c r="C84" s="82" t="n"/>
      <c r="D84" s="70" t="n"/>
      <c r="E84" s="83">
        <f>IF($D84="","",IFERROR(INDEX('מאגר משימות'!$A$3:$A$252,MATCH($D84,'מאגר משימות'!$D$3:$D$252,0)),""))</f>
        <v/>
      </c>
      <c r="F84" s="70" t="n"/>
      <c r="G84" s="69" t="n"/>
      <c r="H84" s="84">
        <f>IF($D84="","",IF($C84="","",TEXT(HOUR($C84),"00")&amp;":"&amp;TEXT(MINUTE($C84),"00")&amp;" · ")&amp;$D84&amp;IF($A84="",""," — "&amp;$A84)&amp;IF($F84="",""," ("&amp;$F84&amp;")"))</f>
        <v/>
      </c>
      <c r="I84" s="76" t="n"/>
      <c r="J84" s="85">
        <f>IF($D84="","",IF($G84="","(ללא עוגן)",$G84))</f>
        <v/>
      </c>
      <c r="K84" s="85">
        <f>IF($A84="","",$A84&amp;"|"&amp;COUNTIF($A$3:$A84,$A84))</f>
        <v/>
      </c>
      <c r="L84" s="85">
        <f>IF($J84="","",$J84&amp;"|"&amp;COUNTIF($J$3:$J84,$J84))</f>
        <v/>
      </c>
      <c r="M84" s="35">
        <f>IF($A84="","",IF(COUNTIF('קבוצות'!$A$3:$A$8,$A84)=0,"⚠ שם קבוצה לא מוכר",""))</f>
        <v/>
      </c>
    </row>
    <row r="85" ht="28" customHeight="1">
      <c r="A85" s="80" t="n"/>
      <c r="B85" s="69" t="n"/>
      <c r="C85" s="82" t="n"/>
      <c r="D85" s="70" t="n"/>
      <c r="E85" s="83">
        <f>IF($D85="","",IFERROR(INDEX('מאגר משימות'!$A$3:$A$252,MATCH($D85,'מאגר משימות'!$D$3:$D$252,0)),""))</f>
        <v/>
      </c>
      <c r="F85" s="70" t="n"/>
      <c r="G85" s="69" t="n"/>
      <c r="H85" s="84">
        <f>IF($D85="","",IF($C85="","",TEXT(HOUR($C85),"00")&amp;":"&amp;TEXT(MINUTE($C85),"00")&amp;" · ")&amp;$D85&amp;IF($A85="",""," — "&amp;$A85)&amp;IF($F85="",""," ("&amp;$F85&amp;")"))</f>
        <v/>
      </c>
      <c r="I85" s="76" t="n"/>
      <c r="J85" s="85">
        <f>IF($D85="","",IF($G85="","(ללא עוגן)",$G85))</f>
        <v/>
      </c>
      <c r="K85" s="85">
        <f>IF($A85="","",$A85&amp;"|"&amp;COUNTIF($A$3:$A85,$A85))</f>
        <v/>
      </c>
      <c r="L85" s="85">
        <f>IF($J85="","",$J85&amp;"|"&amp;COUNTIF($J$3:$J85,$J85))</f>
        <v/>
      </c>
      <c r="M85" s="35">
        <f>IF($A85="","",IF(COUNTIF('קבוצות'!$A$3:$A$8,$A85)=0,"⚠ שם קבוצה לא מוכר",""))</f>
        <v/>
      </c>
    </row>
    <row r="86" ht="28" customHeight="1">
      <c r="A86" s="80" t="n"/>
      <c r="B86" s="69" t="n"/>
      <c r="C86" s="82" t="n"/>
      <c r="D86" s="70" t="n"/>
      <c r="E86" s="83">
        <f>IF($D86="","",IFERROR(INDEX('מאגר משימות'!$A$3:$A$252,MATCH($D86,'מאגר משימות'!$D$3:$D$252,0)),""))</f>
        <v/>
      </c>
      <c r="F86" s="70" t="n"/>
      <c r="G86" s="69" t="n"/>
      <c r="H86" s="84">
        <f>IF($D86="","",IF($C86="","",TEXT(HOUR($C86),"00")&amp;":"&amp;TEXT(MINUTE($C86),"00")&amp;" · ")&amp;$D86&amp;IF($A86="",""," — "&amp;$A86)&amp;IF($F86="",""," ("&amp;$F86&amp;")"))</f>
        <v/>
      </c>
      <c r="I86" s="76" t="n"/>
      <c r="J86" s="85">
        <f>IF($D86="","",IF($G86="","(ללא עוגן)",$G86))</f>
        <v/>
      </c>
      <c r="K86" s="85">
        <f>IF($A86="","",$A86&amp;"|"&amp;COUNTIF($A$3:$A86,$A86))</f>
        <v/>
      </c>
      <c r="L86" s="85">
        <f>IF($J86="","",$J86&amp;"|"&amp;COUNTIF($J$3:$J86,$J86))</f>
        <v/>
      </c>
      <c r="M86" s="35">
        <f>IF($A86="","",IF(COUNTIF('קבוצות'!$A$3:$A$8,$A86)=0,"⚠ שם קבוצה לא מוכר",""))</f>
        <v/>
      </c>
    </row>
    <row r="87" ht="28" customHeight="1">
      <c r="A87" s="80" t="n"/>
      <c r="B87" s="69" t="n"/>
      <c r="C87" s="82" t="n"/>
      <c r="D87" s="70" t="n"/>
      <c r="E87" s="83">
        <f>IF($D87="","",IFERROR(INDEX('מאגר משימות'!$A$3:$A$252,MATCH($D87,'מאגר משימות'!$D$3:$D$252,0)),""))</f>
        <v/>
      </c>
      <c r="F87" s="70" t="n"/>
      <c r="G87" s="69" t="n"/>
      <c r="H87" s="84">
        <f>IF($D87="","",IF($C87="","",TEXT(HOUR($C87),"00")&amp;":"&amp;TEXT(MINUTE($C87),"00")&amp;" · ")&amp;$D87&amp;IF($A87="",""," — "&amp;$A87)&amp;IF($F87="",""," ("&amp;$F87&amp;")"))</f>
        <v/>
      </c>
      <c r="I87" s="76" t="n"/>
      <c r="J87" s="85">
        <f>IF($D87="","",IF($G87="","(ללא עוגן)",$G87))</f>
        <v/>
      </c>
      <c r="K87" s="85">
        <f>IF($A87="","",$A87&amp;"|"&amp;COUNTIF($A$3:$A87,$A87))</f>
        <v/>
      </c>
      <c r="L87" s="85">
        <f>IF($J87="","",$J87&amp;"|"&amp;COUNTIF($J$3:$J87,$J87))</f>
        <v/>
      </c>
      <c r="M87" s="35">
        <f>IF($A87="","",IF(COUNTIF('קבוצות'!$A$3:$A$8,$A87)=0,"⚠ שם קבוצה לא מוכר",""))</f>
        <v/>
      </c>
    </row>
    <row r="88" ht="28" customHeight="1">
      <c r="A88" s="80" t="n"/>
      <c r="B88" s="69" t="n"/>
      <c r="C88" s="82" t="n"/>
      <c r="D88" s="70" t="n"/>
      <c r="E88" s="83">
        <f>IF($D88="","",IFERROR(INDEX('מאגר משימות'!$A$3:$A$252,MATCH($D88,'מאגר משימות'!$D$3:$D$252,0)),""))</f>
        <v/>
      </c>
      <c r="F88" s="70" t="n"/>
      <c r="G88" s="69" t="n"/>
      <c r="H88" s="84">
        <f>IF($D88="","",IF($C88="","",TEXT(HOUR($C88),"00")&amp;":"&amp;TEXT(MINUTE($C88),"00")&amp;" · ")&amp;$D88&amp;IF($A88="",""," — "&amp;$A88)&amp;IF($F88="",""," ("&amp;$F88&amp;")"))</f>
        <v/>
      </c>
      <c r="I88" s="76" t="n"/>
      <c r="J88" s="85">
        <f>IF($D88="","",IF($G88="","(ללא עוגן)",$G88))</f>
        <v/>
      </c>
      <c r="K88" s="85">
        <f>IF($A88="","",$A88&amp;"|"&amp;COUNTIF($A$3:$A88,$A88))</f>
        <v/>
      </c>
      <c r="L88" s="85">
        <f>IF($J88="","",$J88&amp;"|"&amp;COUNTIF($J$3:$J88,$J88))</f>
        <v/>
      </c>
      <c r="M88" s="35">
        <f>IF($A88="","",IF(COUNTIF('קבוצות'!$A$3:$A$8,$A88)=0,"⚠ שם קבוצה לא מוכר",""))</f>
        <v/>
      </c>
    </row>
    <row r="89" ht="28" customHeight="1">
      <c r="A89" s="80" t="n"/>
      <c r="B89" s="69" t="n"/>
      <c r="C89" s="82" t="n"/>
      <c r="D89" s="70" t="n"/>
      <c r="E89" s="83">
        <f>IF($D89="","",IFERROR(INDEX('מאגר משימות'!$A$3:$A$252,MATCH($D89,'מאגר משימות'!$D$3:$D$252,0)),""))</f>
        <v/>
      </c>
      <c r="F89" s="70" t="n"/>
      <c r="G89" s="69" t="n"/>
      <c r="H89" s="84">
        <f>IF($D89="","",IF($C89="","",TEXT(HOUR($C89),"00")&amp;":"&amp;TEXT(MINUTE($C89),"00")&amp;" · ")&amp;$D89&amp;IF($A89="",""," — "&amp;$A89)&amp;IF($F89="",""," ("&amp;$F89&amp;")"))</f>
        <v/>
      </c>
      <c r="I89" s="76" t="n"/>
      <c r="J89" s="85">
        <f>IF($D89="","",IF($G89="","(ללא עוגן)",$G89))</f>
        <v/>
      </c>
      <c r="K89" s="85">
        <f>IF($A89="","",$A89&amp;"|"&amp;COUNTIF($A$3:$A89,$A89))</f>
        <v/>
      </c>
      <c r="L89" s="85">
        <f>IF($J89="","",$J89&amp;"|"&amp;COUNTIF($J$3:$J89,$J89))</f>
        <v/>
      </c>
      <c r="M89" s="35">
        <f>IF($A89="","",IF(COUNTIF('קבוצות'!$A$3:$A$8,$A89)=0,"⚠ שם קבוצה לא מוכר",""))</f>
        <v/>
      </c>
    </row>
    <row r="90" ht="28" customHeight="1">
      <c r="A90" s="80" t="n"/>
      <c r="B90" s="69" t="n"/>
      <c r="C90" s="82" t="n"/>
      <c r="D90" s="70" t="n"/>
      <c r="E90" s="83">
        <f>IF($D90="","",IFERROR(INDEX('מאגר משימות'!$A$3:$A$252,MATCH($D90,'מאגר משימות'!$D$3:$D$252,0)),""))</f>
        <v/>
      </c>
      <c r="F90" s="70" t="n"/>
      <c r="G90" s="69" t="n"/>
      <c r="H90" s="84">
        <f>IF($D90="","",IF($C90="","",TEXT(HOUR($C90),"00")&amp;":"&amp;TEXT(MINUTE($C90),"00")&amp;" · ")&amp;$D90&amp;IF($A90="",""," — "&amp;$A90)&amp;IF($F90="",""," ("&amp;$F90&amp;")"))</f>
        <v/>
      </c>
      <c r="I90" s="76" t="n"/>
      <c r="J90" s="85">
        <f>IF($D90="","",IF($G90="","(ללא עוגן)",$G90))</f>
        <v/>
      </c>
      <c r="K90" s="85">
        <f>IF($A90="","",$A90&amp;"|"&amp;COUNTIF($A$3:$A90,$A90))</f>
        <v/>
      </c>
      <c r="L90" s="85">
        <f>IF($J90="","",$J90&amp;"|"&amp;COUNTIF($J$3:$J90,$J90))</f>
        <v/>
      </c>
      <c r="M90" s="35">
        <f>IF($A90="","",IF(COUNTIF('קבוצות'!$A$3:$A$8,$A90)=0,"⚠ שם קבוצה לא מוכר",""))</f>
        <v/>
      </c>
    </row>
    <row r="91" ht="28" customHeight="1">
      <c r="A91" s="80" t="n"/>
      <c r="B91" s="69" t="n"/>
      <c r="C91" s="82" t="n"/>
      <c r="D91" s="70" t="n"/>
      <c r="E91" s="83">
        <f>IF($D91="","",IFERROR(INDEX('מאגר משימות'!$A$3:$A$252,MATCH($D91,'מאגר משימות'!$D$3:$D$252,0)),""))</f>
        <v/>
      </c>
      <c r="F91" s="70" t="n"/>
      <c r="G91" s="69" t="n"/>
      <c r="H91" s="84">
        <f>IF($D91="","",IF($C91="","",TEXT(HOUR($C91),"00")&amp;":"&amp;TEXT(MINUTE($C91),"00")&amp;" · ")&amp;$D91&amp;IF($A91="",""," — "&amp;$A91)&amp;IF($F91="",""," ("&amp;$F91&amp;")"))</f>
        <v/>
      </c>
      <c r="I91" s="76" t="n"/>
      <c r="J91" s="85">
        <f>IF($D91="","",IF($G91="","(ללא עוגן)",$G91))</f>
        <v/>
      </c>
      <c r="K91" s="85">
        <f>IF($A91="","",$A91&amp;"|"&amp;COUNTIF($A$3:$A91,$A91))</f>
        <v/>
      </c>
      <c r="L91" s="85">
        <f>IF($J91="","",$J91&amp;"|"&amp;COUNTIF($J$3:$J91,$J91))</f>
        <v/>
      </c>
      <c r="M91" s="35">
        <f>IF($A91="","",IF(COUNTIF('קבוצות'!$A$3:$A$8,$A91)=0,"⚠ שם קבוצה לא מוכר",""))</f>
        <v/>
      </c>
    </row>
    <row r="92" ht="28" customHeight="1">
      <c r="A92" s="80" t="n"/>
      <c r="B92" s="69" t="n"/>
      <c r="C92" s="82" t="n"/>
      <c r="D92" s="70" t="n"/>
      <c r="E92" s="83">
        <f>IF($D92="","",IFERROR(INDEX('מאגר משימות'!$A$3:$A$252,MATCH($D92,'מאגר משימות'!$D$3:$D$252,0)),""))</f>
        <v/>
      </c>
      <c r="F92" s="70" t="n"/>
      <c r="G92" s="69" t="n"/>
      <c r="H92" s="84">
        <f>IF($D92="","",IF($C92="","",TEXT(HOUR($C92),"00")&amp;":"&amp;TEXT(MINUTE($C92),"00")&amp;" · ")&amp;$D92&amp;IF($A92="",""," — "&amp;$A92)&amp;IF($F92="",""," ("&amp;$F92&amp;")"))</f>
        <v/>
      </c>
      <c r="I92" s="76" t="n"/>
      <c r="J92" s="85">
        <f>IF($D92="","",IF($G92="","(ללא עוגן)",$G92))</f>
        <v/>
      </c>
      <c r="K92" s="85">
        <f>IF($A92="","",$A92&amp;"|"&amp;COUNTIF($A$3:$A92,$A92))</f>
        <v/>
      </c>
      <c r="L92" s="85">
        <f>IF($J92="","",$J92&amp;"|"&amp;COUNTIF($J$3:$J92,$J92))</f>
        <v/>
      </c>
      <c r="M92" s="35">
        <f>IF($A92="","",IF(COUNTIF('קבוצות'!$A$3:$A$8,$A92)=0,"⚠ שם קבוצה לא מוכר",""))</f>
        <v/>
      </c>
    </row>
    <row r="93" ht="28" customHeight="1">
      <c r="A93" s="80" t="n"/>
      <c r="B93" s="69" t="n"/>
      <c r="C93" s="82" t="n"/>
      <c r="D93" s="70" t="n"/>
      <c r="E93" s="83">
        <f>IF($D93="","",IFERROR(INDEX('מאגר משימות'!$A$3:$A$252,MATCH($D93,'מאגר משימות'!$D$3:$D$252,0)),""))</f>
        <v/>
      </c>
      <c r="F93" s="70" t="n"/>
      <c r="G93" s="69" t="n"/>
      <c r="H93" s="84">
        <f>IF($D93="","",IF($C93="","",TEXT(HOUR($C93),"00")&amp;":"&amp;TEXT(MINUTE($C93),"00")&amp;" · ")&amp;$D93&amp;IF($A93="",""," — "&amp;$A93)&amp;IF($F93="",""," ("&amp;$F93&amp;")"))</f>
        <v/>
      </c>
      <c r="I93" s="76" t="n"/>
      <c r="J93" s="85">
        <f>IF($D93="","",IF($G93="","(ללא עוגן)",$G93))</f>
        <v/>
      </c>
      <c r="K93" s="85">
        <f>IF($A93="","",$A93&amp;"|"&amp;COUNTIF($A$3:$A93,$A93))</f>
        <v/>
      </c>
      <c r="L93" s="85">
        <f>IF($J93="","",$J93&amp;"|"&amp;COUNTIF($J$3:$J93,$J93))</f>
        <v/>
      </c>
      <c r="M93" s="35">
        <f>IF($A93="","",IF(COUNTIF('קבוצות'!$A$3:$A$8,$A93)=0,"⚠ שם קבוצה לא מוכר",""))</f>
        <v/>
      </c>
    </row>
    <row r="94" ht="28" customHeight="1">
      <c r="A94" s="80" t="n"/>
      <c r="B94" s="69" t="n"/>
      <c r="C94" s="82" t="n"/>
      <c r="D94" s="70" t="n"/>
      <c r="E94" s="83">
        <f>IF($D94="","",IFERROR(INDEX('מאגר משימות'!$A$3:$A$252,MATCH($D94,'מאגר משימות'!$D$3:$D$252,0)),""))</f>
        <v/>
      </c>
      <c r="F94" s="70" t="n"/>
      <c r="G94" s="69" t="n"/>
      <c r="H94" s="84">
        <f>IF($D94="","",IF($C94="","",TEXT(HOUR($C94),"00")&amp;":"&amp;TEXT(MINUTE($C94),"00")&amp;" · ")&amp;$D94&amp;IF($A94="",""," — "&amp;$A94)&amp;IF($F94="",""," ("&amp;$F94&amp;")"))</f>
        <v/>
      </c>
      <c r="I94" s="76" t="n"/>
      <c r="J94" s="85">
        <f>IF($D94="","",IF($G94="","(ללא עוגן)",$G94))</f>
        <v/>
      </c>
      <c r="K94" s="85">
        <f>IF($A94="","",$A94&amp;"|"&amp;COUNTIF($A$3:$A94,$A94))</f>
        <v/>
      </c>
      <c r="L94" s="85">
        <f>IF($J94="","",$J94&amp;"|"&amp;COUNTIF($J$3:$J94,$J94))</f>
        <v/>
      </c>
      <c r="M94" s="35">
        <f>IF($A94="","",IF(COUNTIF('קבוצות'!$A$3:$A$8,$A94)=0,"⚠ שם קבוצה לא מוכר",""))</f>
        <v/>
      </c>
    </row>
    <row r="95" ht="28" customHeight="1">
      <c r="A95" s="80" t="n"/>
      <c r="B95" s="69" t="n"/>
      <c r="C95" s="82" t="n"/>
      <c r="D95" s="70" t="n"/>
      <c r="E95" s="83">
        <f>IF($D95="","",IFERROR(INDEX('מאגר משימות'!$A$3:$A$252,MATCH($D95,'מאגר משימות'!$D$3:$D$252,0)),""))</f>
        <v/>
      </c>
      <c r="F95" s="70" t="n"/>
      <c r="G95" s="69" t="n"/>
      <c r="H95" s="84">
        <f>IF($D95="","",IF($C95="","",TEXT(HOUR($C95),"00")&amp;":"&amp;TEXT(MINUTE($C95),"00")&amp;" · ")&amp;$D95&amp;IF($A95="",""," — "&amp;$A95)&amp;IF($F95="",""," ("&amp;$F95&amp;")"))</f>
        <v/>
      </c>
      <c r="I95" s="76" t="n"/>
      <c r="J95" s="85">
        <f>IF($D95="","",IF($G95="","(ללא עוגן)",$G95))</f>
        <v/>
      </c>
      <c r="K95" s="85">
        <f>IF($A95="","",$A95&amp;"|"&amp;COUNTIF($A$3:$A95,$A95))</f>
        <v/>
      </c>
      <c r="L95" s="85">
        <f>IF($J95="","",$J95&amp;"|"&amp;COUNTIF($J$3:$J95,$J95))</f>
        <v/>
      </c>
      <c r="M95" s="35">
        <f>IF($A95="","",IF(COUNTIF('קבוצות'!$A$3:$A$8,$A95)=0,"⚠ שם קבוצה לא מוכר",""))</f>
        <v/>
      </c>
    </row>
    <row r="96" ht="28" customHeight="1">
      <c r="A96" s="80" t="n"/>
      <c r="B96" s="69" t="n"/>
      <c r="C96" s="82" t="n"/>
      <c r="D96" s="70" t="n"/>
      <c r="E96" s="83">
        <f>IF($D96="","",IFERROR(INDEX('מאגר משימות'!$A$3:$A$252,MATCH($D96,'מאגר משימות'!$D$3:$D$252,0)),""))</f>
        <v/>
      </c>
      <c r="F96" s="70" t="n"/>
      <c r="G96" s="69" t="n"/>
      <c r="H96" s="84">
        <f>IF($D96="","",IF($C96="","",TEXT(HOUR($C96),"00")&amp;":"&amp;TEXT(MINUTE($C96),"00")&amp;" · ")&amp;$D96&amp;IF($A96="",""," — "&amp;$A96)&amp;IF($F96="",""," ("&amp;$F96&amp;")"))</f>
        <v/>
      </c>
      <c r="I96" s="76" t="n"/>
      <c r="J96" s="85">
        <f>IF($D96="","",IF($G96="","(ללא עוגן)",$G96))</f>
        <v/>
      </c>
      <c r="K96" s="85">
        <f>IF($A96="","",$A96&amp;"|"&amp;COUNTIF($A$3:$A96,$A96))</f>
        <v/>
      </c>
      <c r="L96" s="85">
        <f>IF($J96="","",$J96&amp;"|"&amp;COUNTIF($J$3:$J96,$J96))</f>
        <v/>
      </c>
      <c r="M96" s="35">
        <f>IF($A96="","",IF(COUNTIF('קבוצות'!$A$3:$A$8,$A96)=0,"⚠ שם קבוצה לא מוכר",""))</f>
        <v/>
      </c>
    </row>
    <row r="97" ht="28" customHeight="1">
      <c r="A97" s="80" t="n"/>
      <c r="B97" s="69" t="n"/>
      <c r="C97" s="82" t="n"/>
      <c r="D97" s="70" t="n"/>
      <c r="E97" s="83">
        <f>IF($D97="","",IFERROR(INDEX('מאגר משימות'!$A$3:$A$252,MATCH($D97,'מאגר משימות'!$D$3:$D$252,0)),""))</f>
        <v/>
      </c>
      <c r="F97" s="70" t="n"/>
      <c r="G97" s="69" t="n"/>
      <c r="H97" s="84">
        <f>IF($D97="","",IF($C97="","",TEXT(HOUR($C97),"00")&amp;":"&amp;TEXT(MINUTE($C97),"00")&amp;" · ")&amp;$D97&amp;IF($A97="",""," — "&amp;$A97)&amp;IF($F97="",""," ("&amp;$F97&amp;")"))</f>
        <v/>
      </c>
      <c r="I97" s="76" t="n"/>
      <c r="J97" s="85">
        <f>IF($D97="","",IF($G97="","(ללא עוגן)",$G97))</f>
        <v/>
      </c>
      <c r="K97" s="85">
        <f>IF($A97="","",$A97&amp;"|"&amp;COUNTIF($A$3:$A97,$A97))</f>
        <v/>
      </c>
      <c r="L97" s="85">
        <f>IF($J97="","",$J97&amp;"|"&amp;COUNTIF($J$3:$J97,$J97))</f>
        <v/>
      </c>
      <c r="M97" s="35">
        <f>IF($A97="","",IF(COUNTIF('קבוצות'!$A$3:$A$8,$A97)=0,"⚠ שם קבוצה לא מוכר",""))</f>
        <v/>
      </c>
    </row>
    <row r="98" ht="28" customHeight="1">
      <c r="A98" s="80" t="n"/>
      <c r="B98" s="69" t="n"/>
      <c r="C98" s="82" t="n"/>
      <c r="D98" s="70" t="n"/>
      <c r="E98" s="83">
        <f>IF($D98="","",IFERROR(INDEX('מאגר משימות'!$A$3:$A$252,MATCH($D98,'מאגר משימות'!$D$3:$D$252,0)),""))</f>
        <v/>
      </c>
      <c r="F98" s="70" t="n"/>
      <c r="G98" s="69" t="n"/>
      <c r="H98" s="84">
        <f>IF($D98="","",IF($C98="","",TEXT(HOUR($C98),"00")&amp;":"&amp;TEXT(MINUTE($C98),"00")&amp;" · ")&amp;$D98&amp;IF($A98="",""," — "&amp;$A98)&amp;IF($F98="",""," ("&amp;$F98&amp;")"))</f>
        <v/>
      </c>
      <c r="I98" s="76" t="n"/>
      <c r="J98" s="85">
        <f>IF($D98="","",IF($G98="","(ללא עוגן)",$G98))</f>
        <v/>
      </c>
      <c r="K98" s="85">
        <f>IF($A98="","",$A98&amp;"|"&amp;COUNTIF($A$3:$A98,$A98))</f>
        <v/>
      </c>
      <c r="L98" s="85">
        <f>IF($J98="","",$J98&amp;"|"&amp;COUNTIF($J$3:$J98,$J98))</f>
        <v/>
      </c>
      <c r="M98" s="35">
        <f>IF($A98="","",IF(COUNTIF('קבוצות'!$A$3:$A$8,$A98)=0,"⚠ שם קבוצה לא מוכר",""))</f>
        <v/>
      </c>
    </row>
    <row r="99" ht="28" customHeight="1">
      <c r="A99" s="80" t="n"/>
      <c r="B99" s="69" t="n"/>
      <c r="C99" s="82" t="n"/>
      <c r="D99" s="70" t="n"/>
      <c r="E99" s="83">
        <f>IF($D99="","",IFERROR(INDEX('מאגר משימות'!$A$3:$A$252,MATCH($D99,'מאגר משימות'!$D$3:$D$252,0)),""))</f>
        <v/>
      </c>
      <c r="F99" s="70" t="n"/>
      <c r="G99" s="69" t="n"/>
      <c r="H99" s="84">
        <f>IF($D99="","",IF($C99="","",TEXT(HOUR($C99),"00")&amp;":"&amp;TEXT(MINUTE($C99),"00")&amp;" · ")&amp;$D99&amp;IF($A99="",""," — "&amp;$A99)&amp;IF($F99="",""," ("&amp;$F99&amp;")"))</f>
        <v/>
      </c>
      <c r="I99" s="76" t="n"/>
      <c r="J99" s="85">
        <f>IF($D99="","",IF($G99="","(ללא עוגן)",$G99))</f>
        <v/>
      </c>
      <c r="K99" s="85">
        <f>IF($A99="","",$A99&amp;"|"&amp;COUNTIF($A$3:$A99,$A99))</f>
        <v/>
      </c>
      <c r="L99" s="85">
        <f>IF($J99="","",$J99&amp;"|"&amp;COUNTIF($J$3:$J99,$J99))</f>
        <v/>
      </c>
      <c r="M99" s="35">
        <f>IF($A99="","",IF(COUNTIF('קבוצות'!$A$3:$A$8,$A99)=0,"⚠ שם קבוצה לא מוכר",""))</f>
        <v/>
      </c>
    </row>
    <row r="100" ht="28" customHeight="1">
      <c r="A100" s="80" t="n"/>
      <c r="B100" s="69" t="n"/>
      <c r="C100" s="82" t="n"/>
      <c r="D100" s="70" t="n"/>
      <c r="E100" s="83">
        <f>IF($D100="","",IFERROR(INDEX('מאגר משימות'!$A$3:$A$252,MATCH($D100,'מאגר משימות'!$D$3:$D$252,0)),""))</f>
        <v/>
      </c>
      <c r="F100" s="70" t="n"/>
      <c r="G100" s="69" t="n"/>
      <c r="H100" s="84">
        <f>IF($D100="","",IF($C100="","",TEXT(HOUR($C100),"00")&amp;":"&amp;TEXT(MINUTE($C100),"00")&amp;" · ")&amp;$D100&amp;IF($A100="",""," — "&amp;$A100)&amp;IF($F100="",""," ("&amp;$F100&amp;")"))</f>
        <v/>
      </c>
      <c r="I100" s="76" t="n"/>
      <c r="J100" s="85">
        <f>IF($D100="","",IF($G100="","(ללא עוגן)",$G100))</f>
        <v/>
      </c>
      <c r="K100" s="85">
        <f>IF($A100="","",$A100&amp;"|"&amp;COUNTIF($A$3:$A100,$A100))</f>
        <v/>
      </c>
      <c r="L100" s="85">
        <f>IF($J100="","",$J100&amp;"|"&amp;COUNTIF($J$3:$J100,$J100))</f>
        <v/>
      </c>
      <c r="M100" s="35">
        <f>IF($A100="","",IF(COUNTIF('קבוצות'!$A$3:$A$8,$A100)=0,"⚠ שם קבוצה לא מוכר",""))</f>
        <v/>
      </c>
    </row>
    <row r="101" ht="28" customHeight="1">
      <c r="A101" s="80" t="n"/>
      <c r="B101" s="69" t="n"/>
      <c r="C101" s="82" t="n"/>
      <c r="D101" s="70" t="n"/>
      <c r="E101" s="83">
        <f>IF($D101="","",IFERROR(INDEX('מאגר משימות'!$A$3:$A$252,MATCH($D101,'מאגר משימות'!$D$3:$D$252,0)),""))</f>
        <v/>
      </c>
      <c r="F101" s="70" t="n"/>
      <c r="G101" s="69" t="n"/>
      <c r="H101" s="84">
        <f>IF($D101="","",IF($C101="","",TEXT(HOUR($C101),"00")&amp;":"&amp;TEXT(MINUTE($C101),"00")&amp;" · ")&amp;$D101&amp;IF($A101="",""," — "&amp;$A101)&amp;IF($F101="",""," ("&amp;$F101&amp;")"))</f>
        <v/>
      </c>
      <c r="I101" s="76" t="n"/>
      <c r="J101" s="85">
        <f>IF($D101="","",IF($G101="","(ללא עוגן)",$G101))</f>
        <v/>
      </c>
      <c r="K101" s="85">
        <f>IF($A101="","",$A101&amp;"|"&amp;COUNTIF($A$3:$A101,$A101))</f>
        <v/>
      </c>
      <c r="L101" s="85">
        <f>IF($J101="","",$J101&amp;"|"&amp;COUNTIF($J$3:$J101,$J101))</f>
        <v/>
      </c>
      <c r="M101" s="35">
        <f>IF($A101="","",IF(COUNTIF('קבוצות'!$A$3:$A$8,$A101)=0,"⚠ שם קבוצה לא מוכר",""))</f>
        <v/>
      </c>
    </row>
    <row r="102" ht="28" customHeight="1">
      <c r="A102" s="80" t="n"/>
      <c r="B102" s="69" t="n"/>
      <c r="C102" s="82" t="n"/>
      <c r="D102" s="70" t="n"/>
      <c r="E102" s="83">
        <f>IF($D102="","",IFERROR(INDEX('מאגר משימות'!$A$3:$A$252,MATCH($D102,'מאגר משימות'!$D$3:$D$252,0)),""))</f>
        <v/>
      </c>
      <c r="F102" s="70" t="n"/>
      <c r="G102" s="69" t="n"/>
      <c r="H102" s="84">
        <f>IF($D102="","",IF($C102="","",TEXT(HOUR($C102),"00")&amp;":"&amp;TEXT(MINUTE($C102),"00")&amp;" · ")&amp;$D102&amp;IF($A102="",""," — "&amp;$A102)&amp;IF($F102="",""," ("&amp;$F102&amp;")"))</f>
        <v/>
      </c>
      <c r="I102" s="76" t="n"/>
      <c r="J102" s="85">
        <f>IF($D102="","",IF($G102="","(ללא עוגן)",$G102))</f>
        <v/>
      </c>
      <c r="K102" s="85">
        <f>IF($A102="","",$A102&amp;"|"&amp;COUNTIF($A$3:$A102,$A102))</f>
        <v/>
      </c>
      <c r="L102" s="85">
        <f>IF($J102="","",$J102&amp;"|"&amp;COUNTIF($J$3:$J102,$J102))</f>
        <v/>
      </c>
      <c r="M102" s="35">
        <f>IF($A102="","",IF(COUNTIF('קבוצות'!$A$3:$A$8,$A102)=0,"⚠ שם קבוצה לא מוכר",""))</f>
        <v/>
      </c>
    </row>
    <row r="103" ht="28" customHeight="1">
      <c r="A103" s="80" t="n"/>
      <c r="B103" s="69" t="n"/>
      <c r="C103" s="82" t="n"/>
      <c r="D103" s="70" t="n"/>
      <c r="E103" s="83">
        <f>IF($D103="","",IFERROR(INDEX('מאגר משימות'!$A$3:$A$252,MATCH($D103,'מאגר משימות'!$D$3:$D$252,0)),""))</f>
        <v/>
      </c>
      <c r="F103" s="70" t="n"/>
      <c r="G103" s="69" t="n"/>
      <c r="H103" s="84">
        <f>IF($D103="","",IF($C103="","",TEXT(HOUR($C103),"00")&amp;":"&amp;TEXT(MINUTE($C103),"00")&amp;" · ")&amp;$D103&amp;IF($A103="",""," — "&amp;$A103)&amp;IF($F103="",""," ("&amp;$F103&amp;")"))</f>
        <v/>
      </c>
      <c r="I103" s="76" t="n"/>
      <c r="J103" s="85">
        <f>IF($D103="","",IF($G103="","(ללא עוגן)",$G103))</f>
        <v/>
      </c>
      <c r="K103" s="85">
        <f>IF($A103="","",$A103&amp;"|"&amp;COUNTIF($A$3:$A103,$A103))</f>
        <v/>
      </c>
      <c r="L103" s="85">
        <f>IF($J103="","",$J103&amp;"|"&amp;COUNTIF($J$3:$J103,$J103))</f>
        <v/>
      </c>
      <c r="M103" s="35">
        <f>IF($A103="","",IF(COUNTIF('קבוצות'!$A$3:$A$8,$A103)=0,"⚠ שם קבוצה לא מוכר",""))</f>
        <v/>
      </c>
    </row>
    <row r="104" ht="28" customHeight="1">
      <c r="A104" s="80" t="n"/>
      <c r="B104" s="69" t="n"/>
      <c r="C104" s="82" t="n"/>
      <c r="D104" s="70" t="n"/>
      <c r="E104" s="83">
        <f>IF($D104="","",IFERROR(INDEX('מאגר משימות'!$A$3:$A$252,MATCH($D104,'מאגר משימות'!$D$3:$D$252,0)),""))</f>
        <v/>
      </c>
      <c r="F104" s="70" t="n"/>
      <c r="G104" s="69" t="n"/>
      <c r="H104" s="84">
        <f>IF($D104="","",IF($C104="","",TEXT(HOUR($C104),"00")&amp;":"&amp;TEXT(MINUTE($C104),"00")&amp;" · ")&amp;$D104&amp;IF($A104="",""," — "&amp;$A104)&amp;IF($F104="",""," ("&amp;$F104&amp;")"))</f>
        <v/>
      </c>
      <c r="I104" s="76" t="n"/>
      <c r="J104" s="85">
        <f>IF($D104="","",IF($G104="","(ללא עוגן)",$G104))</f>
        <v/>
      </c>
      <c r="K104" s="85">
        <f>IF($A104="","",$A104&amp;"|"&amp;COUNTIF($A$3:$A104,$A104))</f>
        <v/>
      </c>
      <c r="L104" s="85">
        <f>IF($J104="","",$J104&amp;"|"&amp;COUNTIF($J$3:$J104,$J104))</f>
        <v/>
      </c>
      <c r="M104" s="35">
        <f>IF($A104="","",IF(COUNTIF('קבוצות'!$A$3:$A$8,$A104)=0,"⚠ שם קבוצה לא מוכר",""))</f>
        <v/>
      </c>
    </row>
    <row r="105" ht="28" customHeight="1">
      <c r="A105" s="80" t="n"/>
      <c r="B105" s="69" t="n"/>
      <c r="C105" s="82" t="n"/>
      <c r="D105" s="70" t="n"/>
      <c r="E105" s="83">
        <f>IF($D105="","",IFERROR(INDEX('מאגר משימות'!$A$3:$A$252,MATCH($D105,'מאגר משימות'!$D$3:$D$252,0)),""))</f>
        <v/>
      </c>
      <c r="F105" s="70" t="n"/>
      <c r="G105" s="69" t="n"/>
      <c r="H105" s="84">
        <f>IF($D105="","",IF($C105="","",TEXT(HOUR($C105),"00")&amp;":"&amp;TEXT(MINUTE($C105),"00")&amp;" · ")&amp;$D105&amp;IF($A105="",""," — "&amp;$A105)&amp;IF($F105="",""," ("&amp;$F105&amp;")"))</f>
        <v/>
      </c>
      <c r="I105" s="76" t="n"/>
      <c r="J105" s="85">
        <f>IF($D105="","",IF($G105="","(ללא עוגן)",$G105))</f>
        <v/>
      </c>
      <c r="K105" s="85">
        <f>IF($A105="","",$A105&amp;"|"&amp;COUNTIF($A$3:$A105,$A105))</f>
        <v/>
      </c>
      <c r="L105" s="85">
        <f>IF($J105="","",$J105&amp;"|"&amp;COUNTIF($J$3:$J105,$J105))</f>
        <v/>
      </c>
      <c r="M105" s="35">
        <f>IF($A105="","",IF(COUNTIF('קבוצות'!$A$3:$A$8,$A105)=0,"⚠ שם קבוצה לא מוכר",""))</f>
        <v/>
      </c>
    </row>
    <row r="106" ht="28" customHeight="1">
      <c r="A106" s="80" t="n"/>
      <c r="B106" s="69" t="n"/>
      <c r="C106" s="82" t="n"/>
      <c r="D106" s="70" t="n"/>
      <c r="E106" s="83">
        <f>IF($D106="","",IFERROR(INDEX('מאגר משימות'!$A$3:$A$252,MATCH($D106,'מאגר משימות'!$D$3:$D$252,0)),""))</f>
        <v/>
      </c>
      <c r="F106" s="70" t="n"/>
      <c r="G106" s="69" t="n"/>
      <c r="H106" s="84">
        <f>IF($D106="","",IF($C106="","",TEXT(HOUR($C106),"00")&amp;":"&amp;TEXT(MINUTE($C106),"00")&amp;" · ")&amp;$D106&amp;IF($A106="",""," — "&amp;$A106)&amp;IF($F106="",""," ("&amp;$F106&amp;")"))</f>
        <v/>
      </c>
      <c r="I106" s="76" t="n"/>
      <c r="J106" s="85">
        <f>IF($D106="","",IF($G106="","(ללא עוגן)",$G106))</f>
        <v/>
      </c>
      <c r="K106" s="85">
        <f>IF($A106="","",$A106&amp;"|"&amp;COUNTIF($A$3:$A106,$A106))</f>
        <v/>
      </c>
      <c r="L106" s="85">
        <f>IF($J106="","",$J106&amp;"|"&amp;COUNTIF($J$3:$J106,$J106))</f>
        <v/>
      </c>
      <c r="M106" s="35">
        <f>IF($A106="","",IF(COUNTIF('קבוצות'!$A$3:$A$8,$A106)=0,"⚠ שם קבוצה לא מוכר",""))</f>
        <v/>
      </c>
    </row>
    <row r="107" ht="28" customHeight="1">
      <c r="A107" s="80" t="n"/>
      <c r="B107" s="69" t="n"/>
      <c r="C107" s="82" t="n"/>
      <c r="D107" s="70" t="n"/>
      <c r="E107" s="83">
        <f>IF($D107="","",IFERROR(INDEX('מאגר משימות'!$A$3:$A$252,MATCH($D107,'מאגר משימות'!$D$3:$D$252,0)),""))</f>
        <v/>
      </c>
      <c r="F107" s="70" t="n"/>
      <c r="G107" s="69" t="n"/>
      <c r="H107" s="84">
        <f>IF($D107="","",IF($C107="","",TEXT(HOUR($C107),"00")&amp;":"&amp;TEXT(MINUTE($C107),"00")&amp;" · ")&amp;$D107&amp;IF($A107="",""," — "&amp;$A107)&amp;IF($F107="",""," ("&amp;$F107&amp;")"))</f>
        <v/>
      </c>
      <c r="I107" s="76" t="n"/>
      <c r="J107" s="85">
        <f>IF($D107="","",IF($G107="","(ללא עוגן)",$G107))</f>
        <v/>
      </c>
      <c r="K107" s="85">
        <f>IF($A107="","",$A107&amp;"|"&amp;COUNTIF($A$3:$A107,$A107))</f>
        <v/>
      </c>
      <c r="L107" s="85">
        <f>IF($J107="","",$J107&amp;"|"&amp;COUNTIF($J$3:$J107,$J107))</f>
        <v/>
      </c>
      <c r="M107" s="35">
        <f>IF($A107="","",IF(COUNTIF('קבוצות'!$A$3:$A$8,$A107)=0,"⚠ שם קבוצה לא מוכר",""))</f>
        <v/>
      </c>
    </row>
    <row r="108" ht="28" customHeight="1">
      <c r="A108" s="80" t="n"/>
      <c r="B108" s="69" t="n"/>
      <c r="C108" s="82" t="n"/>
      <c r="D108" s="70" t="n"/>
      <c r="E108" s="83">
        <f>IF($D108="","",IFERROR(INDEX('מאגר משימות'!$A$3:$A$252,MATCH($D108,'מאגר משימות'!$D$3:$D$252,0)),""))</f>
        <v/>
      </c>
      <c r="F108" s="70" t="n"/>
      <c r="G108" s="69" t="n"/>
      <c r="H108" s="84">
        <f>IF($D108="","",IF($C108="","",TEXT(HOUR($C108),"00")&amp;":"&amp;TEXT(MINUTE($C108),"00")&amp;" · ")&amp;$D108&amp;IF($A108="",""," — "&amp;$A108)&amp;IF($F108="",""," ("&amp;$F108&amp;")"))</f>
        <v/>
      </c>
      <c r="I108" s="76" t="n"/>
      <c r="J108" s="85">
        <f>IF($D108="","",IF($G108="","(ללא עוגן)",$G108))</f>
        <v/>
      </c>
      <c r="K108" s="85">
        <f>IF($A108="","",$A108&amp;"|"&amp;COUNTIF($A$3:$A108,$A108))</f>
        <v/>
      </c>
      <c r="L108" s="85">
        <f>IF($J108="","",$J108&amp;"|"&amp;COUNTIF($J$3:$J108,$J108))</f>
        <v/>
      </c>
      <c r="M108" s="35">
        <f>IF($A108="","",IF(COUNTIF('קבוצות'!$A$3:$A$8,$A108)=0,"⚠ שם קבוצה לא מוכר",""))</f>
        <v/>
      </c>
    </row>
    <row r="109" ht="28" customHeight="1">
      <c r="A109" s="80" t="n"/>
      <c r="B109" s="69" t="n"/>
      <c r="C109" s="82" t="n"/>
      <c r="D109" s="70" t="n"/>
      <c r="E109" s="83">
        <f>IF($D109="","",IFERROR(INDEX('מאגר משימות'!$A$3:$A$252,MATCH($D109,'מאגר משימות'!$D$3:$D$252,0)),""))</f>
        <v/>
      </c>
      <c r="F109" s="70" t="n"/>
      <c r="G109" s="69" t="n"/>
      <c r="H109" s="84">
        <f>IF($D109="","",IF($C109="","",TEXT(HOUR($C109),"00")&amp;":"&amp;TEXT(MINUTE($C109),"00")&amp;" · ")&amp;$D109&amp;IF($A109="",""," — "&amp;$A109)&amp;IF($F109="",""," ("&amp;$F109&amp;")"))</f>
        <v/>
      </c>
      <c r="I109" s="76" t="n"/>
      <c r="J109" s="85">
        <f>IF($D109="","",IF($G109="","(ללא עוגן)",$G109))</f>
        <v/>
      </c>
      <c r="K109" s="85">
        <f>IF($A109="","",$A109&amp;"|"&amp;COUNTIF($A$3:$A109,$A109))</f>
        <v/>
      </c>
      <c r="L109" s="85">
        <f>IF($J109="","",$J109&amp;"|"&amp;COUNTIF($J$3:$J109,$J109))</f>
        <v/>
      </c>
      <c r="M109" s="35">
        <f>IF($A109="","",IF(COUNTIF('קבוצות'!$A$3:$A$8,$A109)=0,"⚠ שם קבוצה לא מוכר",""))</f>
        <v/>
      </c>
    </row>
    <row r="110" ht="28" customHeight="1">
      <c r="A110" s="80" t="n"/>
      <c r="B110" s="69" t="n"/>
      <c r="C110" s="82" t="n"/>
      <c r="D110" s="70" t="n"/>
      <c r="E110" s="83">
        <f>IF($D110="","",IFERROR(INDEX('מאגר משימות'!$A$3:$A$252,MATCH($D110,'מאגר משימות'!$D$3:$D$252,0)),""))</f>
        <v/>
      </c>
      <c r="F110" s="70" t="n"/>
      <c r="G110" s="69" t="n"/>
      <c r="H110" s="84">
        <f>IF($D110="","",IF($C110="","",TEXT(HOUR($C110),"00")&amp;":"&amp;TEXT(MINUTE($C110),"00")&amp;" · ")&amp;$D110&amp;IF($A110="",""," — "&amp;$A110)&amp;IF($F110="",""," ("&amp;$F110&amp;")"))</f>
        <v/>
      </c>
      <c r="I110" s="76" t="n"/>
      <c r="J110" s="85">
        <f>IF($D110="","",IF($G110="","(ללא עוגן)",$G110))</f>
        <v/>
      </c>
      <c r="K110" s="85">
        <f>IF($A110="","",$A110&amp;"|"&amp;COUNTIF($A$3:$A110,$A110))</f>
        <v/>
      </c>
      <c r="L110" s="85">
        <f>IF($J110="","",$J110&amp;"|"&amp;COUNTIF($J$3:$J110,$J110))</f>
        <v/>
      </c>
      <c r="M110" s="35">
        <f>IF($A110="","",IF(COUNTIF('קבוצות'!$A$3:$A$8,$A110)=0,"⚠ שם קבוצה לא מוכר",""))</f>
        <v/>
      </c>
    </row>
    <row r="111" ht="28" customHeight="1">
      <c r="A111" s="80" t="n"/>
      <c r="B111" s="69" t="n"/>
      <c r="C111" s="82" t="n"/>
      <c r="D111" s="70" t="n"/>
      <c r="E111" s="83">
        <f>IF($D111="","",IFERROR(INDEX('מאגר משימות'!$A$3:$A$252,MATCH($D111,'מאגר משימות'!$D$3:$D$252,0)),""))</f>
        <v/>
      </c>
      <c r="F111" s="70" t="n"/>
      <c r="G111" s="69" t="n"/>
      <c r="H111" s="84">
        <f>IF($D111="","",IF($C111="","",TEXT(HOUR($C111),"00")&amp;":"&amp;TEXT(MINUTE($C111),"00")&amp;" · ")&amp;$D111&amp;IF($A111="",""," — "&amp;$A111)&amp;IF($F111="",""," ("&amp;$F111&amp;")"))</f>
        <v/>
      </c>
      <c r="I111" s="76" t="n"/>
      <c r="J111" s="85">
        <f>IF($D111="","",IF($G111="","(ללא עוגן)",$G111))</f>
        <v/>
      </c>
      <c r="K111" s="85">
        <f>IF($A111="","",$A111&amp;"|"&amp;COUNTIF($A$3:$A111,$A111))</f>
        <v/>
      </c>
      <c r="L111" s="85">
        <f>IF($J111="","",$J111&amp;"|"&amp;COUNTIF($J$3:$J111,$J111))</f>
        <v/>
      </c>
      <c r="M111" s="35">
        <f>IF($A111="","",IF(COUNTIF('קבוצות'!$A$3:$A$8,$A111)=0,"⚠ שם קבוצה לא מוכר",""))</f>
        <v/>
      </c>
    </row>
    <row r="112" ht="28" customHeight="1">
      <c r="A112" s="80" t="n"/>
      <c r="B112" s="69" t="n"/>
      <c r="C112" s="82" t="n"/>
      <c r="D112" s="70" t="n"/>
      <c r="E112" s="83">
        <f>IF($D112="","",IFERROR(INDEX('מאגר משימות'!$A$3:$A$252,MATCH($D112,'מאגר משימות'!$D$3:$D$252,0)),""))</f>
        <v/>
      </c>
      <c r="F112" s="70" t="n"/>
      <c r="G112" s="69" t="n"/>
      <c r="H112" s="84">
        <f>IF($D112="","",IF($C112="","",TEXT(HOUR($C112),"00")&amp;":"&amp;TEXT(MINUTE($C112),"00")&amp;" · ")&amp;$D112&amp;IF($A112="",""," — "&amp;$A112)&amp;IF($F112="",""," ("&amp;$F112&amp;")"))</f>
        <v/>
      </c>
      <c r="I112" s="76" t="n"/>
      <c r="J112" s="85">
        <f>IF($D112="","",IF($G112="","(ללא עוגן)",$G112))</f>
        <v/>
      </c>
      <c r="K112" s="85">
        <f>IF($A112="","",$A112&amp;"|"&amp;COUNTIF($A$3:$A112,$A112))</f>
        <v/>
      </c>
      <c r="L112" s="85">
        <f>IF($J112="","",$J112&amp;"|"&amp;COUNTIF($J$3:$J112,$J112))</f>
        <v/>
      </c>
      <c r="M112" s="35">
        <f>IF($A112="","",IF(COUNTIF('קבוצות'!$A$3:$A$8,$A112)=0,"⚠ שם קבוצה לא מוכר",""))</f>
        <v/>
      </c>
    </row>
    <row r="113" ht="28" customHeight="1">
      <c r="A113" s="80" t="n"/>
      <c r="B113" s="69" t="n"/>
      <c r="C113" s="82" t="n"/>
      <c r="D113" s="70" t="n"/>
      <c r="E113" s="83">
        <f>IF($D113="","",IFERROR(INDEX('מאגר משימות'!$A$3:$A$252,MATCH($D113,'מאגר משימות'!$D$3:$D$252,0)),""))</f>
        <v/>
      </c>
      <c r="F113" s="70" t="n"/>
      <c r="G113" s="69" t="n"/>
      <c r="H113" s="84">
        <f>IF($D113="","",IF($C113="","",TEXT(HOUR($C113),"00")&amp;":"&amp;TEXT(MINUTE($C113),"00")&amp;" · ")&amp;$D113&amp;IF($A113="",""," — "&amp;$A113)&amp;IF($F113="",""," ("&amp;$F113&amp;")"))</f>
        <v/>
      </c>
      <c r="I113" s="76" t="n"/>
      <c r="J113" s="85">
        <f>IF($D113="","",IF($G113="","(ללא עוגן)",$G113))</f>
        <v/>
      </c>
      <c r="K113" s="85">
        <f>IF($A113="","",$A113&amp;"|"&amp;COUNTIF($A$3:$A113,$A113))</f>
        <v/>
      </c>
      <c r="L113" s="85">
        <f>IF($J113="","",$J113&amp;"|"&amp;COUNTIF($J$3:$J113,$J113))</f>
        <v/>
      </c>
      <c r="M113" s="35">
        <f>IF($A113="","",IF(COUNTIF('קבוצות'!$A$3:$A$8,$A113)=0,"⚠ שם קבוצה לא מוכר",""))</f>
        <v/>
      </c>
    </row>
    <row r="114" ht="28" customHeight="1">
      <c r="A114" s="80" t="n"/>
      <c r="B114" s="69" t="n"/>
      <c r="C114" s="82" t="n"/>
      <c r="D114" s="70" t="n"/>
      <c r="E114" s="83">
        <f>IF($D114="","",IFERROR(INDEX('מאגר משימות'!$A$3:$A$252,MATCH($D114,'מאגר משימות'!$D$3:$D$252,0)),""))</f>
        <v/>
      </c>
      <c r="F114" s="70" t="n"/>
      <c r="G114" s="69" t="n"/>
      <c r="H114" s="84">
        <f>IF($D114="","",IF($C114="","",TEXT(HOUR($C114),"00")&amp;":"&amp;TEXT(MINUTE($C114),"00")&amp;" · ")&amp;$D114&amp;IF($A114="",""," — "&amp;$A114)&amp;IF($F114="",""," ("&amp;$F114&amp;")"))</f>
        <v/>
      </c>
      <c r="I114" s="76" t="n"/>
      <c r="J114" s="85">
        <f>IF($D114="","",IF($G114="","(ללא עוגן)",$G114))</f>
        <v/>
      </c>
      <c r="K114" s="85">
        <f>IF($A114="","",$A114&amp;"|"&amp;COUNTIF($A$3:$A114,$A114))</f>
        <v/>
      </c>
      <c r="L114" s="85">
        <f>IF($J114="","",$J114&amp;"|"&amp;COUNTIF($J$3:$J114,$J114))</f>
        <v/>
      </c>
      <c r="M114" s="35">
        <f>IF($A114="","",IF(COUNTIF('קבוצות'!$A$3:$A$8,$A114)=0,"⚠ שם קבוצה לא מוכר",""))</f>
        <v/>
      </c>
    </row>
    <row r="115" ht="28" customHeight="1">
      <c r="A115" s="80" t="n"/>
      <c r="B115" s="69" t="n"/>
      <c r="C115" s="82" t="n"/>
      <c r="D115" s="70" t="n"/>
      <c r="E115" s="83">
        <f>IF($D115="","",IFERROR(INDEX('מאגר משימות'!$A$3:$A$252,MATCH($D115,'מאגר משימות'!$D$3:$D$252,0)),""))</f>
        <v/>
      </c>
      <c r="F115" s="70" t="n"/>
      <c r="G115" s="69" t="n"/>
      <c r="H115" s="84">
        <f>IF($D115="","",IF($C115="","",TEXT(HOUR($C115),"00")&amp;":"&amp;TEXT(MINUTE($C115),"00")&amp;" · ")&amp;$D115&amp;IF($A115="",""," — "&amp;$A115)&amp;IF($F115="",""," ("&amp;$F115&amp;")"))</f>
        <v/>
      </c>
      <c r="I115" s="76" t="n"/>
      <c r="J115" s="85">
        <f>IF($D115="","",IF($G115="","(ללא עוגן)",$G115))</f>
        <v/>
      </c>
      <c r="K115" s="85">
        <f>IF($A115="","",$A115&amp;"|"&amp;COUNTIF($A$3:$A115,$A115))</f>
        <v/>
      </c>
      <c r="L115" s="85">
        <f>IF($J115="","",$J115&amp;"|"&amp;COUNTIF($J$3:$J115,$J115))</f>
        <v/>
      </c>
      <c r="M115" s="35">
        <f>IF($A115="","",IF(COUNTIF('קבוצות'!$A$3:$A$8,$A115)=0,"⚠ שם קבוצה לא מוכר",""))</f>
        <v/>
      </c>
    </row>
    <row r="116" ht="28" customHeight="1">
      <c r="A116" s="80" t="n"/>
      <c r="B116" s="69" t="n"/>
      <c r="C116" s="82" t="n"/>
      <c r="D116" s="70" t="n"/>
      <c r="E116" s="83">
        <f>IF($D116="","",IFERROR(INDEX('מאגר משימות'!$A$3:$A$252,MATCH($D116,'מאגר משימות'!$D$3:$D$252,0)),""))</f>
        <v/>
      </c>
      <c r="F116" s="70" t="n"/>
      <c r="G116" s="69" t="n"/>
      <c r="H116" s="84">
        <f>IF($D116="","",IF($C116="","",TEXT(HOUR($C116),"00")&amp;":"&amp;TEXT(MINUTE($C116),"00")&amp;" · ")&amp;$D116&amp;IF($A116="",""," — "&amp;$A116)&amp;IF($F116="",""," ("&amp;$F116&amp;")"))</f>
        <v/>
      </c>
      <c r="I116" s="76" t="n"/>
      <c r="J116" s="85">
        <f>IF($D116="","",IF($G116="","(ללא עוגן)",$G116))</f>
        <v/>
      </c>
      <c r="K116" s="85">
        <f>IF($A116="","",$A116&amp;"|"&amp;COUNTIF($A$3:$A116,$A116))</f>
        <v/>
      </c>
      <c r="L116" s="85">
        <f>IF($J116="","",$J116&amp;"|"&amp;COUNTIF($J$3:$J116,$J116))</f>
        <v/>
      </c>
      <c r="M116" s="35">
        <f>IF($A116="","",IF(COUNTIF('קבוצות'!$A$3:$A$8,$A116)=0,"⚠ שם קבוצה לא מוכר",""))</f>
        <v/>
      </c>
    </row>
    <row r="117" ht="28" customHeight="1">
      <c r="A117" s="80" t="n"/>
      <c r="B117" s="69" t="n"/>
      <c r="C117" s="82" t="n"/>
      <c r="D117" s="70" t="n"/>
      <c r="E117" s="83">
        <f>IF($D117="","",IFERROR(INDEX('מאגר משימות'!$A$3:$A$252,MATCH($D117,'מאגר משימות'!$D$3:$D$252,0)),""))</f>
        <v/>
      </c>
      <c r="F117" s="70" t="n"/>
      <c r="G117" s="69" t="n"/>
      <c r="H117" s="84">
        <f>IF($D117="","",IF($C117="","",TEXT(HOUR($C117),"00")&amp;":"&amp;TEXT(MINUTE($C117),"00")&amp;" · ")&amp;$D117&amp;IF($A117="",""," — "&amp;$A117)&amp;IF($F117="",""," ("&amp;$F117&amp;")"))</f>
        <v/>
      </c>
      <c r="I117" s="76" t="n"/>
      <c r="J117" s="85">
        <f>IF($D117="","",IF($G117="","(ללא עוגן)",$G117))</f>
        <v/>
      </c>
      <c r="K117" s="85">
        <f>IF($A117="","",$A117&amp;"|"&amp;COUNTIF($A$3:$A117,$A117))</f>
        <v/>
      </c>
      <c r="L117" s="85">
        <f>IF($J117="","",$J117&amp;"|"&amp;COUNTIF($J$3:$J117,$J117))</f>
        <v/>
      </c>
      <c r="M117" s="35">
        <f>IF($A117="","",IF(COUNTIF('קבוצות'!$A$3:$A$8,$A117)=0,"⚠ שם קבוצה לא מוכר",""))</f>
        <v/>
      </c>
    </row>
    <row r="118" ht="28" customHeight="1">
      <c r="A118" s="80" t="n"/>
      <c r="B118" s="69" t="n"/>
      <c r="C118" s="82" t="n"/>
      <c r="D118" s="70" t="n"/>
      <c r="E118" s="83">
        <f>IF($D118="","",IFERROR(INDEX('מאגר משימות'!$A$3:$A$252,MATCH($D118,'מאגר משימות'!$D$3:$D$252,0)),""))</f>
        <v/>
      </c>
      <c r="F118" s="70" t="n"/>
      <c r="G118" s="69" t="n"/>
      <c r="H118" s="84">
        <f>IF($D118="","",IF($C118="","",TEXT(HOUR($C118),"00")&amp;":"&amp;TEXT(MINUTE($C118),"00")&amp;" · ")&amp;$D118&amp;IF($A118="",""," — "&amp;$A118)&amp;IF($F118="",""," ("&amp;$F118&amp;")"))</f>
        <v/>
      </c>
      <c r="I118" s="76" t="n"/>
      <c r="J118" s="85">
        <f>IF($D118="","",IF($G118="","(ללא עוגן)",$G118))</f>
        <v/>
      </c>
      <c r="K118" s="85">
        <f>IF($A118="","",$A118&amp;"|"&amp;COUNTIF($A$3:$A118,$A118))</f>
        <v/>
      </c>
      <c r="L118" s="85">
        <f>IF($J118="","",$J118&amp;"|"&amp;COUNTIF($J$3:$J118,$J118))</f>
        <v/>
      </c>
      <c r="M118" s="35">
        <f>IF($A118="","",IF(COUNTIF('קבוצות'!$A$3:$A$8,$A118)=0,"⚠ שם קבוצה לא מוכר",""))</f>
        <v/>
      </c>
    </row>
    <row r="119" ht="28" customHeight="1">
      <c r="A119" s="80" t="n"/>
      <c r="B119" s="69" t="n"/>
      <c r="C119" s="82" t="n"/>
      <c r="D119" s="70" t="n"/>
      <c r="E119" s="83">
        <f>IF($D119="","",IFERROR(INDEX('מאגר משימות'!$A$3:$A$252,MATCH($D119,'מאגר משימות'!$D$3:$D$252,0)),""))</f>
        <v/>
      </c>
      <c r="F119" s="70" t="n"/>
      <c r="G119" s="69" t="n"/>
      <c r="H119" s="84">
        <f>IF($D119="","",IF($C119="","",TEXT(HOUR($C119),"00")&amp;":"&amp;TEXT(MINUTE($C119),"00")&amp;" · ")&amp;$D119&amp;IF($A119="",""," — "&amp;$A119)&amp;IF($F119="",""," ("&amp;$F119&amp;")"))</f>
        <v/>
      </c>
      <c r="I119" s="76" t="n"/>
      <c r="J119" s="85">
        <f>IF($D119="","",IF($G119="","(ללא עוגן)",$G119))</f>
        <v/>
      </c>
      <c r="K119" s="85">
        <f>IF($A119="","",$A119&amp;"|"&amp;COUNTIF($A$3:$A119,$A119))</f>
        <v/>
      </c>
      <c r="L119" s="85">
        <f>IF($J119="","",$J119&amp;"|"&amp;COUNTIF($J$3:$J119,$J119))</f>
        <v/>
      </c>
      <c r="M119" s="35">
        <f>IF($A119="","",IF(COUNTIF('קבוצות'!$A$3:$A$8,$A119)=0,"⚠ שם קבוצה לא מוכר",""))</f>
        <v/>
      </c>
    </row>
    <row r="120" ht="28" customHeight="1">
      <c r="A120" s="80" t="n"/>
      <c r="B120" s="69" t="n"/>
      <c r="C120" s="82" t="n"/>
      <c r="D120" s="70" t="n"/>
      <c r="E120" s="83">
        <f>IF($D120="","",IFERROR(INDEX('מאגר משימות'!$A$3:$A$252,MATCH($D120,'מאגר משימות'!$D$3:$D$252,0)),""))</f>
        <v/>
      </c>
      <c r="F120" s="70" t="n"/>
      <c r="G120" s="69" t="n"/>
      <c r="H120" s="84">
        <f>IF($D120="","",IF($C120="","",TEXT(HOUR($C120),"00")&amp;":"&amp;TEXT(MINUTE($C120),"00")&amp;" · ")&amp;$D120&amp;IF($A120="",""," — "&amp;$A120)&amp;IF($F120="",""," ("&amp;$F120&amp;")"))</f>
        <v/>
      </c>
      <c r="I120" s="76" t="n"/>
      <c r="J120" s="85">
        <f>IF($D120="","",IF($G120="","(ללא עוגן)",$G120))</f>
        <v/>
      </c>
      <c r="K120" s="85">
        <f>IF($A120="","",$A120&amp;"|"&amp;COUNTIF($A$3:$A120,$A120))</f>
        <v/>
      </c>
      <c r="L120" s="85">
        <f>IF($J120="","",$J120&amp;"|"&amp;COUNTIF($J$3:$J120,$J120))</f>
        <v/>
      </c>
      <c r="M120" s="35">
        <f>IF($A120="","",IF(COUNTIF('קבוצות'!$A$3:$A$8,$A120)=0,"⚠ שם קבוצה לא מוכר",""))</f>
        <v/>
      </c>
    </row>
    <row r="121" ht="28" customHeight="1">
      <c r="A121" s="80" t="n"/>
      <c r="B121" s="69" t="n"/>
      <c r="C121" s="82" t="n"/>
      <c r="D121" s="70" t="n"/>
      <c r="E121" s="83">
        <f>IF($D121="","",IFERROR(INDEX('מאגר משימות'!$A$3:$A$252,MATCH($D121,'מאגר משימות'!$D$3:$D$252,0)),""))</f>
        <v/>
      </c>
      <c r="F121" s="70" t="n"/>
      <c r="G121" s="69" t="n"/>
      <c r="H121" s="84">
        <f>IF($D121="","",IF($C121="","",TEXT(HOUR($C121),"00")&amp;":"&amp;TEXT(MINUTE($C121),"00")&amp;" · ")&amp;$D121&amp;IF($A121="",""," — "&amp;$A121)&amp;IF($F121="",""," ("&amp;$F121&amp;")"))</f>
        <v/>
      </c>
      <c r="I121" s="76" t="n"/>
      <c r="J121" s="85">
        <f>IF($D121="","",IF($G121="","(ללא עוגן)",$G121))</f>
        <v/>
      </c>
      <c r="K121" s="85">
        <f>IF($A121="","",$A121&amp;"|"&amp;COUNTIF($A$3:$A121,$A121))</f>
        <v/>
      </c>
      <c r="L121" s="85">
        <f>IF($J121="","",$J121&amp;"|"&amp;COUNTIF($J$3:$J121,$J121))</f>
        <v/>
      </c>
      <c r="M121" s="35">
        <f>IF($A121="","",IF(COUNTIF('קבוצות'!$A$3:$A$8,$A121)=0,"⚠ שם קבוצה לא מוכר",""))</f>
        <v/>
      </c>
    </row>
    <row r="122" ht="28" customHeight="1">
      <c r="A122" s="80" t="n"/>
      <c r="B122" s="69" t="n"/>
      <c r="C122" s="82" t="n"/>
      <c r="D122" s="70" t="n"/>
      <c r="E122" s="83">
        <f>IF($D122="","",IFERROR(INDEX('מאגר משימות'!$A$3:$A$252,MATCH($D122,'מאגר משימות'!$D$3:$D$252,0)),""))</f>
        <v/>
      </c>
      <c r="F122" s="70" t="n"/>
      <c r="G122" s="69" t="n"/>
      <c r="H122" s="84">
        <f>IF($D122="","",IF($C122="","",TEXT(HOUR($C122),"00")&amp;":"&amp;TEXT(MINUTE($C122),"00")&amp;" · ")&amp;$D122&amp;IF($A122="",""," — "&amp;$A122)&amp;IF($F122="",""," ("&amp;$F122&amp;")"))</f>
        <v/>
      </c>
      <c r="I122" s="76" t="n"/>
      <c r="J122" s="85">
        <f>IF($D122="","",IF($G122="","(ללא עוגן)",$G122))</f>
        <v/>
      </c>
      <c r="K122" s="85">
        <f>IF($A122="","",$A122&amp;"|"&amp;COUNTIF($A$3:$A122,$A122))</f>
        <v/>
      </c>
      <c r="L122" s="85">
        <f>IF($J122="","",$J122&amp;"|"&amp;COUNTIF($J$3:$J122,$J122))</f>
        <v/>
      </c>
      <c r="M122" s="35">
        <f>IF($A122="","",IF(COUNTIF('קבוצות'!$A$3:$A$8,$A122)=0,"⚠ שם קבוצה לא מוכר",""))</f>
        <v/>
      </c>
    </row>
    <row r="123" ht="28" customHeight="1">
      <c r="A123" s="80" t="n"/>
      <c r="B123" s="69" t="n"/>
      <c r="C123" s="82" t="n"/>
      <c r="D123" s="70" t="n"/>
      <c r="E123" s="83">
        <f>IF($D123="","",IFERROR(INDEX('מאגר משימות'!$A$3:$A$252,MATCH($D123,'מאגר משימות'!$D$3:$D$252,0)),""))</f>
        <v/>
      </c>
      <c r="F123" s="70" t="n"/>
      <c r="G123" s="69" t="n"/>
      <c r="H123" s="84">
        <f>IF($D123="","",IF($C123="","",TEXT(HOUR($C123),"00")&amp;":"&amp;TEXT(MINUTE($C123),"00")&amp;" · ")&amp;$D123&amp;IF($A123="",""," — "&amp;$A123)&amp;IF($F123="",""," ("&amp;$F123&amp;")"))</f>
        <v/>
      </c>
      <c r="I123" s="76" t="n"/>
      <c r="J123" s="85">
        <f>IF($D123="","",IF($G123="","(ללא עוגן)",$G123))</f>
        <v/>
      </c>
      <c r="K123" s="85">
        <f>IF($A123="","",$A123&amp;"|"&amp;COUNTIF($A$3:$A123,$A123))</f>
        <v/>
      </c>
      <c r="L123" s="85">
        <f>IF($J123="","",$J123&amp;"|"&amp;COUNTIF($J$3:$J123,$J123))</f>
        <v/>
      </c>
      <c r="M123" s="35">
        <f>IF($A123="","",IF(COUNTIF('קבוצות'!$A$3:$A$8,$A123)=0,"⚠ שם קבוצה לא מוכר",""))</f>
        <v/>
      </c>
    </row>
    <row r="124" ht="28" customHeight="1">
      <c r="A124" s="80" t="n"/>
      <c r="B124" s="69" t="n"/>
      <c r="C124" s="82" t="n"/>
      <c r="D124" s="70" t="n"/>
      <c r="E124" s="83">
        <f>IF($D124="","",IFERROR(INDEX('מאגר משימות'!$A$3:$A$252,MATCH($D124,'מאגר משימות'!$D$3:$D$252,0)),""))</f>
        <v/>
      </c>
      <c r="F124" s="70" t="n"/>
      <c r="G124" s="69" t="n"/>
      <c r="H124" s="84">
        <f>IF($D124="","",IF($C124="","",TEXT(HOUR($C124),"00")&amp;":"&amp;TEXT(MINUTE($C124),"00")&amp;" · ")&amp;$D124&amp;IF($A124="",""," — "&amp;$A124)&amp;IF($F124="",""," ("&amp;$F124&amp;")"))</f>
        <v/>
      </c>
      <c r="I124" s="76" t="n"/>
      <c r="J124" s="85">
        <f>IF($D124="","",IF($G124="","(ללא עוגן)",$G124))</f>
        <v/>
      </c>
      <c r="K124" s="85">
        <f>IF($A124="","",$A124&amp;"|"&amp;COUNTIF($A$3:$A124,$A124))</f>
        <v/>
      </c>
      <c r="L124" s="85">
        <f>IF($J124="","",$J124&amp;"|"&amp;COUNTIF($J$3:$J124,$J124))</f>
        <v/>
      </c>
      <c r="M124" s="35">
        <f>IF($A124="","",IF(COUNTIF('קבוצות'!$A$3:$A$8,$A124)=0,"⚠ שם קבוצה לא מוכר",""))</f>
        <v/>
      </c>
    </row>
    <row r="125" ht="28" customHeight="1">
      <c r="A125" s="80" t="n"/>
      <c r="B125" s="69" t="n"/>
      <c r="C125" s="82" t="n"/>
      <c r="D125" s="70" t="n"/>
      <c r="E125" s="83">
        <f>IF($D125="","",IFERROR(INDEX('מאגר משימות'!$A$3:$A$252,MATCH($D125,'מאגר משימות'!$D$3:$D$252,0)),""))</f>
        <v/>
      </c>
      <c r="F125" s="70" t="n"/>
      <c r="G125" s="69" t="n"/>
      <c r="H125" s="84">
        <f>IF($D125="","",IF($C125="","",TEXT(HOUR($C125),"00")&amp;":"&amp;TEXT(MINUTE($C125),"00")&amp;" · ")&amp;$D125&amp;IF($A125="",""," — "&amp;$A125)&amp;IF($F125="",""," ("&amp;$F125&amp;")"))</f>
        <v/>
      </c>
      <c r="I125" s="76" t="n"/>
      <c r="J125" s="85">
        <f>IF($D125="","",IF($G125="","(ללא עוגן)",$G125))</f>
        <v/>
      </c>
      <c r="K125" s="85">
        <f>IF($A125="","",$A125&amp;"|"&amp;COUNTIF($A$3:$A125,$A125))</f>
        <v/>
      </c>
      <c r="L125" s="85">
        <f>IF($J125="","",$J125&amp;"|"&amp;COUNTIF($J$3:$J125,$J125))</f>
        <v/>
      </c>
      <c r="M125" s="35">
        <f>IF($A125="","",IF(COUNTIF('קבוצות'!$A$3:$A$8,$A125)=0,"⚠ שם קבוצה לא מוכר",""))</f>
        <v/>
      </c>
    </row>
    <row r="126" ht="28" customHeight="1">
      <c r="A126" s="80" t="n"/>
      <c r="B126" s="69" t="n"/>
      <c r="C126" s="82" t="n"/>
      <c r="D126" s="70" t="n"/>
      <c r="E126" s="83">
        <f>IF($D126="","",IFERROR(INDEX('מאגר משימות'!$A$3:$A$252,MATCH($D126,'מאגר משימות'!$D$3:$D$252,0)),""))</f>
        <v/>
      </c>
      <c r="F126" s="70" t="n"/>
      <c r="G126" s="69" t="n"/>
      <c r="H126" s="84">
        <f>IF($D126="","",IF($C126="","",TEXT(HOUR($C126),"00")&amp;":"&amp;TEXT(MINUTE($C126),"00")&amp;" · ")&amp;$D126&amp;IF($A126="",""," — "&amp;$A126)&amp;IF($F126="",""," ("&amp;$F126&amp;")"))</f>
        <v/>
      </c>
      <c r="I126" s="76" t="n"/>
      <c r="J126" s="85">
        <f>IF($D126="","",IF($G126="","(ללא עוגן)",$G126))</f>
        <v/>
      </c>
      <c r="K126" s="85">
        <f>IF($A126="","",$A126&amp;"|"&amp;COUNTIF($A$3:$A126,$A126))</f>
        <v/>
      </c>
      <c r="L126" s="85">
        <f>IF($J126="","",$J126&amp;"|"&amp;COUNTIF($J$3:$J126,$J126))</f>
        <v/>
      </c>
      <c r="M126" s="35">
        <f>IF($A126="","",IF(COUNTIF('קבוצות'!$A$3:$A$8,$A126)=0,"⚠ שם קבוצה לא מוכר",""))</f>
        <v/>
      </c>
    </row>
    <row r="127" ht="28" customHeight="1">
      <c r="A127" s="80" t="n"/>
      <c r="B127" s="69" t="n"/>
      <c r="C127" s="82" t="n"/>
      <c r="D127" s="70" t="n"/>
      <c r="E127" s="83">
        <f>IF($D127="","",IFERROR(INDEX('מאגר משימות'!$A$3:$A$252,MATCH($D127,'מאגר משימות'!$D$3:$D$252,0)),""))</f>
        <v/>
      </c>
      <c r="F127" s="70" t="n"/>
      <c r="G127" s="69" t="n"/>
      <c r="H127" s="84">
        <f>IF($D127="","",IF($C127="","",TEXT(HOUR($C127),"00")&amp;":"&amp;TEXT(MINUTE($C127),"00")&amp;" · ")&amp;$D127&amp;IF($A127="",""," — "&amp;$A127)&amp;IF($F127="",""," ("&amp;$F127&amp;")"))</f>
        <v/>
      </c>
      <c r="I127" s="76" t="n"/>
      <c r="J127" s="85">
        <f>IF($D127="","",IF($G127="","(ללא עוגן)",$G127))</f>
        <v/>
      </c>
      <c r="K127" s="85">
        <f>IF($A127="","",$A127&amp;"|"&amp;COUNTIF($A$3:$A127,$A127))</f>
        <v/>
      </c>
      <c r="L127" s="85">
        <f>IF($J127="","",$J127&amp;"|"&amp;COUNTIF($J$3:$J127,$J127))</f>
        <v/>
      </c>
      <c r="M127" s="35">
        <f>IF($A127="","",IF(COUNTIF('קבוצות'!$A$3:$A$8,$A127)=0,"⚠ שם קבוצה לא מוכר",""))</f>
        <v/>
      </c>
    </row>
    <row r="128" ht="28" customHeight="1">
      <c r="A128" s="80" t="n"/>
      <c r="B128" s="69" t="n"/>
      <c r="C128" s="82" t="n"/>
      <c r="D128" s="70" t="n"/>
      <c r="E128" s="83">
        <f>IF($D128="","",IFERROR(INDEX('מאגר משימות'!$A$3:$A$252,MATCH($D128,'מאגר משימות'!$D$3:$D$252,0)),""))</f>
        <v/>
      </c>
      <c r="F128" s="70" t="n"/>
      <c r="G128" s="69" t="n"/>
      <c r="H128" s="84">
        <f>IF($D128="","",IF($C128="","",TEXT(HOUR($C128),"00")&amp;":"&amp;TEXT(MINUTE($C128),"00")&amp;" · ")&amp;$D128&amp;IF($A128="",""," — "&amp;$A128)&amp;IF($F128="",""," ("&amp;$F128&amp;")"))</f>
        <v/>
      </c>
      <c r="I128" s="76" t="n"/>
      <c r="J128" s="85">
        <f>IF($D128="","",IF($G128="","(ללא עוגן)",$G128))</f>
        <v/>
      </c>
      <c r="K128" s="85">
        <f>IF($A128="","",$A128&amp;"|"&amp;COUNTIF($A$3:$A128,$A128))</f>
        <v/>
      </c>
      <c r="L128" s="85">
        <f>IF($J128="","",$J128&amp;"|"&amp;COUNTIF($J$3:$J128,$J128))</f>
        <v/>
      </c>
      <c r="M128" s="35">
        <f>IF($A128="","",IF(COUNTIF('קבוצות'!$A$3:$A$8,$A128)=0,"⚠ שם קבוצה לא מוכר",""))</f>
        <v/>
      </c>
    </row>
    <row r="129" ht="28" customHeight="1">
      <c r="A129" s="80" t="n"/>
      <c r="B129" s="69" t="n"/>
      <c r="C129" s="82" t="n"/>
      <c r="D129" s="70" t="n"/>
      <c r="E129" s="83">
        <f>IF($D129="","",IFERROR(INDEX('מאגר משימות'!$A$3:$A$252,MATCH($D129,'מאגר משימות'!$D$3:$D$252,0)),""))</f>
        <v/>
      </c>
      <c r="F129" s="70" t="n"/>
      <c r="G129" s="69" t="n"/>
      <c r="H129" s="84">
        <f>IF($D129="","",IF($C129="","",TEXT(HOUR($C129),"00")&amp;":"&amp;TEXT(MINUTE($C129),"00")&amp;" · ")&amp;$D129&amp;IF($A129="",""," — "&amp;$A129)&amp;IF($F129="",""," ("&amp;$F129&amp;")"))</f>
        <v/>
      </c>
      <c r="I129" s="76" t="n"/>
      <c r="J129" s="85">
        <f>IF($D129="","",IF($G129="","(ללא עוגן)",$G129))</f>
        <v/>
      </c>
      <c r="K129" s="85">
        <f>IF($A129="","",$A129&amp;"|"&amp;COUNTIF($A$3:$A129,$A129))</f>
        <v/>
      </c>
      <c r="L129" s="85">
        <f>IF($J129="","",$J129&amp;"|"&amp;COUNTIF($J$3:$J129,$J129))</f>
        <v/>
      </c>
      <c r="M129" s="35">
        <f>IF($A129="","",IF(COUNTIF('קבוצות'!$A$3:$A$8,$A129)=0,"⚠ שם קבוצה לא מוכר",""))</f>
        <v/>
      </c>
    </row>
    <row r="130" ht="28" customHeight="1">
      <c r="A130" s="80" t="n"/>
      <c r="B130" s="69" t="n"/>
      <c r="C130" s="82" t="n"/>
      <c r="D130" s="70" t="n"/>
      <c r="E130" s="83">
        <f>IF($D130="","",IFERROR(INDEX('מאגר משימות'!$A$3:$A$252,MATCH($D130,'מאגר משימות'!$D$3:$D$252,0)),""))</f>
        <v/>
      </c>
      <c r="F130" s="70" t="n"/>
      <c r="G130" s="69" t="n"/>
      <c r="H130" s="84">
        <f>IF($D130="","",IF($C130="","",TEXT(HOUR($C130),"00")&amp;":"&amp;TEXT(MINUTE($C130),"00")&amp;" · ")&amp;$D130&amp;IF($A130="",""," — "&amp;$A130)&amp;IF($F130="",""," ("&amp;$F130&amp;")"))</f>
        <v/>
      </c>
      <c r="I130" s="76" t="n"/>
      <c r="J130" s="85">
        <f>IF($D130="","",IF($G130="","(ללא עוגן)",$G130))</f>
        <v/>
      </c>
      <c r="K130" s="85">
        <f>IF($A130="","",$A130&amp;"|"&amp;COUNTIF($A$3:$A130,$A130))</f>
        <v/>
      </c>
      <c r="L130" s="85">
        <f>IF($J130="","",$J130&amp;"|"&amp;COUNTIF($J$3:$J130,$J130))</f>
        <v/>
      </c>
      <c r="M130" s="35">
        <f>IF($A130="","",IF(COUNTIF('קבוצות'!$A$3:$A$8,$A130)=0,"⚠ שם קבוצה לא מוכר",""))</f>
        <v/>
      </c>
    </row>
    <row r="131" ht="28" customHeight="1">
      <c r="A131" s="80" t="n"/>
      <c r="B131" s="69" t="n"/>
      <c r="C131" s="82" t="n"/>
      <c r="D131" s="70" t="n"/>
      <c r="E131" s="83">
        <f>IF($D131="","",IFERROR(INDEX('מאגר משימות'!$A$3:$A$252,MATCH($D131,'מאגר משימות'!$D$3:$D$252,0)),""))</f>
        <v/>
      </c>
      <c r="F131" s="70" t="n"/>
      <c r="G131" s="69" t="n"/>
      <c r="H131" s="84">
        <f>IF($D131="","",IF($C131="","",TEXT(HOUR($C131),"00")&amp;":"&amp;TEXT(MINUTE($C131),"00")&amp;" · ")&amp;$D131&amp;IF($A131="",""," — "&amp;$A131)&amp;IF($F131="",""," ("&amp;$F131&amp;")"))</f>
        <v/>
      </c>
      <c r="I131" s="76" t="n"/>
      <c r="J131" s="85">
        <f>IF($D131="","",IF($G131="","(ללא עוגן)",$G131))</f>
        <v/>
      </c>
      <c r="K131" s="85">
        <f>IF($A131="","",$A131&amp;"|"&amp;COUNTIF($A$3:$A131,$A131))</f>
        <v/>
      </c>
      <c r="L131" s="85">
        <f>IF($J131="","",$J131&amp;"|"&amp;COUNTIF($J$3:$J131,$J131))</f>
        <v/>
      </c>
      <c r="M131" s="35">
        <f>IF($A131="","",IF(COUNTIF('קבוצות'!$A$3:$A$8,$A131)=0,"⚠ שם קבוצה לא מוכר",""))</f>
        <v/>
      </c>
    </row>
    <row r="132" ht="28" customHeight="1">
      <c r="A132" s="80" t="n"/>
      <c r="B132" s="69" t="n"/>
      <c r="C132" s="82" t="n"/>
      <c r="D132" s="70" t="n"/>
      <c r="E132" s="83">
        <f>IF($D132="","",IFERROR(INDEX('מאגר משימות'!$A$3:$A$252,MATCH($D132,'מאגר משימות'!$D$3:$D$252,0)),""))</f>
        <v/>
      </c>
      <c r="F132" s="70" t="n"/>
      <c r="G132" s="69" t="n"/>
      <c r="H132" s="84">
        <f>IF($D132="","",IF($C132="","",TEXT(HOUR($C132),"00")&amp;":"&amp;TEXT(MINUTE($C132),"00")&amp;" · ")&amp;$D132&amp;IF($A132="",""," — "&amp;$A132)&amp;IF($F132="",""," ("&amp;$F132&amp;")"))</f>
        <v/>
      </c>
      <c r="I132" s="76" t="n"/>
      <c r="J132" s="85">
        <f>IF($D132="","",IF($G132="","(ללא עוגן)",$G132))</f>
        <v/>
      </c>
      <c r="K132" s="85">
        <f>IF($A132="","",$A132&amp;"|"&amp;COUNTIF($A$3:$A132,$A132))</f>
        <v/>
      </c>
      <c r="L132" s="85">
        <f>IF($J132="","",$J132&amp;"|"&amp;COUNTIF($J$3:$J132,$J132))</f>
        <v/>
      </c>
      <c r="M132" s="35">
        <f>IF($A132="","",IF(COUNTIF('קבוצות'!$A$3:$A$8,$A132)=0,"⚠ שם קבוצה לא מוכר",""))</f>
        <v/>
      </c>
    </row>
    <row r="133" ht="28" customHeight="1">
      <c r="A133" s="80" t="n"/>
      <c r="B133" s="69" t="n"/>
      <c r="C133" s="82" t="n"/>
      <c r="D133" s="70" t="n"/>
      <c r="E133" s="83">
        <f>IF($D133="","",IFERROR(INDEX('מאגר משימות'!$A$3:$A$252,MATCH($D133,'מאגר משימות'!$D$3:$D$252,0)),""))</f>
        <v/>
      </c>
      <c r="F133" s="70" t="n"/>
      <c r="G133" s="69" t="n"/>
      <c r="H133" s="84">
        <f>IF($D133="","",IF($C133="","",TEXT(HOUR($C133),"00")&amp;":"&amp;TEXT(MINUTE($C133),"00")&amp;" · ")&amp;$D133&amp;IF($A133="",""," — "&amp;$A133)&amp;IF($F133="",""," ("&amp;$F133&amp;")"))</f>
        <v/>
      </c>
      <c r="I133" s="76" t="n"/>
      <c r="J133" s="85">
        <f>IF($D133="","",IF($G133="","(ללא עוגן)",$G133))</f>
        <v/>
      </c>
      <c r="K133" s="85">
        <f>IF($A133="","",$A133&amp;"|"&amp;COUNTIF($A$3:$A133,$A133))</f>
        <v/>
      </c>
      <c r="L133" s="85">
        <f>IF($J133="","",$J133&amp;"|"&amp;COUNTIF($J$3:$J133,$J133))</f>
        <v/>
      </c>
      <c r="M133" s="35">
        <f>IF($A133="","",IF(COUNTIF('קבוצות'!$A$3:$A$8,$A133)=0,"⚠ שם קבוצה לא מוכר",""))</f>
        <v/>
      </c>
    </row>
    <row r="134" ht="28" customHeight="1">
      <c r="A134" s="80" t="n"/>
      <c r="B134" s="69" t="n"/>
      <c r="C134" s="82" t="n"/>
      <c r="D134" s="70" t="n"/>
      <c r="E134" s="83">
        <f>IF($D134="","",IFERROR(INDEX('מאגר משימות'!$A$3:$A$252,MATCH($D134,'מאגר משימות'!$D$3:$D$252,0)),""))</f>
        <v/>
      </c>
      <c r="F134" s="70" t="n"/>
      <c r="G134" s="69" t="n"/>
      <c r="H134" s="84">
        <f>IF($D134="","",IF($C134="","",TEXT(HOUR($C134),"00")&amp;":"&amp;TEXT(MINUTE($C134),"00")&amp;" · ")&amp;$D134&amp;IF($A134="",""," — "&amp;$A134)&amp;IF($F134="",""," ("&amp;$F134&amp;")"))</f>
        <v/>
      </c>
      <c r="I134" s="76" t="n"/>
      <c r="J134" s="85">
        <f>IF($D134="","",IF($G134="","(ללא עוגן)",$G134))</f>
        <v/>
      </c>
      <c r="K134" s="85">
        <f>IF($A134="","",$A134&amp;"|"&amp;COUNTIF($A$3:$A134,$A134))</f>
        <v/>
      </c>
      <c r="L134" s="85">
        <f>IF($J134="","",$J134&amp;"|"&amp;COUNTIF($J$3:$J134,$J134))</f>
        <v/>
      </c>
      <c r="M134" s="35">
        <f>IF($A134="","",IF(COUNTIF('קבוצות'!$A$3:$A$8,$A134)=0,"⚠ שם קבוצה לא מוכר",""))</f>
        <v/>
      </c>
    </row>
    <row r="135" ht="28" customHeight="1">
      <c r="A135" s="80" t="n"/>
      <c r="B135" s="69" t="n"/>
      <c r="C135" s="82" t="n"/>
      <c r="D135" s="70" t="n"/>
      <c r="E135" s="83">
        <f>IF($D135="","",IFERROR(INDEX('מאגר משימות'!$A$3:$A$252,MATCH($D135,'מאגר משימות'!$D$3:$D$252,0)),""))</f>
        <v/>
      </c>
      <c r="F135" s="70" t="n"/>
      <c r="G135" s="69" t="n"/>
      <c r="H135" s="84">
        <f>IF($D135="","",IF($C135="","",TEXT(HOUR($C135),"00")&amp;":"&amp;TEXT(MINUTE($C135),"00")&amp;" · ")&amp;$D135&amp;IF($A135="",""," — "&amp;$A135)&amp;IF($F135="",""," ("&amp;$F135&amp;")"))</f>
        <v/>
      </c>
      <c r="I135" s="76" t="n"/>
      <c r="J135" s="85">
        <f>IF($D135="","",IF($G135="","(ללא עוגן)",$G135))</f>
        <v/>
      </c>
      <c r="K135" s="85">
        <f>IF($A135="","",$A135&amp;"|"&amp;COUNTIF($A$3:$A135,$A135))</f>
        <v/>
      </c>
      <c r="L135" s="85">
        <f>IF($J135="","",$J135&amp;"|"&amp;COUNTIF($J$3:$J135,$J135))</f>
        <v/>
      </c>
      <c r="M135" s="35">
        <f>IF($A135="","",IF(COUNTIF('קבוצות'!$A$3:$A$8,$A135)=0,"⚠ שם קבוצה לא מוכר",""))</f>
        <v/>
      </c>
    </row>
    <row r="136" ht="28" customHeight="1">
      <c r="A136" s="80" t="n"/>
      <c r="B136" s="69" t="n"/>
      <c r="C136" s="82" t="n"/>
      <c r="D136" s="70" t="n"/>
      <c r="E136" s="83">
        <f>IF($D136="","",IFERROR(INDEX('מאגר משימות'!$A$3:$A$252,MATCH($D136,'מאגר משימות'!$D$3:$D$252,0)),""))</f>
        <v/>
      </c>
      <c r="F136" s="70" t="n"/>
      <c r="G136" s="69" t="n"/>
      <c r="H136" s="84">
        <f>IF($D136="","",IF($C136="","",TEXT(HOUR($C136),"00")&amp;":"&amp;TEXT(MINUTE($C136),"00")&amp;" · ")&amp;$D136&amp;IF($A136="",""," — "&amp;$A136)&amp;IF($F136="",""," ("&amp;$F136&amp;")"))</f>
        <v/>
      </c>
      <c r="I136" s="76" t="n"/>
      <c r="J136" s="85">
        <f>IF($D136="","",IF($G136="","(ללא עוגן)",$G136))</f>
        <v/>
      </c>
      <c r="K136" s="85">
        <f>IF($A136="","",$A136&amp;"|"&amp;COUNTIF($A$3:$A136,$A136))</f>
        <v/>
      </c>
      <c r="L136" s="85">
        <f>IF($J136="","",$J136&amp;"|"&amp;COUNTIF($J$3:$J136,$J136))</f>
        <v/>
      </c>
      <c r="M136" s="35">
        <f>IF($A136="","",IF(COUNTIF('קבוצות'!$A$3:$A$8,$A136)=0,"⚠ שם קבוצה לא מוכר",""))</f>
        <v/>
      </c>
    </row>
    <row r="137" ht="28" customHeight="1">
      <c r="A137" s="80" t="n"/>
      <c r="B137" s="69" t="n"/>
      <c r="C137" s="82" t="n"/>
      <c r="D137" s="70" t="n"/>
      <c r="E137" s="83">
        <f>IF($D137="","",IFERROR(INDEX('מאגר משימות'!$A$3:$A$252,MATCH($D137,'מאגר משימות'!$D$3:$D$252,0)),""))</f>
        <v/>
      </c>
      <c r="F137" s="70" t="n"/>
      <c r="G137" s="69" t="n"/>
      <c r="H137" s="84">
        <f>IF($D137="","",IF($C137="","",TEXT(HOUR($C137),"00")&amp;":"&amp;TEXT(MINUTE($C137),"00")&amp;" · ")&amp;$D137&amp;IF($A137="",""," — "&amp;$A137)&amp;IF($F137="",""," ("&amp;$F137&amp;")"))</f>
        <v/>
      </c>
      <c r="I137" s="76" t="n"/>
      <c r="J137" s="85">
        <f>IF($D137="","",IF($G137="","(ללא עוגן)",$G137))</f>
        <v/>
      </c>
      <c r="K137" s="85">
        <f>IF($A137="","",$A137&amp;"|"&amp;COUNTIF($A$3:$A137,$A137))</f>
        <v/>
      </c>
      <c r="L137" s="85">
        <f>IF($J137="","",$J137&amp;"|"&amp;COUNTIF($J$3:$J137,$J137))</f>
        <v/>
      </c>
      <c r="M137" s="35">
        <f>IF($A137="","",IF(COUNTIF('קבוצות'!$A$3:$A$8,$A137)=0,"⚠ שם קבוצה לא מוכר",""))</f>
        <v/>
      </c>
    </row>
    <row r="138" ht="28" customHeight="1">
      <c r="A138" s="80" t="n"/>
      <c r="B138" s="69" t="n"/>
      <c r="C138" s="82" t="n"/>
      <c r="D138" s="70" t="n"/>
      <c r="E138" s="83">
        <f>IF($D138="","",IFERROR(INDEX('מאגר משימות'!$A$3:$A$252,MATCH($D138,'מאגר משימות'!$D$3:$D$252,0)),""))</f>
        <v/>
      </c>
      <c r="F138" s="70" t="n"/>
      <c r="G138" s="69" t="n"/>
      <c r="H138" s="84">
        <f>IF($D138="","",IF($C138="","",TEXT(HOUR($C138),"00")&amp;":"&amp;TEXT(MINUTE($C138),"00")&amp;" · ")&amp;$D138&amp;IF($A138="",""," — "&amp;$A138)&amp;IF($F138="",""," ("&amp;$F138&amp;")"))</f>
        <v/>
      </c>
      <c r="I138" s="76" t="n"/>
      <c r="J138" s="85">
        <f>IF($D138="","",IF($G138="","(ללא עוגן)",$G138))</f>
        <v/>
      </c>
      <c r="K138" s="85">
        <f>IF($A138="","",$A138&amp;"|"&amp;COUNTIF($A$3:$A138,$A138))</f>
        <v/>
      </c>
      <c r="L138" s="85">
        <f>IF($J138="","",$J138&amp;"|"&amp;COUNTIF($J$3:$J138,$J138))</f>
        <v/>
      </c>
      <c r="M138" s="35">
        <f>IF($A138="","",IF(COUNTIF('קבוצות'!$A$3:$A$8,$A138)=0,"⚠ שם קבוצה לא מוכר",""))</f>
        <v/>
      </c>
    </row>
    <row r="139" ht="28" customHeight="1">
      <c r="A139" s="80" t="n"/>
      <c r="B139" s="69" t="n"/>
      <c r="C139" s="82" t="n"/>
      <c r="D139" s="70" t="n"/>
      <c r="E139" s="83">
        <f>IF($D139="","",IFERROR(INDEX('מאגר משימות'!$A$3:$A$252,MATCH($D139,'מאגר משימות'!$D$3:$D$252,0)),""))</f>
        <v/>
      </c>
      <c r="F139" s="70" t="n"/>
      <c r="G139" s="69" t="n"/>
      <c r="H139" s="84">
        <f>IF($D139="","",IF($C139="","",TEXT(HOUR($C139),"00")&amp;":"&amp;TEXT(MINUTE($C139),"00")&amp;" · ")&amp;$D139&amp;IF($A139="",""," — "&amp;$A139)&amp;IF($F139="",""," ("&amp;$F139&amp;")"))</f>
        <v/>
      </c>
      <c r="I139" s="76" t="n"/>
      <c r="J139" s="85">
        <f>IF($D139="","",IF($G139="","(ללא עוגן)",$G139))</f>
        <v/>
      </c>
      <c r="K139" s="85">
        <f>IF($A139="","",$A139&amp;"|"&amp;COUNTIF($A$3:$A139,$A139))</f>
        <v/>
      </c>
      <c r="L139" s="85">
        <f>IF($J139="","",$J139&amp;"|"&amp;COUNTIF($J$3:$J139,$J139))</f>
        <v/>
      </c>
      <c r="M139" s="35">
        <f>IF($A139="","",IF(COUNTIF('קבוצות'!$A$3:$A$8,$A139)=0,"⚠ שם קבוצה לא מוכר",""))</f>
        <v/>
      </c>
    </row>
    <row r="140" ht="28" customHeight="1">
      <c r="A140" s="80" t="n"/>
      <c r="B140" s="69" t="n"/>
      <c r="C140" s="82" t="n"/>
      <c r="D140" s="70" t="n"/>
      <c r="E140" s="83">
        <f>IF($D140="","",IFERROR(INDEX('מאגר משימות'!$A$3:$A$252,MATCH($D140,'מאגר משימות'!$D$3:$D$252,0)),""))</f>
        <v/>
      </c>
      <c r="F140" s="70" t="n"/>
      <c r="G140" s="69" t="n"/>
      <c r="H140" s="84">
        <f>IF($D140="","",IF($C140="","",TEXT(HOUR($C140),"00")&amp;":"&amp;TEXT(MINUTE($C140),"00")&amp;" · ")&amp;$D140&amp;IF($A140="",""," — "&amp;$A140)&amp;IF($F140="",""," ("&amp;$F140&amp;")"))</f>
        <v/>
      </c>
      <c r="I140" s="76" t="n"/>
      <c r="J140" s="85">
        <f>IF($D140="","",IF($G140="","(ללא עוגן)",$G140))</f>
        <v/>
      </c>
      <c r="K140" s="85">
        <f>IF($A140="","",$A140&amp;"|"&amp;COUNTIF($A$3:$A140,$A140))</f>
        <v/>
      </c>
      <c r="L140" s="85">
        <f>IF($J140="","",$J140&amp;"|"&amp;COUNTIF($J$3:$J140,$J140))</f>
        <v/>
      </c>
      <c r="M140" s="35">
        <f>IF($A140="","",IF(COUNTIF('קבוצות'!$A$3:$A$8,$A140)=0,"⚠ שם קבוצה לא מוכר",""))</f>
        <v/>
      </c>
    </row>
    <row r="141" ht="28" customHeight="1">
      <c r="A141" s="80" t="n"/>
      <c r="B141" s="69" t="n"/>
      <c r="C141" s="82" t="n"/>
      <c r="D141" s="70" t="n"/>
      <c r="E141" s="83">
        <f>IF($D141="","",IFERROR(INDEX('מאגר משימות'!$A$3:$A$252,MATCH($D141,'מאגר משימות'!$D$3:$D$252,0)),""))</f>
        <v/>
      </c>
      <c r="F141" s="70" t="n"/>
      <c r="G141" s="69" t="n"/>
      <c r="H141" s="84">
        <f>IF($D141="","",IF($C141="","",TEXT(HOUR($C141),"00")&amp;":"&amp;TEXT(MINUTE($C141),"00")&amp;" · ")&amp;$D141&amp;IF($A141="",""," — "&amp;$A141)&amp;IF($F141="",""," ("&amp;$F141&amp;")"))</f>
        <v/>
      </c>
      <c r="I141" s="76" t="n"/>
      <c r="J141" s="85">
        <f>IF($D141="","",IF($G141="","(ללא עוגן)",$G141))</f>
        <v/>
      </c>
      <c r="K141" s="85">
        <f>IF($A141="","",$A141&amp;"|"&amp;COUNTIF($A$3:$A141,$A141))</f>
        <v/>
      </c>
      <c r="L141" s="85">
        <f>IF($J141="","",$J141&amp;"|"&amp;COUNTIF($J$3:$J141,$J141))</f>
        <v/>
      </c>
      <c r="M141" s="35">
        <f>IF($A141="","",IF(COUNTIF('קבוצות'!$A$3:$A$8,$A141)=0,"⚠ שם קבוצה לא מוכר",""))</f>
        <v/>
      </c>
    </row>
    <row r="142" ht="28" customHeight="1">
      <c r="A142" s="80" t="n"/>
      <c r="B142" s="69" t="n"/>
      <c r="C142" s="82" t="n"/>
      <c r="D142" s="70" t="n"/>
      <c r="E142" s="83">
        <f>IF($D142="","",IFERROR(INDEX('מאגר משימות'!$A$3:$A$252,MATCH($D142,'מאגר משימות'!$D$3:$D$252,0)),""))</f>
        <v/>
      </c>
      <c r="F142" s="70" t="n"/>
      <c r="G142" s="69" t="n"/>
      <c r="H142" s="84">
        <f>IF($D142="","",IF($C142="","",TEXT(HOUR($C142),"00")&amp;":"&amp;TEXT(MINUTE($C142),"00")&amp;" · ")&amp;$D142&amp;IF($A142="",""," — "&amp;$A142)&amp;IF($F142="",""," ("&amp;$F142&amp;")"))</f>
        <v/>
      </c>
      <c r="I142" s="76" t="n"/>
      <c r="J142" s="85">
        <f>IF($D142="","",IF($G142="","(ללא עוגן)",$G142))</f>
        <v/>
      </c>
      <c r="K142" s="85">
        <f>IF($A142="","",$A142&amp;"|"&amp;COUNTIF($A$3:$A142,$A142))</f>
        <v/>
      </c>
      <c r="L142" s="85">
        <f>IF($J142="","",$J142&amp;"|"&amp;COUNTIF($J$3:$J142,$J142))</f>
        <v/>
      </c>
      <c r="M142" s="35">
        <f>IF($A142="","",IF(COUNTIF('קבוצות'!$A$3:$A$8,$A142)=0,"⚠ שם קבוצה לא מוכר",""))</f>
        <v/>
      </c>
    </row>
    <row r="143" ht="28" customHeight="1">
      <c r="A143" s="80" t="n"/>
      <c r="B143" s="69" t="n"/>
      <c r="C143" s="82" t="n"/>
      <c r="D143" s="70" t="n"/>
      <c r="E143" s="83">
        <f>IF($D143="","",IFERROR(INDEX('מאגר משימות'!$A$3:$A$252,MATCH($D143,'מאגר משימות'!$D$3:$D$252,0)),""))</f>
        <v/>
      </c>
      <c r="F143" s="70" t="n"/>
      <c r="G143" s="69" t="n"/>
      <c r="H143" s="84">
        <f>IF($D143="","",IF($C143="","",TEXT(HOUR($C143),"00")&amp;":"&amp;TEXT(MINUTE($C143),"00")&amp;" · ")&amp;$D143&amp;IF($A143="",""," — "&amp;$A143)&amp;IF($F143="",""," ("&amp;$F143&amp;")"))</f>
        <v/>
      </c>
      <c r="I143" s="76" t="n"/>
      <c r="J143" s="85">
        <f>IF($D143="","",IF($G143="","(ללא עוגן)",$G143))</f>
        <v/>
      </c>
      <c r="K143" s="85">
        <f>IF($A143="","",$A143&amp;"|"&amp;COUNTIF($A$3:$A143,$A143))</f>
        <v/>
      </c>
      <c r="L143" s="85">
        <f>IF($J143="","",$J143&amp;"|"&amp;COUNTIF($J$3:$J143,$J143))</f>
        <v/>
      </c>
      <c r="M143" s="35">
        <f>IF($A143="","",IF(COUNTIF('קבוצות'!$A$3:$A$8,$A143)=0,"⚠ שם קבוצה לא מוכר",""))</f>
        <v/>
      </c>
    </row>
    <row r="144" ht="28" customHeight="1">
      <c r="A144" s="80" t="n"/>
      <c r="B144" s="69" t="n"/>
      <c r="C144" s="82" t="n"/>
      <c r="D144" s="70" t="n"/>
      <c r="E144" s="83">
        <f>IF($D144="","",IFERROR(INDEX('מאגר משימות'!$A$3:$A$252,MATCH($D144,'מאגר משימות'!$D$3:$D$252,0)),""))</f>
        <v/>
      </c>
      <c r="F144" s="70" t="n"/>
      <c r="G144" s="69" t="n"/>
      <c r="H144" s="84">
        <f>IF($D144="","",IF($C144="","",TEXT(HOUR($C144),"00")&amp;":"&amp;TEXT(MINUTE($C144),"00")&amp;" · ")&amp;$D144&amp;IF($A144="",""," — "&amp;$A144)&amp;IF($F144="",""," ("&amp;$F144&amp;")"))</f>
        <v/>
      </c>
      <c r="I144" s="76" t="n"/>
      <c r="J144" s="85">
        <f>IF($D144="","",IF($G144="","(ללא עוגן)",$G144))</f>
        <v/>
      </c>
      <c r="K144" s="85">
        <f>IF($A144="","",$A144&amp;"|"&amp;COUNTIF($A$3:$A144,$A144))</f>
        <v/>
      </c>
      <c r="L144" s="85">
        <f>IF($J144="","",$J144&amp;"|"&amp;COUNTIF($J$3:$J144,$J144))</f>
        <v/>
      </c>
      <c r="M144" s="35">
        <f>IF($A144="","",IF(COUNTIF('קבוצות'!$A$3:$A$8,$A144)=0,"⚠ שם קבוצה לא מוכר",""))</f>
        <v/>
      </c>
    </row>
    <row r="145" ht="28" customHeight="1">
      <c r="A145" s="80" t="n"/>
      <c r="B145" s="69" t="n"/>
      <c r="C145" s="82" t="n"/>
      <c r="D145" s="70" t="n"/>
      <c r="E145" s="83">
        <f>IF($D145="","",IFERROR(INDEX('מאגר משימות'!$A$3:$A$252,MATCH($D145,'מאגר משימות'!$D$3:$D$252,0)),""))</f>
        <v/>
      </c>
      <c r="F145" s="70" t="n"/>
      <c r="G145" s="69" t="n"/>
      <c r="H145" s="84">
        <f>IF($D145="","",IF($C145="","",TEXT(HOUR($C145),"00")&amp;":"&amp;TEXT(MINUTE($C145),"00")&amp;" · ")&amp;$D145&amp;IF($A145="",""," — "&amp;$A145)&amp;IF($F145="",""," ("&amp;$F145&amp;")"))</f>
        <v/>
      </c>
      <c r="I145" s="76" t="n"/>
      <c r="J145" s="85">
        <f>IF($D145="","",IF($G145="","(ללא עוגן)",$G145))</f>
        <v/>
      </c>
      <c r="K145" s="85">
        <f>IF($A145="","",$A145&amp;"|"&amp;COUNTIF($A$3:$A145,$A145))</f>
        <v/>
      </c>
      <c r="L145" s="85">
        <f>IF($J145="","",$J145&amp;"|"&amp;COUNTIF($J$3:$J145,$J145))</f>
        <v/>
      </c>
      <c r="M145" s="35">
        <f>IF($A145="","",IF(COUNTIF('קבוצות'!$A$3:$A$8,$A145)=0,"⚠ שם קבוצה לא מוכר",""))</f>
        <v/>
      </c>
    </row>
    <row r="146" ht="28" customHeight="1">
      <c r="A146" s="80" t="n"/>
      <c r="B146" s="69" t="n"/>
      <c r="C146" s="82" t="n"/>
      <c r="D146" s="70" t="n"/>
      <c r="E146" s="83">
        <f>IF($D146="","",IFERROR(INDEX('מאגר משימות'!$A$3:$A$252,MATCH($D146,'מאגר משימות'!$D$3:$D$252,0)),""))</f>
        <v/>
      </c>
      <c r="F146" s="70" t="n"/>
      <c r="G146" s="69" t="n"/>
      <c r="H146" s="84">
        <f>IF($D146="","",IF($C146="","",TEXT(HOUR($C146),"00")&amp;":"&amp;TEXT(MINUTE($C146),"00")&amp;" · ")&amp;$D146&amp;IF($A146="",""," — "&amp;$A146)&amp;IF($F146="",""," ("&amp;$F146&amp;")"))</f>
        <v/>
      </c>
      <c r="I146" s="76" t="n"/>
      <c r="J146" s="85">
        <f>IF($D146="","",IF($G146="","(ללא עוגן)",$G146))</f>
        <v/>
      </c>
      <c r="K146" s="85">
        <f>IF($A146="","",$A146&amp;"|"&amp;COUNTIF($A$3:$A146,$A146))</f>
        <v/>
      </c>
      <c r="L146" s="85">
        <f>IF($J146="","",$J146&amp;"|"&amp;COUNTIF($J$3:$J146,$J146))</f>
        <v/>
      </c>
      <c r="M146" s="35">
        <f>IF($A146="","",IF(COUNTIF('קבוצות'!$A$3:$A$8,$A146)=0,"⚠ שם קבוצה לא מוכר",""))</f>
        <v/>
      </c>
    </row>
    <row r="147" ht="28" customHeight="1">
      <c r="A147" s="80" t="n"/>
      <c r="B147" s="69" t="n"/>
      <c r="C147" s="82" t="n"/>
      <c r="D147" s="70" t="n"/>
      <c r="E147" s="83">
        <f>IF($D147="","",IFERROR(INDEX('מאגר משימות'!$A$3:$A$252,MATCH($D147,'מאגר משימות'!$D$3:$D$252,0)),""))</f>
        <v/>
      </c>
      <c r="F147" s="70" t="n"/>
      <c r="G147" s="69" t="n"/>
      <c r="H147" s="84">
        <f>IF($D147="","",IF($C147="","",TEXT(HOUR($C147),"00")&amp;":"&amp;TEXT(MINUTE($C147),"00")&amp;" · ")&amp;$D147&amp;IF($A147="",""," — "&amp;$A147)&amp;IF($F147="",""," ("&amp;$F147&amp;")"))</f>
        <v/>
      </c>
      <c r="I147" s="76" t="n"/>
      <c r="J147" s="85">
        <f>IF($D147="","",IF($G147="","(ללא עוגן)",$G147))</f>
        <v/>
      </c>
      <c r="K147" s="85">
        <f>IF($A147="","",$A147&amp;"|"&amp;COUNTIF($A$3:$A147,$A147))</f>
        <v/>
      </c>
      <c r="L147" s="85">
        <f>IF($J147="","",$J147&amp;"|"&amp;COUNTIF($J$3:$J147,$J147))</f>
        <v/>
      </c>
      <c r="M147" s="35">
        <f>IF($A147="","",IF(COUNTIF('קבוצות'!$A$3:$A$8,$A147)=0,"⚠ שם קבוצה לא מוכר",""))</f>
        <v/>
      </c>
    </row>
    <row r="148" ht="28" customHeight="1">
      <c r="A148" s="80" t="n"/>
      <c r="B148" s="69" t="n"/>
      <c r="C148" s="82" t="n"/>
      <c r="D148" s="70" t="n"/>
      <c r="E148" s="83">
        <f>IF($D148="","",IFERROR(INDEX('מאגר משימות'!$A$3:$A$252,MATCH($D148,'מאגר משימות'!$D$3:$D$252,0)),""))</f>
        <v/>
      </c>
      <c r="F148" s="70" t="n"/>
      <c r="G148" s="69" t="n"/>
      <c r="H148" s="84">
        <f>IF($D148="","",IF($C148="","",TEXT(HOUR($C148),"00")&amp;":"&amp;TEXT(MINUTE($C148),"00")&amp;" · ")&amp;$D148&amp;IF($A148="",""," — "&amp;$A148)&amp;IF($F148="",""," ("&amp;$F148&amp;")"))</f>
        <v/>
      </c>
      <c r="I148" s="76" t="n"/>
      <c r="J148" s="85">
        <f>IF($D148="","",IF($G148="","(ללא עוגן)",$G148))</f>
        <v/>
      </c>
      <c r="K148" s="85">
        <f>IF($A148="","",$A148&amp;"|"&amp;COUNTIF($A$3:$A148,$A148))</f>
        <v/>
      </c>
      <c r="L148" s="85">
        <f>IF($J148="","",$J148&amp;"|"&amp;COUNTIF($J$3:$J148,$J148))</f>
        <v/>
      </c>
      <c r="M148" s="35">
        <f>IF($A148="","",IF(COUNTIF('קבוצות'!$A$3:$A$8,$A148)=0,"⚠ שם קבוצה לא מוכר",""))</f>
        <v/>
      </c>
    </row>
    <row r="149" ht="28" customHeight="1">
      <c r="A149" s="80" t="n"/>
      <c r="B149" s="69" t="n"/>
      <c r="C149" s="82" t="n"/>
      <c r="D149" s="70" t="n"/>
      <c r="E149" s="83">
        <f>IF($D149="","",IFERROR(INDEX('מאגר משימות'!$A$3:$A$252,MATCH($D149,'מאגר משימות'!$D$3:$D$252,0)),""))</f>
        <v/>
      </c>
      <c r="F149" s="70" t="n"/>
      <c r="G149" s="69" t="n"/>
      <c r="H149" s="84">
        <f>IF($D149="","",IF($C149="","",TEXT(HOUR($C149),"00")&amp;":"&amp;TEXT(MINUTE($C149),"00")&amp;" · ")&amp;$D149&amp;IF($A149="",""," — "&amp;$A149)&amp;IF($F149="",""," ("&amp;$F149&amp;")"))</f>
        <v/>
      </c>
      <c r="I149" s="76" t="n"/>
      <c r="J149" s="85">
        <f>IF($D149="","",IF($G149="","(ללא עוגן)",$G149))</f>
        <v/>
      </c>
      <c r="K149" s="85">
        <f>IF($A149="","",$A149&amp;"|"&amp;COUNTIF($A$3:$A149,$A149))</f>
        <v/>
      </c>
      <c r="L149" s="85">
        <f>IF($J149="","",$J149&amp;"|"&amp;COUNTIF($J$3:$J149,$J149))</f>
        <v/>
      </c>
      <c r="M149" s="35">
        <f>IF($A149="","",IF(COUNTIF('קבוצות'!$A$3:$A$8,$A149)=0,"⚠ שם קבוצה לא מוכר",""))</f>
        <v/>
      </c>
    </row>
    <row r="150" ht="28" customHeight="1">
      <c r="A150" s="80" t="n"/>
      <c r="B150" s="69" t="n"/>
      <c r="C150" s="82" t="n"/>
      <c r="D150" s="70" t="n"/>
      <c r="E150" s="83">
        <f>IF($D150="","",IFERROR(INDEX('מאגר משימות'!$A$3:$A$252,MATCH($D150,'מאגר משימות'!$D$3:$D$252,0)),""))</f>
        <v/>
      </c>
      <c r="F150" s="70" t="n"/>
      <c r="G150" s="69" t="n"/>
      <c r="H150" s="84">
        <f>IF($D150="","",IF($C150="","",TEXT(HOUR($C150),"00")&amp;":"&amp;TEXT(MINUTE($C150),"00")&amp;" · ")&amp;$D150&amp;IF($A150="",""," — "&amp;$A150)&amp;IF($F150="",""," ("&amp;$F150&amp;")"))</f>
        <v/>
      </c>
      <c r="I150" s="76" t="n"/>
      <c r="J150" s="85">
        <f>IF($D150="","",IF($G150="","(ללא עוגן)",$G150))</f>
        <v/>
      </c>
      <c r="K150" s="85">
        <f>IF($A150="","",$A150&amp;"|"&amp;COUNTIF($A$3:$A150,$A150))</f>
        <v/>
      </c>
      <c r="L150" s="85">
        <f>IF($J150="","",$J150&amp;"|"&amp;COUNTIF($J$3:$J150,$J150))</f>
        <v/>
      </c>
      <c r="M150" s="35">
        <f>IF($A150="","",IF(COUNTIF('קבוצות'!$A$3:$A$8,$A150)=0,"⚠ שם קבוצה לא מוכר",""))</f>
        <v/>
      </c>
    </row>
    <row r="151" ht="28" customHeight="1">
      <c r="A151" s="80" t="n"/>
      <c r="B151" s="69" t="n"/>
      <c r="C151" s="82" t="n"/>
      <c r="D151" s="70" t="n"/>
      <c r="E151" s="83">
        <f>IF($D151="","",IFERROR(INDEX('מאגר משימות'!$A$3:$A$252,MATCH($D151,'מאגר משימות'!$D$3:$D$252,0)),""))</f>
        <v/>
      </c>
      <c r="F151" s="70" t="n"/>
      <c r="G151" s="69" t="n"/>
      <c r="H151" s="84">
        <f>IF($D151="","",IF($C151="","",TEXT(HOUR($C151),"00")&amp;":"&amp;TEXT(MINUTE($C151),"00")&amp;" · ")&amp;$D151&amp;IF($A151="",""," — "&amp;$A151)&amp;IF($F151="",""," ("&amp;$F151&amp;")"))</f>
        <v/>
      </c>
      <c r="I151" s="76" t="n"/>
      <c r="J151" s="85">
        <f>IF($D151="","",IF($G151="","(ללא עוגן)",$G151))</f>
        <v/>
      </c>
      <c r="K151" s="85">
        <f>IF($A151="","",$A151&amp;"|"&amp;COUNTIF($A$3:$A151,$A151))</f>
        <v/>
      </c>
      <c r="L151" s="85">
        <f>IF($J151="","",$J151&amp;"|"&amp;COUNTIF($J$3:$J151,$J151))</f>
        <v/>
      </c>
      <c r="M151" s="35">
        <f>IF($A151="","",IF(COUNTIF('קבוצות'!$A$3:$A$8,$A151)=0,"⚠ שם קבוצה לא מוכר",""))</f>
        <v/>
      </c>
    </row>
    <row r="152" ht="28" customHeight="1">
      <c r="A152" s="80" t="n"/>
      <c r="B152" s="69" t="n"/>
      <c r="C152" s="82" t="n"/>
      <c r="D152" s="70" t="n"/>
      <c r="E152" s="83">
        <f>IF($D152="","",IFERROR(INDEX('מאגר משימות'!$A$3:$A$252,MATCH($D152,'מאגר משימות'!$D$3:$D$252,0)),""))</f>
        <v/>
      </c>
      <c r="F152" s="70" t="n"/>
      <c r="G152" s="69" t="n"/>
      <c r="H152" s="84">
        <f>IF($D152="","",IF($C152="","",TEXT(HOUR($C152),"00")&amp;":"&amp;TEXT(MINUTE($C152),"00")&amp;" · ")&amp;$D152&amp;IF($A152="",""," — "&amp;$A152)&amp;IF($F152="",""," ("&amp;$F152&amp;")"))</f>
        <v/>
      </c>
      <c r="I152" s="76" t="n"/>
      <c r="J152" s="85">
        <f>IF($D152="","",IF($G152="","(ללא עוגן)",$G152))</f>
        <v/>
      </c>
      <c r="K152" s="85">
        <f>IF($A152="","",$A152&amp;"|"&amp;COUNTIF($A$3:$A152,$A152))</f>
        <v/>
      </c>
      <c r="L152" s="85">
        <f>IF($J152="","",$J152&amp;"|"&amp;COUNTIF($J$3:$J152,$J152))</f>
        <v/>
      </c>
      <c r="M152" s="35">
        <f>IF($A152="","",IF(COUNTIF('קבוצות'!$A$3:$A$8,$A152)=0,"⚠ שם קבוצה לא מוכר",""))</f>
        <v/>
      </c>
    </row>
  </sheetData>
  <mergeCells count="1">
    <mergeCell ref="A1:I1"/>
  </mergeCells>
  <conditionalFormatting sqref="M3:M152">
    <cfRule type="expression" priority="1" dxfId="13">
      <formula>LEN($M3)&gt;0</formula>
    </cfRule>
  </conditionalFormatting>
  <conditionalFormatting sqref="G3:G152">
    <cfRule type="expression" priority="2" dxfId="13">
      <formula>AND($D3&lt;&gt;"",$G3="")</formula>
    </cfRule>
  </conditionalFormatting>
  <dataValidations count="5">
    <dataValidation sqref="A3:A152" showDropDown="0" showInputMessage="0" showErrorMessage="0" allowBlank="1" type="list">
      <formula1>'קבוצות'!$A$3:$A$8</formula1>
    </dataValidation>
    <dataValidation sqref="B3:B152" showDropDown="0" showInputMessage="0" showErrorMessage="0" allowBlank="1" type="list">
      <formula1>"שישי,שבת,מוצאי שבת,חמישי"</formula1>
    </dataValidation>
    <dataValidation sqref="D3:D152" showDropDown="0" showInputMessage="0" showErrorMessage="0" allowBlank="1" type="list">
      <formula1>'מאגר משימות'!$D$3:$D$252</formula1>
    </dataValidation>
    <dataValidation sqref="G3:G1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  <dataValidation sqref="I3:I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4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22" customWidth="1" min="4" max="4"/>
    <col width="38" customWidth="1" min="5" max="5"/>
  </cols>
  <sheetData>
    <row r="1" ht="36" customHeight="1">
      <c r="A1" s="5" t="inlineStr">
        <is>
          <t>תפריט השבת</t>
        </is>
      </c>
    </row>
    <row r="2" ht="20" customHeight="1">
      <c r="A2" s="24" t="inlineStr">
        <is>
          <t>מה מכינים השבת וכמה מכל דבר. הכמות היא מכפיל של המתכון: «3» ליד עוגת שמרים = שלוש עוגות. מכאן נבנות רשימת הקניות ובדיקת המלאי.</t>
        </is>
      </c>
    </row>
    <row r="3" ht="24" customHeight="1">
      <c r="A3" s="16" t="inlineStr">
        <is>
          <t>מנה</t>
        </is>
      </c>
      <c r="B3" s="16" t="inlineStr">
        <is>
          <t>כמות</t>
        </is>
      </c>
      <c r="C3" s="16" t="inlineStr">
        <is>
          <t>לאיזו ארוחה</t>
        </is>
      </c>
      <c r="D3" s="16" t="inlineStr">
        <is>
          <t>קבוצה אחראית</t>
        </is>
      </c>
      <c r="E3" s="16" t="inlineStr">
        <is>
          <t>הערה</t>
        </is>
      </c>
    </row>
    <row r="4" ht="22" customHeight="1">
      <c r="A4" s="80" t="n"/>
      <c r="B4" s="69" t="n"/>
      <c r="C4" s="69" t="n"/>
      <c r="D4" s="69" t="n"/>
      <c r="E4" s="70" t="n"/>
    </row>
    <row r="5" ht="22" customHeight="1">
      <c r="A5" s="80" t="n"/>
      <c r="B5" s="69" t="n"/>
      <c r="C5" s="69" t="n"/>
      <c r="D5" s="69" t="n"/>
      <c r="E5" s="70" t="n"/>
    </row>
    <row r="6" ht="22" customHeight="1">
      <c r="A6" s="80" t="n"/>
      <c r="B6" s="69" t="n"/>
      <c r="C6" s="69" t="n"/>
      <c r="D6" s="69" t="n"/>
      <c r="E6" s="70" t="n"/>
    </row>
    <row r="7" ht="22" customHeight="1">
      <c r="A7" s="80" t="n"/>
      <c r="B7" s="69" t="n"/>
      <c r="C7" s="69" t="n"/>
      <c r="D7" s="69" t="n"/>
      <c r="E7" s="70" t="n"/>
    </row>
    <row r="8" ht="22" customHeight="1">
      <c r="A8" s="80" t="n"/>
      <c r="B8" s="69" t="n"/>
      <c r="C8" s="69" t="n"/>
      <c r="D8" s="69" t="n"/>
      <c r="E8" s="70" t="n"/>
    </row>
    <row r="9" ht="22" customHeight="1">
      <c r="A9" s="80" t="n"/>
      <c r="B9" s="69" t="n"/>
      <c r="C9" s="69" t="n"/>
      <c r="D9" s="69" t="n"/>
      <c r="E9" s="70" t="n"/>
    </row>
    <row r="10" ht="22" customHeight="1">
      <c r="A10" s="80" t="n"/>
      <c r="B10" s="69" t="n"/>
      <c r="C10" s="69" t="n"/>
      <c r="D10" s="69" t="n"/>
      <c r="E10" s="70" t="n"/>
    </row>
    <row r="11" ht="22" customHeight="1">
      <c r="A11" s="80" t="n"/>
      <c r="B11" s="69" t="n"/>
      <c r="C11" s="69" t="n"/>
      <c r="D11" s="69" t="n"/>
      <c r="E11" s="70" t="n"/>
    </row>
    <row r="12" ht="22" customHeight="1">
      <c r="A12" s="80" t="n"/>
      <c r="B12" s="69" t="n"/>
      <c r="C12" s="69" t="n"/>
      <c r="D12" s="69" t="n"/>
      <c r="E12" s="70" t="n"/>
    </row>
    <row r="13" ht="22" customHeight="1">
      <c r="A13" s="80" t="n"/>
      <c r="B13" s="69" t="n"/>
      <c r="C13" s="69" t="n"/>
      <c r="D13" s="69" t="n"/>
      <c r="E13" s="70" t="n"/>
    </row>
    <row r="14" ht="22" customHeight="1">
      <c r="A14" s="80" t="n"/>
      <c r="B14" s="69" t="n"/>
      <c r="C14" s="69" t="n"/>
      <c r="D14" s="69" t="n"/>
      <c r="E14" s="70" t="n"/>
    </row>
    <row r="15" ht="22" customHeight="1">
      <c r="A15" s="80" t="n"/>
      <c r="B15" s="69" t="n"/>
      <c r="C15" s="69" t="n"/>
      <c r="D15" s="69" t="n"/>
      <c r="E15" s="70" t="n"/>
    </row>
    <row r="16" ht="22" customHeight="1">
      <c r="A16" s="80" t="n"/>
      <c r="B16" s="69" t="n"/>
      <c r="C16" s="69" t="n"/>
      <c r="D16" s="69" t="n"/>
      <c r="E16" s="70" t="n"/>
    </row>
    <row r="17" ht="22" customHeight="1">
      <c r="A17" s="80" t="n"/>
      <c r="B17" s="69" t="n"/>
      <c r="C17" s="69" t="n"/>
      <c r="D17" s="69" t="n"/>
      <c r="E17" s="70" t="n"/>
    </row>
    <row r="18" ht="22" customHeight="1">
      <c r="A18" s="80" t="n"/>
      <c r="B18" s="69" t="n"/>
      <c r="C18" s="69" t="n"/>
      <c r="D18" s="69" t="n"/>
      <c r="E18" s="70" t="n"/>
    </row>
    <row r="19" ht="22" customHeight="1">
      <c r="A19" s="80" t="n"/>
      <c r="B19" s="69" t="n"/>
      <c r="C19" s="69" t="n"/>
      <c r="D19" s="69" t="n"/>
      <c r="E19" s="70" t="n"/>
    </row>
    <row r="20" ht="22" customHeight="1">
      <c r="A20" s="80" t="n"/>
      <c r="B20" s="69" t="n"/>
      <c r="C20" s="69" t="n"/>
      <c r="D20" s="69" t="n"/>
      <c r="E20" s="70" t="n"/>
    </row>
    <row r="21" ht="22" customHeight="1">
      <c r="A21" s="80" t="n"/>
      <c r="B21" s="69" t="n"/>
      <c r="C21" s="69" t="n"/>
      <c r="D21" s="69" t="n"/>
      <c r="E21" s="70" t="n"/>
    </row>
    <row r="22" ht="22" customHeight="1">
      <c r="A22" s="80" t="n"/>
      <c r="B22" s="69" t="n"/>
      <c r="C22" s="69" t="n"/>
      <c r="D22" s="69" t="n"/>
      <c r="E22" s="70" t="n"/>
    </row>
    <row r="23" ht="22" customHeight="1">
      <c r="A23" s="80" t="n"/>
      <c r="B23" s="69" t="n"/>
      <c r="C23" s="69" t="n"/>
      <c r="D23" s="69" t="n"/>
      <c r="E23" s="70" t="n"/>
    </row>
    <row r="24" ht="22" customHeight="1">
      <c r="A24" s="80" t="n"/>
      <c r="B24" s="69" t="n"/>
      <c r="C24" s="69" t="n"/>
      <c r="D24" s="69" t="n"/>
      <c r="E24" s="70" t="n"/>
    </row>
    <row r="25" ht="22" customHeight="1">
      <c r="A25" s="80" t="n"/>
      <c r="B25" s="69" t="n"/>
      <c r="C25" s="69" t="n"/>
      <c r="D25" s="69" t="n"/>
      <c r="E25" s="70" t="n"/>
    </row>
    <row r="26" ht="22" customHeight="1">
      <c r="A26" s="80" t="n"/>
      <c r="B26" s="69" t="n"/>
      <c r="C26" s="69" t="n"/>
      <c r="D26" s="69" t="n"/>
      <c r="E26" s="70" t="n"/>
    </row>
    <row r="27" ht="22" customHeight="1">
      <c r="A27" s="80" t="n"/>
      <c r="B27" s="69" t="n"/>
      <c r="C27" s="69" t="n"/>
      <c r="D27" s="69" t="n"/>
      <c r="E27" s="70" t="n"/>
    </row>
    <row r="28" ht="22" customHeight="1">
      <c r="A28" s="80" t="n"/>
      <c r="B28" s="69" t="n"/>
      <c r="C28" s="69" t="n"/>
      <c r="D28" s="69" t="n"/>
      <c r="E28" s="70" t="n"/>
    </row>
    <row r="29" ht="22" customHeight="1">
      <c r="A29" s="80" t="n"/>
      <c r="B29" s="69" t="n"/>
      <c r="C29" s="69" t="n"/>
      <c r="D29" s="69" t="n"/>
      <c r="E29" s="70" t="n"/>
    </row>
    <row r="30" ht="22" customHeight="1">
      <c r="A30" s="80" t="n"/>
      <c r="B30" s="69" t="n"/>
      <c r="C30" s="69" t="n"/>
      <c r="D30" s="69" t="n"/>
      <c r="E30" s="70" t="n"/>
    </row>
    <row r="31" ht="22" customHeight="1">
      <c r="A31" s="80" t="n"/>
      <c r="B31" s="69" t="n"/>
      <c r="C31" s="69" t="n"/>
      <c r="D31" s="69" t="n"/>
      <c r="E31" s="70" t="n"/>
    </row>
    <row r="32" ht="22" customHeight="1">
      <c r="A32" s="80" t="n"/>
      <c r="B32" s="69" t="n"/>
      <c r="C32" s="69" t="n"/>
      <c r="D32" s="69" t="n"/>
      <c r="E32" s="70" t="n"/>
    </row>
    <row r="33" ht="22" customHeight="1">
      <c r="A33" s="80" t="n"/>
      <c r="B33" s="69" t="n"/>
      <c r="C33" s="69" t="n"/>
      <c r="D33" s="69" t="n"/>
      <c r="E33" s="70" t="n"/>
    </row>
    <row r="34" ht="22" customHeight="1">
      <c r="A34" s="80" t="n"/>
      <c r="B34" s="69" t="n"/>
      <c r="C34" s="69" t="n"/>
      <c r="D34" s="69" t="n"/>
      <c r="E34" s="70" t="n"/>
    </row>
    <row r="35" ht="22" customHeight="1">
      <c r="A35" s="80" t="n"/>
      <c r="B35" s="69" t="n"/>
      <c r="C35" s="69" t="n"/>
      <c r="D35" s="69" t="n"/>
      <c r="E35" s="70" t="n"/>
    </row>
    <row r="36" ht="22" customHeight="1">
      <c r="A36" s="80" t="n"/>
      <c r="B36" s="69" t="n"/>
      <c r="C36" s="69" t="n"/>
      <c r="D36" s="69" t="n"/>
      <c r="E36" s="70" t="n"/>
    </row>
    <row r="37" ht="22" customHeight="1">
      <c r="A37" s="80" t="n"/>
      <c r="B37" s="69" t="n"/>
      <c r="C37" s="69" t="n"/>
      <c r="D37" s="69" t="n"/>
      <c r="E37" s="70" t="n"/>
    </row>
    <row r="38" ht="22" customHeight="1">
      <c r="A38" s="80" t="n"/>
      <c r="B38" s="69" t="n"/>
      <c r="C38" s="69" t="n"/>
      <c r="D38" s="69" t="n"/>
      <c r="E38" s="70" t="n"/>
    </row>
    <row r="39" ht="22" customHeight="1">
      <c r="A39" s="80" t="n"/>
      <c r="B39" s="69" t="n"/>
      <c r="C39" s="69" t="n"/>
      <c r="D39" s="69" t="n"/>
      <c r="E39" s="70" t="n"/>
    </row>
    <row r="40" ht="22" customHeight="1">
      <c r="A40" s="80" t="n"/>
      <c r="B40" s="69" t="n"/>
      <c r="C40" s="69" t="n"/>
      <c r="D40" s="69" t="n"/>
      <c r="E40" s="70" t="n"/>
    </row>
    <row r="41" ht="22" customHeight="1">
      <c r="A41" s="80" t="n"/>
      <c r="B41" s="69" t="n"/>
      <c r="C41" s="69" t="n"/>
      <c r="D41" s="69" t="n"/>
      <c r="E41" s="70" t="n"/>
    </row>
    <row r="42" ht="22" customHeight="1">
      <c r="A42" s="80" t="n"/>
      <c r="B42" s="69" t="n"/>
      <c r="C42" s="69" t="n"/>
      <c r="D42" s="69" t="n"/>
      <c r="E42" s="70" t="n"/>
    </row>
    <row r="43" ht="22" customHeight="1">
      <c r="A43" s="80" t="n"/>
      <c r="B43" s="69" t="n"/>
      <c r="C43" s="69" t="n"/>
      <c r="D43" s="69" t="n"/>
      <c r="E43" s="70" t="n"/>
    </row>
    <row r="45" ht="28" customHeight="1">
      <c r="A45" s="24" t="inlineStr">
        <is>
          <t>מנה שאינה מופיעה כאן — הכמויות שלה לא ייכנסו לרשימת הקניות. מנה שאין לה מתכון ב«מתכונים» אפשר לרשום כאן בכל זאת, ולהוסיף את המצרכים ידנית בעמודת «תוספת ידנית» שבגיליון «קניות».</t>
        </is>
      </c>
    </row>
  </sheetData>
  <mergeCells count="3">
    <mergeCell ref="A2:E2"/>
    <mergeCell ref="A1:E1"/>
    <mergeCell ref="A45:E45"/>
  </mergeCells>
  <dataValidations count="3">
    <dataValidation sqref="A4:A43" showDropDown="0" showInputMessage="0" showErrorMessage="0" allowBlank="1" type="list">
      <formula1>'מתכונים'!$A$3:$A$252</formula1>
    </dataValidation>
    <dataValidation sqref="C4:C43" showDropDown="0" showInputMessage="0" showErrorMessage="0" allowBlank="1" type="list">
      <formula1>"קידוש,ארוחת ערב שבת,ארוחת צהריים שבת,סעודה שלישית,טיש,ארוחת צהריים שישי"</formula1>
    </dataValidation>
    <dataValidation sqref="D4:D43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K1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34" customWidth="1" min="4" max="4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 ht="36" customHeight="1">
      <c r="A1" s="5" t="inlineStr">
        <is>
          <t>חניכים ושיוך לקבוצות</t>
        </is>
      </c>
    </row>
    <row r="2" ht="24" customHeight="1">
      <c r="A2" s="16" t="inlineStr">
        <is>
          <t>שם</t>
        </is>
      </c>
      <c r="B2" s="16" t="inlineStr">
        <is>
          <t>קבוצה</t>
        </is>
      </c>
      <c r="C2" s="16" t="inlineStr">
        <is>
          <t>קבוצה קבועה</t>
        </is>
      </c>
      <c r="D2" s="16" t="inlineStr">
        <is>
          <t>הערה</t>
        </is>
      </c>
    </row>
    <row r="3" ht="20" customHeight="1">
      <c r="A3" s="19" t="inlineStr">
        <is>
          <t>ניתאי שלום</t>
        </is>
      </c>
      <c r="B3" s="69" t="n"/>
      <c r="C3" s="69" t="n"/>
      <c r="D3" s="86" t="n"/>
      <c r="F3" s="85">
        <f>IF(AND($B3&lt;&gt;"",$B3='קבוצות'!$A$3),$A3,"")</f>
        <v/>
      </c>
      <c r="G3" s="85">
        <f>IF(AND($B3&lt;&gt;"",$B3='קבוצות'!$A$4),$A3,"")</f>
        <v/>
      </c>
      <c r="H3" s="85">
        <f>IF(AND($B3&lt;&gt;"",$B3='קבוצות'!$A$5),$A3,"")</f>
        <v/>
      </c>
      <c r="I3" s="85">
        <f>IF(AND($B3&lt;&gt;"",$B3='קבוצות'!$A$6),$A3,"")</f>
        <v/>
      </c>
      <c r="J3" s="85">
        <f>IF(AND($B3&lt;&gt;"",$B3='קבוצות'!$A$7),$A3,"")</f>
        <v/>
      </c>
      <c r="K3" s="85">
        <f>IF(AND($B3&lt;&gt;"",$B3='קבוצות'!$A$8),$A3,"")</f>
        <v/>
      </c>
    </row>
    <row r="4" ht="20" customHeight="1">
      <c r="A4" s="19" t="inlineStr">
        <is>
          <t>איתן וינסטון</t>
        </is>
      </c>
      <c r="B4" s="69" t="n"/>
      <c r="C4" s="69" t="n"/>
      <c r="D4" s="86" t="n"/>
      <c r="F4" s="85">
        <f>IF(AND($B4&lt;&gt;"",$B4='קבוצות'!$A$3),IF(F3="","",F3&amp;", ")&amp;$A4,F3)</f>
        <v/>
      </c>
      <c r="G4" s="85">
        <f>IF(AND($B4&lt;&gt;"",$B4='קבוצות'!$A$4),IF(G3="","",G3&amp;", ")&amp;$A4,G3)</f>
        <v/>
      </c>
      <c r="H4" s="85">
        <f>IF(AND($B4&lt;&gt;"",$B4='קבוצות'!$A$5),IF(H3="","",H3&amp;", ")&amp;$A4,H3)</f>
        <v/>
      </c>
      <c r="I4" s="85">
        <f>IF(AND($B4&lt;&gt;"",$B4='קבוצות'!$A$6),IF(I3="","",I3&amp;", ")&amp;$A4,I3)</f>
        <v/>
      </c>
      <c r="J4" s="85">
        <f>IF(AND($B4&lt;&gt;"",$B4='קבוצות'!$A$7),IF(J3="","",J3&amp;", ")&amp;$A4,J3)</f>
        <v/>
      </c>
      <c r="K4" s="85">
        <f>IF(AND($B4&lt;&gt;"",$B4='קבוצות'!$A$8),IF(K3="","",K3&amp;", ")&amp;$A4,K3)</f>
        <v/>
      </c>
    </row>
    <row r="5" ht="20" customHeight="1">
      <c r="A5" s="19" t="inlineStr">
        <is>
          <t>יובל יצחק</t>
        </is>
      </c>
      <c r="B5" s="69" t="n"/>
      <c r="C5" s="69" t="n"/>
      <c r="D5" s="86" t="n"/>
      <c r="F5" s="85">
        <f>IF(AND($B5&lt;&gt;"",$B5='קבוצות'!$A$3),IF(F4="","",F4&amp;", ")&amp;$A5,F4)</f>
        <v/>
      </c>
      <c r="G5" s="85">
        <f>IF(AND($B5&lt;&gt;"",$B5='קבוצות'!$A$4),IF(G4="","",G4&amp;", ")&amp;$A5,G4)</f>
        <v/>
      </c>
      <c r="H5" s="85">
        <f>IF(AND($B5&lt;&gt;"",$B5='קבוצות'!$A$5),IF(H4="","",H4&amp;", ")&amp;$A5,H4)</f>
        <v/>
      </c>
      <c r="I5" s="85">
        <f>IF(AND($B5&lt;&gt;"",$B5='קבוצות'!$A$6),IF(I4="","",I4&amp;", ")&amp;$A5,I4)</f>
        <v/>
      </c>
      <c r="J5" s="85">
        <f>IF(AND($B5&lt;&gt;"",$B5='קבוצות'!$A$7),IF(J4="","",J4&amp;", ")&amp;$A5,J4)</f>
        <v/>
      </c>
      <c r="K5" s="85">
        <f>IF(AND($B5&lt;&gt;"",$B5='קבוצות'!$A$8),IF(K4="","",K4&amp;", ")&amp;$A5,K4)</f>
        <v/>
      </c>
    </row>
    <row r="6" ht="20" customHeight="1">
      <c r="A6" s="19" t="inlineStr">
        <is>
          <t>הילי אלפסי</t>
        </is>
      </c>
      <c r="B6" s="69" t="n"/>
      <c r="C6" s="69" t="n"/>
      <c r="D6" s="86" t="n"/>
      <c r="F6" s="85">
        <f>IF(AND($B6&lt;&gt;"",$B6='קבוצות'!$A$3),IF(F5="","",F5&amp;", ")&amp;$A6,F5)</f>
        <v/>
      </c>
      <c r="G6" s="85">
        <f>IF(AND($B6&lt;&gt;"",$B6='קבוצות'!$A$4),IF(G5="","",G5&amp;", ")&amp;$A6,G5)</f>
        <v/>
      </c>
      <c r="H6" s="85">
        <f>IF(AND($B6&lt;&gt;"",$B6='קבוצות'!$A$5),IF(H5="","",H5&amp;", ")&amp;$A6,H5)</f>
        <v/>
      </c>
      <c r="I6" s="85">
        <f>IF(AND($B6&lt;&gt;"",$B6='קבוצות'!$A$6),IF(I5="","",I5&amp;", ")&amp;$A6,I5)</f>
        <v/>
      </c>
      <c r="J6" s="85">
        <f>IF(AND($B6&lt;&gt;"",$B6='קבוצות'!$A$7),IF(J5="","",J5&amp;", ")&amp;$A6,J5)</f>
        <v/>
      </c>
      <c r="K6" s="85">
        <f>IF(AND($B6&lt;&gt;"",$B6='קבוצות'!$A$8),IF(K5="","",K5&amp;", ")&amp;$A6,K5)</f>
        <v/>
      </c>
    </row>
    <row r="7" ht="20" customHeight="1">
      <c r="A7" s="19" t="inlineStr">
        <is>
          <t>יהב לוי</t>
        </is>
      </c>
      <c r="B7" s="69" t="n"/>
      <c r="C7" s="69" t="n"/>
      <c r="D7" s="86" t="n"/>
      <c r="F7" s="85">
        <f>IF(AND($B7&lt;&gt;"",$B7='קבוצות'!$A$3),IF(F6="","",F6&amp;", ")&amp;$A7,F6)</f>
        <v/>
      </c>
      <c r="G7" s="85">
        <f>IF(AND($B7&lt;&gt;"",$B7='קבוצות'!$A$4),IF(G6="","",G6&amp;", ")&amp;$A7,G6)</f>
        <v/>
      </c>
      <c r="H7" s="85">
        <f>IF(AND($B7&lt;&gt;"",$B7='קבוצות'!$A$5),IF(H6="","",H6&amp;", ")&amp;$A7,H6)</f>
        <v/>
      </c>
      <c r="I7" s="85">
        <f>IF(AND($B7&lt;&gt;"",$B7='קבוצות'!$A$6),IF(I6="","",I6&amp;", ")&amp;$A7,I6)</f>
        <v/>
      </c>
      <c r="J7" s="85">
        <f>IF(AND($B7&lt;&gt;"",$B7='קבוצות'!$A$7),IF(J6="","",J6&amp;", ")&amp;$A7,J6)</f>
        <v/>
      </c>
      <c r="K7" s="85">
        <f>IF(AND($B7&lt;&gt;"",$B7='קבוצות'!$A$8),IF(K6="","",K6&amp;", ")&amp;$A7,K6)</f>
        <v/>
      </c>
    </row>
    <row r="8" ht="20" customHeight="1">
      <c r="A8" s="19" t="inlineStr">
        <is>
          <t>שחר קרן</t>
        </is>
      </c>
      <c r="B8" s="69" t="n"/>
      <c r="C8" s="69" t="n"/>
      <c r="D8" s="86" t="n"/>
      <c r="F8" s="85">
        <f>IF(AND($B8&lt;&gt;"",$B8='קבוצות'!$A$3),IF(F7="","",F7&amp;", ")&amp;$A8,F7)</f>
        <v/>
      </c>
      <c r="G8" s="85">
        <f>IF(AND($B8&lt;&gt;"",$B8='קבוצות'!$A$4),IF(G7="","",G7&amp;", ")&amp;$A8,G7)</f>
        <v/>
      </c>
      <c r="H8" s="85">
        <f>IF(AND($B8&lt;&gt;"",$B8='קבוצות'!$A$5),IF(H7="","",H7&amp;", ")&amp;$A8,H7)</f>
        <v/>
      </c>
      <c r="I8" s="85">
        <f>IF(AND($B8&lt;&gt;"",$B8='קבוצות'!$A$6),IF(I7="","",I7&amp;", ")&amp;$A8,I7)</f>
        <v/>
      </c>
      <c r="J8" s="85">
        <f>IF(AND($B8&lt;&gt;"",$B8='קבוצות'!$A$7),IF(J7="","",J7&amp;", ")&amp;$A8,J7)</f>
        <v/>
      </c>
      <c r="K8" s="85">
        <f>IF(AND($B8&lt;&gt;"",$B8='קבוצות'!$A$8),IF(K7="","",K7&amp;", ")&amp;$A8,K7)</f>
        <v/>
      </c>
    </row>
    <row r="9" ht="20" customHeight="1">
      <c r="A9" s="19" t="inlineStr">
        <is>
          <t>ירדן בן שחר</t>
        </is>
      </c>
      <c r="B9" s="69" t="n"/>
      <c r="C9" s="69" t="n"/>
      <c r="D9" s="86" t="n"/>
      <c r="F9" s="85">
        <f>IF(AND($B9&lt;&gt;"",$B9='קבוצות'!$A$3),IF(F8="","",F8&amp;", ")&amp;$A9,F8)</f>
        <v/>
      </c>
      <c r="G9" s="85">
        <f>IF(AND($B9&lt;&gt;"",$B9='קבוצות'!$A$4),IF(G8="","",G8&amp;", ")&amp;$A9,G8)</f>
        <v/>
      </c>
      <c r="H9" s="85">
        <f>IF(AND($B9&lt;&gt;"",$B9='קבוצות'!$A$5),IF(H8="","",H8&amp;", ")&amp;$A9,H8)</f>
        <v/>
      </c>
      <c r="I9" s="85">
        <f>IF(AND($B9&lt;&gt;"",$B9='קבוצות'!$A$6),IF(I8="","",I8&amp;", ")&amp;$A9,I8)</f>
        <v/>
      </c>
      <c r="J9" s="85">
        <f>IF(AND($B9&lt;&gt;"",$B9='קבוצות'!$A$7),IF(J8="","",J8&amp;", ")&amp;$A9,J8)</f>
        <v/>
      </c>
      <c r="K9" s="85">
        <f>IF(AND($B9&lt;&gt;"",$B9='קבוצות'!$A$8),IF(K8="","",K8&amp;", ")&amp;$A9,K8)</f>
        <v/>
      </c>
    </row>
    <row r="10" ht="20" customHeight="1">
      <c r="A10" s="19" t="inlineStr">
        <is>
          <t>אחיה נחמני</t>
        </is>
      </c>
      <c r="B10" s="69" t="n"/>
      <c r="C10" s="69" t="n"/>
      <c r="D10" s="86" t="n"/>
      <c r="F10" s="85">
        <f>IF(AND($B10&lt;&gt;"",$B10='קבוצות'!$A$3),IF(F9="","",F9&amp;", ")&amp;$A10,F9)</f>
        <v/>
      </c>
      <c r="G10" s="85">
        <f>IF(AND($B10&lt;&gt;"",$B10='קבוצות'!$A$4),IF(G9="","",G9&amp;", ")&amp;$A10,G9)</f>
        <v/>
      </c>
      <c r="H10" s="85">
        <f>IF(AND($B10&lt;&gt;"",$B10='קבוצות'!$A$5),IF(H9="","",H9&amp;", ")&amp;$A10,H9)</f>
        <v/>
      </c>
      <c r="I10" s="85">
        <f>IF(AND($B10&lt;&gt;"",$B10='קבוצות'!$A$6),IF(I9="","",I9&amp;", ")&amp;$A10,I9)</f>
        <v/>
      </c>
      <c r="J10" s="85">
        <f>IF(AND($B10&lt;&gt;"",$B10='קבוצות'!$A$7),IF(J9="","",J9&amp;", ")&amp;$A10,J9)</f>
        <v/>
      </c>
      <c r="K10" s="85">
        <f>IF(AND($B10&lt;&gt;"",$B10='קבוצות'!$A$8),IF(K9="","",K9&amp;", ")&amp;$A10,K9)</f>
        <v/>
      </c>
    </row>
    <row r="11" ht="20" customHeight="1">
      <c r="A11" s="19" t="inlineStr">
        <is>
          <t>ניצן שטיין</t>
        </is>
      </c>
      <c r="B11" s="69" t="n"/>
      <c r="C11" s="69" t="n"/>
      <c r="D11" s="86" t="n"/>
      <c r="F11" s="85">
        <f>IF(AND($B11&lt;&gt;"",$B11='קבוצות'!$A$3),IF(F10="","",F10&amp;", ")&amp;$A11,F10)</f>
        <v/>
      </c>
      <c r="G11" s="85">
        <f>IF(AND($B11&lt;&gt;"",$B11='קבוצות'!$A$4),IF(G10="","",G10&amp;", ")&amp;$A11,G10)</f>
        <v/>
      </c>
      <c r="H11" s="85">
        <f>IF(AND($B11&lt;&gt;"",$B11='קבוצות'!$A$5),IF(H10="","",H10&amp;", ")&amp;$A11,H10)</f>
        <v/>
      </c>
      <c r="I11" s="85">
        <f>IF(AND($B11&lt;&gt;"",$B11='קבוצות'!$A$6),IF(I10="","",I10&amp;", ")&amp;$A11,I10)</f>
        <v/>
      </c>
      <c r="J11" s="85">
        <f>IF(AND($B11&lt;&gt;"",$B11='קבוצות'!$A$7),IF(J10="","",J10&amp;", ")&amp;$A11,J10)</f>
        <v/>
      </c>
      <c r="K11" s="85">
        <f>IF(AND($B11&lt;&gt;"",$B11='קבוצות'!$A$8),IF(K10="","",K10&amp;", ")&amp;$A11,K10)</f>
        <v/>
      </c>
    </row>
    <row r="12" ht="20" customHeight="1">
      <c r="A12" s="19" t="inlineStr">
        <is>
          <t>מעיין יוספי</t>
        </is>
      </c>
      <c r="B12" s="69" t="n"/>
      <c r="C12" s="69" t="n"/>
      <c r="D12" s="86" t="n"/>
      <c r="F12" s="85">
        <f>IF(AND($B12&lt;&gt;"",$B12='קבוצות'!$A$3),IF(F11="","",F11&amp;", ")&amp;$A12,F11)</f>
        <v/>
      </c>
      <c r="G12" s="85">
        <f>IF(AND($B12&lt;&gt;"",$B12='קבוצות'!$A$4),IF(G11="","",G11&amp;", ")&amp;$A12,G11)</f>
        <v/>
      </c>
      <c r="H12" s="85">
        <f>IF(AND($B12&lt;&gt;"",$B12='קבוצות'!$A$5),IF(H11="","",H11&amp;", ")&amp;$A12,H11)</f>
        <v/>
      </c>
      <c r="I12" s="85">
        <f>IF(AND($B12&lt;&gt;"",$B12='קבוצות'!$A$6),IF(I11="","",I11&amp;", ")&amp;$A12,I11)</f>
        <v/>
      </c>
      <c r="J12" s="85">
        <f>IF(AND($B12&lt;&gt;"",$B12='קבוצות'!$A$7),IF(J11="","",J11&amp;", ")&amp;$A12,J11)</f>
        <v/>
      </c>
      <c r="K12" s="85">
        <f>IF(AND($B12&lt;&gt;"",$B12='קבוצות'!$A$8),IF(K11="","",K11&amp;", ")&amp;$A12,K11)</f>
        <v/>
      </c>
    </row>
    <row r="13" ht="20" customHeight="1">
      <c r="A13" s="19" t="inlineStr">
        <is>
          <t>יעל שם טוב</t>
        </is>
      </c>
      <c r="B13" s="69" t="n"/>
      <c r="C13" s="69" t="n"/>
      <c r="D13" s="86" t="n"/>
      <c r="F13" s="85">
        <f>IF(AND($B13&lt;&gt;"",$B13='קבוצות'!$A$3),IF(F12="","",F12&amp;", ")&amp;$A13,F12)</f>
        <v/>
      </c>
      <c r="G13" s="85">
        <f>IF(AND($B13&lt;&gt;"",$B13='קבוצות'!$A$4),IF(G12="","",G12&amp;", ")&amp;$A13,G12)</f>
        <v/>
      </c>
      <c r="H13" s="85">
        <f>IF(AND($B13&lt;&gt;"",$B13='קבוצות'!$A$5),IF(H12="","",H12&amp;", ")&amp;$A13,H12)</f>
        <v/>
      </c>
      <c r="I13" s="85">
        <f>IF(AND($B13&lt;&gt;"",$B13='קבוצות'!$A$6),IF(I12="","",I12&amp;", ")&amp;$A13,I12)</f>
        <v/>
      </c>
      <c r="J13" s="85">
        <f>IF(AND($B13&lt;&gt;"",$B13='קבוצות'!$A$7),IF(J12="","",J12&amp;", ")&amp;$A13,J12)</f>
        <v/>
      </c>
      <c r="K13" s="85">
        <f>IF(AND($B13&lt;&gt;"",$B13='קבוצות'!$A$8),IF(K12="","",K12&amp;", ")&amp;$A13,K12)</f>
        <v/>
      </c>
    </row>
    <row r="14" ht="20" customHeight="1">
      <c r="A14" s="19" t="inlineStr">
        <is>
          <t>עמית סיילס</t>
        </is>
      </c>
      <c r="B14" s="69" t="n"/>
      <c r="C14" s="69" t="n"/>
      <c r="D14" s="86" t="n"/>
      <c r="F14" s="85">
        <f>IF(AND($B14&lt;&gt;"",$B14='קבוצות'!$A$3),IF(F13="","",F13&amp;", ")&amp;$A14,F13)</f>
        <v/>
      </c>
      <c r="G14" s="85">
        <f>IF(AND($B14&lt;&gt;"",$B14='קבוצות'!$A$4),IF(G13="","",G13&amp;", ")&amp;$A14,G13)</f>
        <v/>
      </c>
      <c r="H14" s="85">
        <f>IF(AND($B14&lt;&gt;"",$B14='קבוצות'!$A$5),IF(H13="","",H13&amp;", ")&amp;$A14,H13)</f>
        <v/>
      </c>
      <c r="I14" s="85">
        <f>IF(AND($B14&lt;&gt;"",$B14='קבוצות'!$A$6),IF(I13="","",I13&amp;", ")&amp;$A14,I13)</f>
        <v/>
      </c>
      <c r="J14" s="85">
        <f>IF(AND($B14&lt;&gt;"",$B14='קבוצות'!$A$7),IF(J13="","",J13&amp;", ")&amp;$A14,J13)</f>
        <v/>
      </c>
      <c r="K14" s="85">
        <f>IF(AND($B14&lt;&gt;"",$B14='קבוצות'!$A$8),IF(K13="","",K13&amp;", ")&amp;$A14,K13)</f>
        <v/>
      </c>
    </row>
    <row r="15" ht="20" customHeight="1">
      <c r="A15" s="19" t="inlineStr">
        <is>
          <t>אריאלה מרכוס</t>
        </is>
      </c>
      <c r="B15" s="69" t="n"/>
      <c r="C15" s="69" t="n"/>
      <c r="D15" s="86" t="n"/>
      <c r="F15" s="85">
        <f>IF(AND($B15&lt;&gt;"",$B15='קבוצות'!$A$3),IF(F14="","",F14&amp;", ")&amp;$A15,F14)</f>
        <v/>
      </c>
      <c r="G15" s="85">
        <f>IF(AND($B15&lt;&gt;"",$B15='קבוצות'!$A$4),IF(G14="","",G14&amp;", ")&amp;$A15,G14)</f>
        <v/>
      </c>
      <c r="H15" s="85">
        <f>IF(AND($B15&lt;&gt;"",$B15='קבוצות'!$A$5),IF(H14="","",H14&amp;", ")&amp;$A15,H14)</f>
        <v/>
      </c>
      <c r="I15" s="85">
        <f>IF(AND($B15&lt;&gt;"",$B15='קבוצות'!$A$6),IF(I14="","",I14&amp;", ")&amp;$A15,I14)</f>
        <v/>
      </c>
      <c r="J15" s="85">
        <f>IF(AND($B15&lt;&gt;"",$B15='קבוצות'!$A$7),IF(J14="","",J14&amp;", ")&amp;$A15,J14)</f>
        <v/>
      </c>
      <c r="K15" s="85">
        <f>IF(AND($B15&lt;&gt;"",$B15='קבוצות'!$A$8),IF(K14="","",K14&amp;", ")&amp;$A15,K14)</f>
        <v/>
      </c>
    </row>
    <row r="16" ht="20" customHeight="1">
      <c r="A16" s="19" t="inlineStr">
        <is>
          <t>משה אוברשטיין</t>
        </is>
      </c>
      <c r="B16" s="69" t="n"/>
      <c r="C16" s="69" t="n"/>
      <c r="D16" s="86" t="n"/>
      <c r="F16" s="85">
        <f>IF(AND($B16&lt;&gt;"",$B16='קבוצות'!$A$3),IF(F15="","",F15&amp;", ")&amp;$A16,F15)</f>
        <v/>
      </c>
      <c r="G16" s="85">
        <f>IF(AND($B16&lt;&gt;"",$B16='קבוצות'!$A$4),IF(G15="","",G15&amp;", ")&amp;$A16,G15)</f>
        <v/>
      </c>
      <c r="H16" s="85">
        <f>IF(AND($B16&lt;&gt;"",$B16='קבוצות'!$A$5),IF(H15="","",H15&amp;", ")&amp;$A16,H15)</f>
        <v/>
      </c>
      <c r="I16" s="85">
        <f>IF(AND($B16&lt;&gt;"",$B16='קבוצות'!$A$6),IF(I15="","",I15&amp;", ")&amp;$A16,I15)</f>
        <v/>
      </c>
      <c r="J16" s="85">
        <f>IF(AND($B16&lt;&gt;"",$B16='קבוצות'!$A$7),IF(J15="","",J15&amp;", ")&amp;$A16,J15)</f>
        <v/>
      </c>
      <c r="K16" s="85">
        <f>IF(AND($B16&lt;&gt;"",$B16='קבוצות'!$A$8),IF(K15="","",K15&amp;", ")&amp;$A16,K15)</f>
        <v/>
      </c>
    </row>
    <row r="17" ht="20" customHeight="1">
      <c r="A17" s="19" t="inlineStr">
        <is>
          <t>אוריה תעשה</t>
        </is>
      </c>
      <c r="B17" s="69" t="n"/>
      <c r="C17" s="69" t="n"/>
      <c r="D17" s="86" t="n"/>
      <c r="F17" s="85">
        <f>IF(AND($B17&lt;&gt;"",$B17='קבוצות'!$A$3),IF(F16="","",F16&amp;", ")&amp;$A17,F16)</f>
        <v/>
      </c>
      <c r="G17" s="85">
        <f>IF(AND($B17&lt;&gt;"",$B17='קבוצות'!$A$4),IF(G16="","",G16&amp;", ")&amp;$A17,G16)</f>
        <v/>
      </c>
      <c r="H17" s="85">
        <f>IF(AND($B17&lt;&gt;"",$B17='קבוצות'!$A$5),IF(H16="","",H16&amp;", ")&amp;$A17,H16)</f>
        <v/>
      </c>
      <c r="I17" s="85">
        <f>IF(AND($B17&lt;&gt;"",$B17='קבוצות'!$A$6),IF(I16="","",I16&amp;", ")&amp;$A17,I16)</f>
        <v/>
      </c>
      <c r="J17" s="85">
        <f>IF(AND($B17&lt;&gt;"",$B17='קבוצות'!$A$7),IF(J16="","",J16&amp;", ")&amp;$A17,J16)</f>
        <v/>
      </c>
      <c r="K17" s="85">
        <f>IF(AND($B17&lt;&gt;"",$B17='קבוצות'!$A$8),IF(K16="","",K16&amp;", ")&amp;$A17,K16)</f>
        <v/>
      </c>
    </row>
    <row r="18" ht="20" customHeight="1">
      <c r="A18" s="19" t="inlineStr">
        <is>
          <t>יונתן לירז</t>
        </is>
      </c>
      <c r="B18" s="69" t="n"/>
      <c r="C18" s="69" t="n"/>
      <c r="D18" s="86" t="n"/>
      <c r="F18" s="85">
        <f>IF(AND($B18&lt;&gt;"",$B18='קבוצות'!$A$3),IF(F17="","",F17&amp;", ")&amp;$A18,F17)</f>
        <v/>
      </c>
      <c r="G18" s="85">
        <f>IF(AND($B18&lt;&gt;"",$B18='קבוצות'!$A$4),IF(G17="","",G17&amp;", ")&amp;$A18,G17)</f>
        <v/>
      </c>
      <c r="H18" s="85">
        <f>IF(AND($B18&lt;&gt;"",$B18='קבוצות'!$A$5),IF(H17="","",H17&amp;", ")&amp;$A18,H17)</f>
        <v/>
      </c>
      <c r="I18" s="85">
        <f>IF(AND($B18&lt;&gt;"",$B18='קבוצות'!$A$6),IF(I17="","",I17&amp;", ")&amp;$A18,I17)</f>
        <v/>
      </c>
      <c r="J18" s="85">
        <f>IF(AND($B18&lt;&gt;"",$B18='קבוצות'!$A$7),IF(J17="","",J17&amp;", ")&amp;$A18,J17)</f>
        <v/>
      </c>
      <c r="K18" s="85">
        <f>IF(AND($B18&lt;&gt;"",$B18='קבוצות'!$A$8),IF(K17="","",K17&amp;", ")&amp;$A18,K17)</f>
        <v/>
      </c>
    </row>
    <row r="19" ht="20" customHeight="1">
      <c r="A19" s="19" t="inlineStr">
        <is>
          <t>פנחס אליהו גלוסקין</t>
        </is>
      </c>
      <c r="B19" s="69" t="n"/>
      <c r="C19" s="69" t="n"/>
      <c r="D19" s="86" t="n"/>
      <c r="F19" s="85">
        <f>IF(AND($B19&lt;&gt;"",$B19='קבוצות'!$A$3),IF(F18="","",F18&amp;", ")&amp;$A19,F18)</f>
        <v/>
      </c>
      <c r="G19" s="85">
        <f>IF(AND($B19&lt;&gt;"",$B19='קבוצות'!$A$4),IF(G18="","",G18&amp;", ")&amp;$A19,G18)</f>
        <v/>
      </c>
      <c r="H19" s="85">
        <f>IF(AND($B19&lt;&gt;"",$B19='קבוצות'!$A$5),IF(H18="","",H18&amp;", ")&amp;$A19,H18)</f>
        <v/>
      </c>
      <c r="I19" s="85">
        <f>IF(AND($B19&lt;&gt;"",$B19='קבוצות'!$A$6),IF(I18="","",I18&amp;", ")&amp;$A19,I18)</f>
        <v/>
      </c>
      <c r="J19" s="85">
        <f>IF(AND($B19&lt;&gt;"",$B19='קבוצות'!$A$7),IF(J18="","",J18&amp;", ")&amp;$A19,J18)</f>
        <v/>
      </c>
      <c r="K19" s="85">
        <f>IF(AND($B19&lt;&gt;"",$B19='קבוצות'!$A$8),IF(K18="","",K18&amp;", ")&amp;$A19,K18)</f>
        <v/>
      </c>
    </row>
    <row r="20" ht="20" customHeight="1">
      <c r="A20" s="19" t="inlineStr">
        <is>
          <t>נדב טוקר</t>
        </is>
      </c>
      <c r="B20" s="69" t="n"/>
      <c r="C20" s="69" t="n"/>
      <c r="D20" s="86" t="n"/>
      <c r="F20" s="85">
        <f>IF(AND($B20&lt;&gt;"",$B20='קבוצות'!$A$3),IF(F19="","",F19&amp;", ")&amp;$A20,F19)</f>
        <v/>
      </c>
      <c r="G20" s="85">
        <f>IF(AND($B20&lt;&gt;"",$B20='קבוצות'!$A$4),IF(G19="","",G19&amp;", ")&amp;$A20,G19)</f>
        <v/>
      </c>
      <c r="H20" s="85">
        <f>IF(AND($B20&lt;&gt;"",$B20='קבוצות'!$A$5),IF(H19="","",H19&amp;", ")&amp;$A20,H19)</f>
        <v/>
      </c>
      <c r="I20" s="85">
        <f>IF(AND($B20&lt;&gt;"",$B20='קבוצות'!$A$6),IF(I19="","",I19&amp;", ")&amp;$A20,I19)</f>
        <v/>
      </c>
      <c r="J20" s="85">
        <f>IF(AND($B20&lt;&gt;"",$B20='קבוצות'!$A$7),IF(J19="","",J19&amp;", ")&amp;$A20,J19)</f>
        <v/>
      </c>
      <c r="K20" s="85">
        <f>IF(AND($B20&lt;&gt;"",$B20='קבוצות'!$A$8),IF(K19="","",K19&amp;", ")&amp;$A20,K19)</f>
        <v/>
      </c>
    </row>
    <row r="21" ht="20" customHeight="1">
      <c r="A21" s="19" t="inlineStr">
        <is>
          <t>הדר עמדי</t>
        </is>
      </c>
      <c r="B21" s="69" t="n"/>
      <c r="C21" s="69" t="n"/>
      <c r="D21" s="86" t="n"/>
      <c r="F21" s="85">
        <f>IF(AND($B21&lt;&gt;"",$B21='קבוצות'!$A$3),IF(F20="","",F20&amp;", ")&amp;$A21,F20)</f>
        <v/>
      </c>
      <c r="G21" s="85">
        <f>IF(AND($B21&lt;&gt;"",$B21='קבוצות'!$A$4),IF(G20="","",G20&amp;", ")&amp;$A21,G20)</f>
        <v/>
      </c>
      <c r="H21" s="85">
        <f>IF(AND($B21&lt;&gt;"",$B21='קבוצות'!$A$5),IF(H20="","",H20&amp;", ")&amp;$A21,H20)</f>
        <v/>
      </c>
      <c r="I21" s="85">
        <f>IF(AND($B21&lt;&gt;"",$B21='קבוצות'!$A$6),IF(I20="","",I20&amp;", ")&amp;$A21,I20)</f>
        <v/>
      </c>
      <c r="J21" s="85">
        <f>IF(AND($B21&lt;&gt;"",$B21='קבוצות'!$A$7),IF(J20="","",J20&amp;", ")&amp;$A21,J20)</f>
        <v/>
      </c>
      <c r="K21" s="85">
        <f>IF(AND($B21&lt;&gt;"",$B21='קבוצות'!$A$8),IF(K20="","",K20&amp;", ")&amp;$A21,K20)</f>
        <v/>
      </c>
    </row>
    <row r="22" ht="20" customHeight="1">
      <c r="A22" s="19" t="inlineStr">
        <is>
          <t>יואב אוחנה</t>
        </is>
      </c>
      <c r="B22" s="69" t="n"/>
      <c r="C22" s="69" t="n"/>
      <c r="D22" s="86" t="n"/>
      <c r="F22" s="85">
        <f>IF(AND($B22&lt;&gt;"",$B22='קבוצות'!$A$3),IF(F21="","",F21&amp;", ")&amp;$A22,F21)</f>
        <v/>
      </c>
      <c r="G22" s="85">
        <f>IF(AND($B22&lt;&gt;"",$B22='קבוצות'!$A$4),IF(G21="","",G21&amp;", ")&amp;$A22,G21)</f>
        <v/>
      </c>
      <c r="H22" s="85">
        <f>IF(AND($B22&lt;&gt;"",$B22='קבוצות'!$A$5),IF(H21="","",H21&amp;", ")&amp;$A22,H21)</f>
        <v/>
      </c>
      <c r="I22" s="85">
        <f>IF(AND($B22&lt;&gt;"",$B22='קבוצות'!$A$6),IF(I21="","",I21&amp;", ")&amp;$A22,I21)</f>
        <v/>
      </c>
      <c r="J22" s="85">
        <f>IF(AND($B22&lt;&gt;"",$B22='קבוצות'!$A$7),IF(J21="","",J21&amp;", ")&amp;$A22,J21)</f>
        <v/>
      </c>
      <c r="K22" s="85">
        <f>IF(AND($B22&lt;&gt;"",$B22='קבוצות'!$A$8),IF(K21="","",K21&amp;", ")&amp;$A22,K21)</f>
        <v/>
      </c>
    </row>
    <row r="23" ht="20" customHeight="1">
      <c r="A23" s="19" t="inlineStr">
        <is>
          <t>איתי בן יהודה</t>
        </is>
      </c>
      <c r="B23" s="69" t="n"/>
      <c r="C23" s="69" t="n"/>
      <c r="D23" s="86" t="n"/>
      <c r="F23" s="85">
        <f>IF(AND($B23&lt;&gt;"",$B23='קבוצות'!$A$3),IF(F22="","",F22&amp;", ")&amp;$A23,F22)</f>
        <v/>
      </c>
      <c r="G23" s="85">
        <f>IF(AND($B23&lt;&gt;"",$B23='קבוצות'!$A$4),IF(G22="","",G22&amp;", ")&amp;$A23,G22)</f>
        <v/>
      </c>
      <c r="H23" s="85">
        <f>IF(AND($B23&lt;&gt;"",$B23='קבוצות'!$A$5),IF(H22="","",H22&amp;", ")&amp;$A23,H22)</f>
        <v/>
      </c>
      <c r="I23" s="85">
        <f>IF(AND($B23&lt;&gt;"",$B23='קבוצות'!$A$6),IF(I22="","",I22&amp;", ")&amp;$A23,I22)</f>
        <v/>
      </c>
      <c r="J23" s="85">
        <f>IF(AND($B23&lt;&gt;"",$B23='קבוצות'!$A$7),IF(J22="","",J22&amp;", ")&amp;$A23,J22)</f>
        <v/>
      </c>
      <c r="K23" s="85">
        <f>IF(AND($B23&lt;&gt;"",$B23='קבוצות'!$A$8),IF(K22="","",K22&amp;", ")&amp;$A23,K22)</f>
        <v/>
      </c>
    </row>
    <row r="24" ht="20" customHeight="1">
      <c r="A24" s="19" t="inlineStr">
        <is>
          <t>עופר בביוף</t>
        </is>
      </c>
      <c r="B24" s="69" t="n"/>
      <c r="C24" s="69" t="n"/>
      <c r="D24" s="86" t="n"/>
      <c r="F24" s="85">
        <f>IF(AND($B24&lt;&gt;"",$B24='קבוצות'!$A$3),IF(F23="","",F23&amp;", ")&amp;$A24,F23)</f>
        <v/>
      </c>
      <c r="G24" s="85">
        <f>IF(AND($B24&lt;&gt;"",$B24='קבוצות'!$A$4),IF(G23="","",G23&amp;", ")&amp;$A24,G23)</f>
        <v/>
      </c>
      <c r="H24" s="85">
        <f>IF(AND($B24&lt;&gt;"",$B24='קבוצות'!$A$5),IF(H23="","",H23&amp;", ")&amp;$A24,H23)</f>
        <v/>
      </c>
      <c r="I24" s="85">
        <f>IF(AND($B24&lt;&gt;"",$B24='קבוצות'!$A$6),IF(I23="","",I23&amp;", ")&amp;$A24,I23)</f>
        <v/>
      </c>
      <c r="J24" s="85">
        <f>IF(AND($B24&lt;&gt;"",$B24='קבוצות'!$A$7),IF(J23="","",J23&amp;", ")&amp;$A24,J23)</f>
        <v/>
      </c>
      <c r="K24" s="85">
        <f>IF(AND($B24&lt;&gt;"",$B24='קבוצות'!$A$8),IF(K23="","",K23&amp;", ")&amp;$A24,K23)</f>
        <v/>
      </c>
    </row>
    <row r="25" ht="20" customHeight="1">
      <c r="A25" s="19" t="inlineStr">
        <is>
          <t>הילה עזרא</t>
        </is>
      </c>
      <c r="B25" s="69" t="n"/>
      <c r="C25" s="69" t="n"/>
      <c r="D25" s="86" t="n"/>
      <c r="F25" s="85">
        <f>IF(AND($B25&lt;&gt;"",$B25='קבוצות'!$A$3),IF(F24="","",F24&amp;", ")&amp;$A25,F24)</f>
        <v/>
      </c>
      <c r="G25" s="85">
        <f>IF(AND($B25&lt;&gt;"",$B25='קבוצות'!$A$4),IF(G24="","",G24&amp;", ")&amp;$A25,G24)</f>
        <v/>
      </c>
      <c r="H25" s="85">
        <f>IF(AND($B25&lt;&gt;"",$B25='קבוצות'!$A$5),IF(H24="","",H24&amp;", ")&amp;$A25,H24)</f>
        <v/>
      </c>
      <c r="I25" s="85">
        <f>IF(AND($B25&lt;&gt;"",$B25='קבוצות'!$A$6),IF(I24="","",I24&amp;", ")&amp;$A25,I24)</f>
        <v/>
      </c>
      <c r="J25" s="85">
        <f>IF(AND($B25&lt;&gt;"",$B25='קבוצות'!$A$7),IF(J24="","",J24&amp;", ")&amp;$A25,J24)</f>
        <v/>
      </c>
      <c r="K25" s="85">
        <f>IF(AND($B25&lt;&gt;"",$B25='קבוצות'!$A$8),IF(K24="","",K24&amp;", ")&amp;$A25,K24)</f>
        <v/>
      </c>
    </row>
    <row r="26" ht="20" customHeight="1">
      <c r="A26" s="19" t="inlineStr">
        <is>
          <t>בניה מעוז</t>
        </is>
      </c>
      <c r="B26" s="69" t="n"/>
      <c r="C26" s="69" t="n"/>
      <c r="D26" s="86" t="n"/>
      <c r="F26" s="85">
        <f>IF(AND($B26&lt;&gt;"",$B26='קבוצות'!$A$3),IF(F25="","",F25&amp;", ")&amp;$A26,F25)</f>
        <v/>
      </c>
      <c r="G26" s="85">
        <f>IF(AND($B26&lt;&gt;"",$B26='קבוצות'!$A$4),IF(G25="","",G25&amp;", ")&amp;$A26,G25)</f>
        <v/>
      </c>
      <c r="H26" s="85">
        <f>IF(AND($B26&lt;&gt;"",$B26='קבוצות'!$A$5),IF(H25="","",H25&amp;", ")&amp;$A26,H25)</f>
        <v/>
      </c>
      <c r="I26" s="85">
        <f>IF(AND($B26&lt;&gt;"",$B26='קבוצות'!$A$6),IF(I25="","",I25&amp;", ")&amp;$A26,I25)</f>
        <v/>
      </c>
      <c r="J26" s="85">
        <f>IF(AND($B26&lt;&gt;"",$B26='קבוצות'!$A$7),IF(J25="","",J25&amp;", ")&amp;$A26,J25)</f>
        <v/>
      </c>
      <c r="K26" s="85">
        <f>IF(AND($B26&lt;&gt;"",$B26='קבוצות'!$A$8),IF(K25="","",K25&amp;", ")&amp;$A26,K25)</f>
        <v/>
      </c>
    </row>
    <row r="27" ht="20" customHeight="1">
      <c r="A27" s="19" t="inlineStr">
        <is>
          <t>שחר מרקוביץ' גליק</t>
        </is>
      </c>
      <c r="B27" s="69" t="n"/>
      <c r="C27" s="69" t="n"/>
      <c r="D27" s="86" t="n"/>
      <c r="F27" s="85">
        <f>IF(AND($B27&lt;&gt;"",$B27='קבוצות'!$A$3),IF(F26="","",F26&amp;", ")&amp;$A27,F26)</f>
        <v/>
      </c>
      <c r="G27" s="85">
        <f>IF(AND($B27&lt;&gt;"",$B27='קבוצות'!$A$4),IF(G26="","",G26&amp;", ")&amp;$A27,G26)</f>
        <v/>
      </c>
      <c r="H27" s="85">
        <f>IF(AND($B27&lt;&gt;"",$B27='קבוצות'!$A$5),IF(H26="","",H26&amp;", ")&amp;$A27,H26)</f>
        <v/>
      </c>
      <c r="I27" s="85">
        <f>IF(AND($B27&lt;&gt;"",$B27='קבוצות'!$A$6),IF(I26="","",I26&amp;", ")&amp;$A27,I26)</f>
        <v/>
      </c>
      <c r="J27" s="85">
        <f>IF(AND($B27&lt;&gt;"",$B27='קבוצות'!$A$7),IF(J26="","",J26&amp;", ")&amp;$A27,J26)</f>
        <v/>
      </c>
      <c r="K27" s="85">
        <f>IF(AND($B27&lt;&gt;"",$B27='קבוצות'!$A$8),IF(K26="","",K26&amp;", ")&amp;$A27,K26)</f>
        <v/>
      </c>
    </row>
    <row r="28" ht="20" customHeight="1">
      <c r="A28" s="19" t="inlineStr">
        <is>
          <t>שליו שישו</t>
        </is>
      </c>
      <c r="B28" s="69" t="n"/>
      <c r="C28" s="69" t="n"/>
      <c r="D28" s="86" t="n"/>
      <c r="F28" s="85">
        <f>IF(AND($B28&lt;&gt;"",$B28='קבוצות'!$A$3),IF(F27="","",F27&amp;", ")&amp;$A28,F27)</f>
        <v/>
      </c>
      <c r="G28" s="85">
        <f>IF(AND($B28&lt;&gt;"",$B28='קבוצות'!$A$4),IF(G27="","",G27&amp;", ")&amp;$A28,G27)</f>
        <v/>
      </c>
      <c r="H28" s="85">
        <f>IF(AND($B28&lt;&gt;"",$B28='קבוצות'!$A$5),IF(H27="","",H27&amp;", ")&amp;$A28,H27)</f>
        <v/>
      </c>
      <c r="I28" s="85">
        <f>IF(AND($B28&lt;&gt;"",$B28='קבוצות'!$A$6),IF(I27="","",I27&amp;", ")&amp;$A28,I27)</f>
        <v/>
      </c>
      <c r="J28" s="85">
        <f>IF(AND($B28&lt;&gt;"",$B28='קבוצות'!$A$7),IF(J27="","",J27&amp;", ")&amp;$A28,J27)</f>
        <v/>
      </c>
      <c r="K28" s="85">
        <f>IF(AND($B28&lt;&gt;"",$B28='קבוצות'!$A$8),IF(K27="","",K27&amp;", ")&amp;$A28,K27)</f>
        <v/>
      </c>
    </row>
    <row r="29" ht="20" customHeight="1">
      <c r="A29" s="19" t="inlineStr">
        <is>
          <t>חיים שמאי</t>
        </is>
      </c>
      <c r="B29" s="69" t="n"/>
      <c r="C29" s="69" t="n"/>
      <c r="D29" s="86" t="n"/>
      <c r="F29" s="85">
        <f>IF(AND($B29&lt;&gt;"",$B29='קבוצות'!$A$3),IF(F28="","",F28&amp;", ")&amp;$A29,F28)</f>
        <v/>
      </c>
      <c r="G29" s="85">
        <f>IF(AND($B29&lt;&gt;"",$B29='קבוצות'!$A$4),IF(G28="","",G28&amp;", ")&amp;$A29,G28)</f>
        <v/>
      </c>
      <c r="H29" s="85">
        <f>IF(AND($B29&lt;&gt;"",$B29='קבוצות'!$A$5),IF(H28="","",H28&amp;", ")&amp;$A29,H28)</f>
        <v/>
      </c>
      <c r="I29" s="85">
        <f>IF(AND($B29&lt;&gt;"",$B29='קבוצות'!$A$6),IF(I28="","",I28&amp;", ")&amp;$A29,I28)</f>
        <v/>
      </c>
      <c r="J29" s="85">
        <f>IF(AND($B29&lt;&gt;"",$B29='קבוצות'!$A$7),IF(J28="","",J28&amp;", ")&amp;$A29,J28)</f>
        <v/>
      </c>
      <c r="K29" s="85">
        <f>IF(AND($B29&lt;&gt;"",$B29='קבוצות'!$A$8),IF(K28="","",K28&amp;", ")&amp;$A29,K28)</f>
        <v/>
      </c>
    </row>
    <row r="30" ht="20" customHeight="1">
      <c r="A30" s="19" t="inlineStr">
        <is>
          <t>אנה עזריאל</t>
        </is>
      </c>
      <c r="B30" s="69" t="n"/>
      <c r="C30" s="69" t="n"/>
      <c r="D30" s="86" t="n"/>
      <c r="F30" s="85">
        <f>IF(AND($B30&lt;&gt;"",$B30='קבוצות'!$A$3),IF(F29="","",F29&amp;", ")&amp;$A30,F29)</f>
        <v/>
      </c>
      <c r="G30" s="85">
        <f>IF(AND($B30&lt;&gt;"",$B30='קבוצות'!$A$4),IF(G29="","",G29&amp;", ")&amp;$A30,G29)</f>
        <v/>
      </c>
      <c r="H30" s="85">
        <f>IF(AND($B30&lt;&gt;"",$B30='קבוצות'!$A$5),IF(H29="","",H29&amp;", ")&amp;$A30,H29)</f>
        <v/>
      </c>
      <c r="I30" s="85">
        <f>IF(AND($B30&lt;&gt;"",$B30='קבוצות'!$A$6),IF(I29="","",I29&amp;", ")&amp;$A30,I29)</f>
        <v/>
      </c>
      <c r="J30" s="85">
        <f>IF(AND($B30&lt;&gt;"",$B30='קבוצות'!$A$7),IF(J29="","",J29&amp;", ")&amp;$A30,J29)</f>
        <v/>
      </c>
      <c r="K30" s="85">
        <f>IF(AND($B30&lt;&gt;"",$B30='קבוצות'!$A$8),IF(K29="","",K29&amp;", ")&amp;$A30,K29)</f>
        <v/>
      </c>
    </row>
    <row r="31" ht="20" customHeight="1">
      <c r="A31" s="19" t="inlineStr">
        <is>
          <t>אלרואי גרינברג</t>
        </is>
      </c>
      <c r="B31" s="69" t="n"/>
      <c r="C31" s="69" t="n"/>
      <c r="D31" s="86" t="n"/>
      <c r="F31" s="85">
        <f>IF(AND($B31&lt;&gt;"",$B31='קבוצות'!$A$3),IF(F30="","",F30&amp;", ")&amp;$A31,F30)</f>
        <v/>
      </c>
      <c r="G31" s="85">
        <f>IF(AND($B31&lt;&gt;"",$B31='קבוצות'!$A$4),IF(G30="","",G30&amp;", ")&amp;$A31,G30)</f>
        <v/>
      </c>
      <c r="H31" s="85">
        <f>IF(AND($B31&lt;&gt;"",$B31='קבוצות'!$A$5),IF(H30="","",H30&amp;", ")&amp;$A31,H30)</f>
        <v/>
      </c>
      <c r="I31" s="85">
        <f>IF(AND($B31&lt;&gt;"",$B31='קבוצות'!$A$6),IF(I30="","",I30&amp;", ")&amp;$A31,I30)</f>
        <v/>
      </c>
      <c r="J31" s="85">
        <f>IF(AND($B31&lt;&gt;"",$B31='קבוצות'!$A$7),IF(J30="","",J30&amp;", ")&amp;$A31,J30)</f>
        <v/>
      </c>
      <c r="K31" s="85">
        <f>IF(AND($B31&lt;&gt;"",$B31='קבוצות'!$A$8),IF(K30="","",K30&amp;", ")&amp;$A31,K30)</f>
        <v/>
      </c>
    </row>
    <row r="32" ht="20" customHeight="1">
      <c r="A32" s="19" t="inlineStr">
        <is>
          <t>אלה גוטליב</t>
        </is>
      </c>
      <c r="B32" s="69" t="n"/>
      <c r="C32" s="69" t="n"/>
      <c r="D32" s="86" t="n"/>
      <c r="F32" s="85">
        <f>IF(AND($B32&lt;&gt;"",$B32='קבוצות'!$A$3),IF(F31="","",F31&amp;", ")&amp;$A32,F31)</f>
        <v/>
      </c>
      <c r="G32" s="85">
        <f>IF(AND($B32&lt;&gt;"",$B32='קבוצות'!$A$4),IF(G31="","",G31&amp;", ")&amp;$A32,G31)</f>
        <v/>
      </c>
      <c r="H32" s="85">
        <f>IF(AND($B32&lt;&gt;"",$B32='קבוצות'!$A$5),IF(H31="","",H31&amp;", ")&amp;$A32,H31)</f>
        <v/>
      </c>
      <c r="I32" s="85">
        <f>IF(AND($B32&lt;&gt;"",$B32='קבוצות'!$A$6),IF(I31="","",I31&amp;", ")&amp;$A32,I31)</f>
        <v/>
      </c>
      <c r="J32" s="85">
        <f>IF(AND($B32&lt;&gt;"",$B32='קבוצות'!$A$7),IF(J31="","",J31&amp;", ")&amp;$A32,J31)</f>
        <v/>
      </c>
      <c r="K32" s="85">
        <f>IF(AND($B32&lt;&gt;"",$B32='קבוצות'!$A$8),IF(K31="","",K31&amp;", ")&amp;$A32,K31)</f>
        <v/>
      </c>
    </row>
    <row r="33" ht="20" customHeight="1">
      <c r="A33" s="19" t="inlineStr">
        <is>
          <t>רותם דרור</t>
        </is>
      </c>
      <c r="B33" s="69" t="n"/>
      <c r="C33" s="69" t="n"/>
      <c r="D33" s="86" t="n"/>
      <c r="F33" s="85">
        <f>IF(AND($B33&lt;&gt;"",$B33='קבוצות'!$A$3),IF(F32="","",F32&amp;", ")&amp;$A33,F32)</f>
        <v/>
      </c>
      <c r="G33" s="85">
        <f>IF(AND($B33&lt;&gt;"",$B33='קבוצות'!$A$4),IF(G32="","",G32&amp;", ")&amp;$A33,G32)</f>
        <v/>
      </c>
      <c r="H33" s="85">
        <f>IF(AND($B33&lt;&gt;"",$B33='קבוצות'!$A$5),IF(H32="","",H32&amp;", ")&amp;$A33,H32)</f>
        <v/>
      </c>
      <c r="I33" s="85">
        <f>IF(AND($B33&lt;&gt;"",$B33='קבוצות'!$A$6),IF(I32="","",I32&amp;", ")&amp;$A33,I32)</f>
        <v/>
      </c>
      <c r="J33" s="85">
        <f>IF(AND($B33&lt;&gt;"",$B33='קבוצות'!$A$7),IF(J32="","",J32&amp;", ")&amp;$A33,J32)</f>
        <v/>
      </c>
      <c r="K33" s="85">
        <f>IF(AND($B33&lt;&gt;"",$B33='קבוצות'!$A$8),IF(K32="","",K32&amp;", ")&amp;$A33,K32)</f>
        <v/>
      </c>
    </row>
    <row r="34" ht="20" customHeight="1">
      <c r="A34" s="19" t="inlineStr">
        <is>
          <t>עומר יוסף גנון</t>
        </is>
      </c>
      <c r="B34" s="69" t="n"/>
      <c r="C34" s="69" t="n"/>
      <c r="D34" s="86" t="n"/>
      <c r="F34" s="85">
        <f>IF(AND($B34&lt;&gt;"",$B34='קבוצות'!$A$3),IF(F33="","",F33&amp;", ")&amp;$A34,F33)</f>
        <v/>
      </c>
      <c r="G34" s="85">
        <f>IF(AND($B34&lt;&gt;"",$B34='קבוצות'!$A$4),IF(G33="","",G33&amp;", ")&amp;$A34,G33)</f>
        <v/>
      </c>
      <c r="H34" s="85">
        <f>IF(AND($B34&lt;&gt;"",$B34='קבוצות'!$A$5),IF(H33="","",H33&amp;", ")&amp;$A34,H33)</f>
        <v/>
      </c>
      <c r="I34" s="85">
        <f>IF(AND($B34&lt;&gt;"",$B34='קבוצות'!$A$6),IF(I33="","",I33&amp;", ")&amp;$A34,I33)</f>
        <v/>
      </c>
      <c r="J34" s="85">
        <f>IF(AND($B34&lt;&gt;"",$B34='קבוצות'!$A$7),IF(J33="","",J33&amp;", ")&amp;$A34,J33)</f>
        <v/>
      </c>
      <c r="K34" s="85">
        <f>IF(AND($B34&lt;&gt;"",$B34='קבוצות'!$A$8),IF(K33="","",K33&amp;", ")&amp;$A34,K33)</f>
        <v/>
      </c>
    </row>
    <row r="35" ht="20" customHeight="1">
      <c r="A35" s="19" t="inlineStr">
        <is>
          <t>סהר שירון</t>
        </is>
      </c>
      <c r="B35" s="69" t="n"/>
      <c r="C35" s="69" t="n"/>
      <c r="D35" s="86" t="n"/>
      <c r="F35" s="85">
        <f>IF(AND($B35&lt;&gt;"",$B35='קבוצות'!$A$3),IF(F34="","",F34&amp;", ")&amp;$A35,F34)</f>
        <v/>
      </c>
      <c r="G35" s="85">
        <f>IF(AND($B35&lt;&gt;"",$B35='קבוצות'!$A$4),IF(G34="","",G34&amp;", ")&amp;$A35,G34)</f>
        <v/>
      </c>
      <c r="H35" s="85">
        <f>IF(AND($B35&lt;&gt;"",$B35='קבוצות'!$A$5),IF(H34="","",H34&amp;", ")&amp;$A35,H34)</f>
        <v/>
      </c>
      <c r="I35" s="85">
        <f>IF(AND($B35&lt;&gt;"",$B35='קבוצות'!$A$6),IF(I34="","",I34&amp;", ")&amp;$A35,I34)</f>
        <v/>
      </c>
      <c r="J35" s="85">
        <f>IF(AND($B35&lt;&gt;"",$B35='קבוצות'!$A$7),IF(J34="","",J34&amp;", ")&amp;$A35,J34)</f>
        <v/>
      </c>
      <c r="K35" s="85">
        <f>IF(AND($B35&lt;&gt;"",$B35='קבוצות'!$A$8),IF(K34="","",K34&amp;", ")&amp;$A35,K34)</f>
        <v/>
      </c>
    </row>
    <row r="36" ht="20" customHeight="1">
      <c r="A36" s="19" t="inlineStr">
        <is>
          <t>שירה ספונוב</t>
        </is>
      </c>
      <c r="B36" s="69" t="n"/>
      <c r="C36" s="69" t="n"/>
      <c r="D36" s="86" t="n"/>
      <c r="F36" s="85">
        <f>IF(AND($B36&lt;&gt;"",$B36='קבוצות'!$A$3),IF(F35="","",F35&amp;", ")&amp;$A36,F35)</f>
        <v/>
      </c>
      <c r="G36" s="85">
        <f>IF(AND($B36&lt;&gt;"",$B36='קבוצות'!$A$4),IF(G35="","",G35&amp;", ")&amp;$A36,G35)</f>
        <v/>
      </c>
      <c r="H36" s="85">
        <f>IF(AND($B36&lt;&gt;"",$B36='קבוצות'!$A$5),IF(H35="","",H35&amp;", ")&amp;$A36,H35)</f>
        <v/>
      </c>
      <c r="I36" s="85">
        <f>IF(AND($B36&lt;&gt;"",$B36='קבוצות'!$A$6),IF(I35="","",I35&amp;", ")&amp;$A36,I35)</f>
        <v/>
      </c>
      <c r="J36" s="85">
        <f>IF(AND($B36&lt;&gt;"",$B36='קבוצות'!$A$7),IF(J35="","",J35&amp;", ")&amp;$A36,J35)</f>
        <v/>
      </c>
      <c r="K36" s="85">
        <f>IF(AND($B36&lt;&gt;"",$B36='קבוצות'!$A$8),IF(K35="","",K35&amp;", ")&amp;$A36,K35)</f>
        <v/>
      </c>
    </row>
    <row r="37" ht="20" customHeight="1">
      <c r="A37" s="19" t="inlineStr">
        <is>
          <t>הלל פינגולד</t>
        </is>
      </c>
      <c r="B37" s="69" t="n"/>
      <c r="C37" s="69" t="n"/>
      <c r="D37" s="86" t="n"/>
      <c r="F37" s="85">
        <f>IF(AND($B37&lt;&gt;"",$B37='קבוצות'!$A$3),IF(F36="","",F36&amp;", ")&amp;$A37,F36)</f>
        <v/>
      </c>
      <c r="G37" s="85">
        <f>IF(AND($B37&lt;&gt;"",$B37='קבוצות'!$A$4),IF(G36="","",G36&amp;", ")&amp;$A37,G36)</f>
        <v/>
      </c>
      <c r="H37" s="85">
        <f>IF(AND($B37&lt;&gt;"",$B37='קבוצות'!$A$5),IF(H36="","",H36&amp;", ")&amp;$A37,H36)</f>
        <v/>
      </c>
      <c r="I37" s="85">
        <f>IF(AND($B37&lt;&gt;"",$B37='קבוצות'!$A$6),IF(I36="","",I36&amp;", ")&amp;$A37,I36)</f>
        <v/>
      </c>
      <c r="J37" s="85">
        <f>IF(AND($B37&lt;&gt;"",$B37='קבוצות'!$A$7),IF(J36="","",J36&amp;", ")&amp;$A37,J36)</f>
        <v/>
      </c>
      <c r="K37" s="85">
        <f>IF(AND($B37&lt;&gt;"",$B37='קבוצות'!$A$8),IF(K36="","",K36&amp;", ")&amp;$A37,K36)</f>
        <v/>
      </c>
    </row>
    <row r="38" ht="20" customHeight="1">
      <c r="A38" s="19" t="inlineStr">
        <is>
          <t>מישל דוד</t>
        </is>
      </c>
      <c r="B38" s="69" t="n"/>
      <c r="C38" s="69" t="n"/>
      <c r="D38" s="86" t="n"/>
      <c r="F38" s="85">
        <f>IF(AND($B38&lt;&gt;"",$B38='קבוצות'!$A$3),IF(F37="","",F37&amp;", ")&amp;$A38,F37)</f>
        <v/>
      </c>
      <c r="G38" s="85">
        <f>IF(AND($B38&lt;&gt;"",$B38='קבוצות'!$A$4),IF(G37="","",G37&amp;", ")&amp;$A38,G37)</f>
        <v/>
      </c>
      <c r="H38" s="85">
        <f>IF(AND($B38&lt;&gt;"",$B38='קבוצות'!$A$5),IF(H37="","",H37&amp;", ")&amp;$A38,H37)</f>
        <v/>
      </c>
      <c r="I38" s="85">
        <f>IF(AND($B38&lt;&gt;"",$B38='קבוצות'!$A$6),IF(I37="","",I37&amp;", ")&amp;$A38,I37)</f>
        <v/>
      </c>
      <c r="J38" s="85">
        <f>IF(AND($B38&lt;&gt;"",$B38='קבוצות'!$A$7),IF(J37="","",J37&amp;", ")&amp;$A38,J37)</f>
        <v/>
      </c>
      <c r="K38" s="85">
        <f>IF(AND($B38&lt;&gt;"",$B38='קבוצות'!$A$8),IF(K37="","",K37&amp;", ")&amp;$A38,K37)</f>
        <v/>
      </c>
    </row>
    <row r="39" ht="20" customHeight="1">
      <c r="A39" s="19" t="inlineStr">
        <is>
          <t>מעיין רחל דינר</t>
        </is>
      </c>
      <c r="B39" s="69" t="n"/>
      <c r="C39" s="69" t="n"/>
      <c r="D39" s="86" t="n"/>
      <c r="F39" s="85">
        <f>IF(AND($B39&lt;&gt;"",$B39='קבוצות'!$A$3),IF(F38="","",F38&amp;", ")&amp;$A39,F38)</f>
        <v/>
      </c>
      <c r="G39" s="85">
        <f>IF(AND($B39&lt;&gt;"",$B39='קבוצות'!$A$4),IF(G38="","",G38&amp;", ")&amp;$A39,G38)</f>
        <v/>
      </c>
      <c r="H39" s="85">
        <f>IF(AND($B39&lt;&gt;"",$B39='קבוצות'!$A$5),IF(H38="","",H38&amp;", ")&amp;$A39,H38)</f>
        <v/>
      </c>
      <c r="I39" s="85">
        <f>IF(AND($B39&lt;&gt;"",$B39='קבוצות'!$A$6),IF(I38="","",I38&amp;", ")&amp;$A39,I38)</f>
        <v/>
      </c>
      <c r="J39" s="85">
        <f>IF(AND($B39&lt;&gt;"",$B39='קבוצות'!$A$7),IF(J38="","",J38&amp;", ")&amp;$A39,J38)</f>
        <v/>
      </c>
      <c r="K39" s="85">
        <f>IF(AND($B39&lt;&gt;"",$B39='קבוצות'!$A$8),IF(K38="","",K38&amp;", ")&amp;$A39,K38)</f>
        <v/>
      </c>
    </row>
    <row r="40" ht="20" customHeight="1">
      <c r="A40" s="19" t="inlineStr">
        <is>
          <t>עמרי קולטון</t>
        </is>
      </c>
      <c r="B40" s="69" t="n"/>
      <c r="C40" s="69" t="n"/>
      <c r="D40" s="86" t="n"/>
      <c r="F40" s="85">
        <f>IF(AND($B40&lt;&gt;"",$B40='קבוצות'!$A$3),IF(F39="","",F39&amp;", ")&amp;$A40,F39)</f>
        <v/>
      </c>
      <c r="G40" s="85">
        <f>IF(AND($B40&lt;&gt;"",$B40='קבוצות'!$A$4),IF(G39="","",G39&amp;", ")&amp;$A40,G39)</f>
        <v/>
      </c>
      <c r="H40" s="85">
        <f>IF(AND($B40&lt;&gt;"",$B40='קבוצות'!$A$5),IF(H39="","",H39&amp;", ")&amp;$A40,H39)</f>
        <v/>
      </c>
      <c r="I40" s="85">
        <f>IF(AND($B40&lt;&gt;"",$B40='קבוצות'!$A$6),IF(I39="","",I39&amp;", ")&amp;$A40,I39)</f>
        <v/>
      </c>
      <c r="J40" s="85">
        <f>IF(AND($B40&lt;&gt;"",$B40='קבוצות'!$A$7),IF(J39="","",J39&amp;", ")&amp;$A40,J39)</f>
        <v/>
      </c>
      <c r="K40" s="85">
        <f>IF(AND($B40&lt;&gt;"",$B40='קבוצות'!$A$8),IF(K39="","",K39&amp;", ")&amp;$A40,K39)</f>
        <v/>
      </c>
    </row>
    <row r="41" ht="20" customHeight="1">
      <c r="A41" s="19" t="inlineStr">
        <is>
          <t>נגה חוה כהן</t>
        </is>
      </c>
      <c r="B41" s="69" t="n"/>
      <c r="C41" s="69" t="n"/>
      <c r="D41" s="86" t="n"/>
      <c r="F41" s="85">
        <f>IF(AND($B41&lt;&gt;"",$B41='קבוצות'!$A$3),IF(F40="","",F40&amp;", ")&amp;$A41,F40)</f>
        <v/>
      </c>
      <c r="G41" s="85">
        <f>IF(AND($B41&lt;&gt;"",$B41='קבוצות'!$A$4),IF(G40="","",G40&amp;", ")&amp;$A41,G40)</f>
        <v/>
      </c>
      <c r="H41" s="85">
        <f>IF(AND($B41&lt;&gt;"",$B41='קבוצות'!$A$5),IF(H40="","",H40&amp;", ")&amp;$A41,H40)</f>
        <v/>
      </c>
      <c r="I41" s="85">
        <f>IF(AND($B41&lt;&gt;"",$B41='קבוצות'!$A$6),IF(I40="","",I40&amp;", ")&amp;$A41,I40)</f>
        <v/>
      </c>
      <c r="J41" s="85">
        <f>IF(AND($B41&lt;&gt;"",$B41='קבוצות'!$A$7),IF(J40="","",J40&amp;", ")&amp;$A41,J40)</f>
        <v/>
      </c>
      <c r="K41" s="85">
        <f>IF(AND($B41&lt;&gt;"",$B41='קבוצות'!$A$8),IF(K40="","",K40&amp;", ")&amp;$A41,K40)</f>
        <v/>
      </c>
    </row>
    <row r="42" ht="20" customHeight="1">
      <c r="A42" s="19" t="inlineStr">
        <is>
          <t>קובי סמייסון</t>
        </is>
      </c>
      <c r="B42" s="69" t="n"/>
      <c r="C42" s="69" t="n"/>
      <c r="D42" s="86" t="n"/>
      <c r="F42" s="85">
        <f>IF(AND($B42&lt;&gt;"",$B42='קבוצות'!$A$3),IF(F41="","",F41&amp;", ")&amp;$A42,F41)</f>
        <v/>
      </c>
      <c r="G42" s="85">
        <f>IF(AND($B42&lt;&gt;"",$B42='קבוצות'!$A$4),IF(G41="","",G41&amp;", ")&amp;$A42,G41)</f>
        <v/>
      </c>
      <c r="H42" s="85">
        <f>IF(AND($B42&lt;&gt;"",$B42='קבוצות'!$A$5),IF(H41="","",H41&amp;", ")&amp;$A42,H41)</f>
        <v/>
      </c>
      <c r="I42" s="85">
        <f>IF(AND($B42&lt;&gt;"",$B42='קבוצות'!$A$6),IF(I41="","",I41&amp;", ")&amp;$A42,I41)</f>
        <v/>
      </c>
      <c r="J42" s="85">
        <f>IF(AND($B42&lt;&gt;"",$B42='קבוצות'!$A$7),IF(J41="","",J41&amp;", ")&amp;$A42,J41)</f>
        <v/>
      </c>
      <c r="K42" s="85">
        <f>IF(AND($B42&lt;&gt;"",$B42='קבוצות'!$A$8),IF(K41="","",K41&amp;", ")&amp;$A42,K41)</f>
        <v/>
      </c>
    </row>
    <row r="43" ht="20" customHeight="1">
      <c r="A43" s="19" t="inlineStr">
        <is>
          <t>נגה שוהם</t>
        </is>
      </c>
      <c r="B43" s="69" t="n"/>
      <c r="C43" s="69" t="n"/>
      <c r="D43" s="86" t="n"/>
      <c r="F43" s="85">
        <f>IF(AND($B43&lt;&gt;"",$B43='קבוצות'!$A$3),IF(F42="","",F42&amp;", ")&amp;$A43,F42)</f>
        <v/>
      </c>
      <c r="G43" s="85">
        <f>IF(AND($B43&lt;&gt;"",$B43='קבוצות'!$A$4),IF(G42="","",G42&amp;", ")&amp;$A43,G42)</f>
        <v/>
      </c>
      <c r="H43" s="85">
        <f>IF(AND($B43&lt;&gt;"",$B43='קבוצות'!$A$5),IF(H42="","",H42&amp;", ")&amp;$A43,H42)</f>
        <v/>
      </c>
      <c r="I43" s="85">
        <f>IF(AND($B43&lt;&gt;"",$B43='קבוצות'!$A$6),IF(I42="","",I42&amp;", ")&amp;$A43,I42)</f>
        <v/>
      </c>
      <c r="J43" s="85">
        <f>IF(AND($B43&lt;&gt;"",$B43='קבוצות'!$A$7),IF(J42="","",J42&amp;", ")&amp;$A43,J42)</f>
        <v/>
      </c>
      <c r="K43" s="85">
        <f>IF(AND($B43&lt;&gt;"",$B43='קבוצות'!$A$8),IF(K42="","",K42&amp;", ")&amp;$A43,K42)</f>
        <v/>
      </c>
    </row>
    <row r="44" ht="20" customHeight="1">
      <c r="A44" s="19" t="inlineStr">
        <is>
          <t>ינון לוי</t>
        </is>
      </c>
      <c r="B44" s="69" t="n"/>
      <c r="C44" s="69" t="n"/>
      <c r="D44" s="86" t="n"/>
      <c r="F44" s="85">
        <f>IF(AND($B44&lt;&gt;"",$B44='קבוצות'!$A$3),IF(F43="","",F43&amp;", ")&amp;$A44,F43)</f>
        <v/>
      </c>
      <c r="G44" s="85">
        <f>IF(AND($B44&lt;&gt;"",$B44='קבוצות'!$A$4),IF(G43="","",G43&amp;", ")&amp;$A44,G43)</f>
        <v/>
      </c>
      <c r="H44" s="85">
        <f>IF(AND($B44&lt;&gt;"",$B44='קבוצות'!$A$5),IF(H43="","",H43&amp;", ")&amp;$A44,H43)</f>
        <v/>
      </c>
      <c r="I44" s="85">
        <f>IF(AND($B44&lt;&gt;"",$B44='קבוצות'!$A$6),IF(I43="","",I43&amp;", ")&amp;$A44,I43)</f>
        <v/>
      </c>
      <c r="J44" s="85">
        <f>IF(AND($B44&lt;&gt;"",$B44='קבוצות'!$A$7),IF(J43="","",J43&amp;", ")&amp;$A44,J43)</f>
        <v/>
      </c>
      <c r="K44" s="85">
        <f>IF(AND($B44&lt;&gt;"",$B44='קבוצות'!$A$8),IF(K43="","",K43&amp;", ")&amp;$A44,K43)</f>
        <v/>
      </c>
    </row>
    <row r="45" ht="20" customHeight="1">
      <c r="A45" s="19" t="inlineStr">
        <is>
          <t>אייל ציגנלאוב</t>
        </is>
      </c>
      <c r="B45" s="69" t="n"/>
      <c r="C45" s="69" t="n"/>
      <c r="D45" s="86" t="n"/>
      <c r="F45" s="85">
        <f>IF(AND($B45&lt;&gt;"",$B45='קבוצות'!$A$3),IF(F44="","",F44&amp;", ")&amp;$A45,F44)</f>
        <v/>
      </c>
      <c r="G45" s="85">
        <f>IF(AND($B45&lt;&gt;"",$B45='קבוצות'!$A$4),IF(G44="","",G44&amp;", ")&amp;$A45,G44)</f>
        <v/>
      </c>
      <c r="H45" s="85">
        <f>IF(AND($B45&lt;&gt;"",$B45='קבוצות'!$A$5),IF(H44="","",H44&amp;", ")&amp;$A45,H44)</f>
        <v/>
      </c>
      <c r="I45" s="85">
        <f>IF(AND($B45&lt;&gt;"",$B45='קבוצות'!$A$6),IF(I44="","",I44&amp;", ")&amp;$A45,I44)</f>
        <v/>
      </c>
      <c r="J45" s="85">
        <f>IF(AND($B45&lt;&gt;"",$B45='קבוצות'!$A$7),IF(J44="","",J44&amp;", ")&amp;$A45,J44)</f>
        <v/>
      </c>
      <c r="K45" s="85">
        <f>IF(AND($B45&lt;&gt;"",$B45='קבוצות'!$A$8),IF(K44="","",K44&amp;", ")&amp;$A45,K44)</f>
        <v/>
      </c>
    </row>
    <row r="46" ht="20" customHeight="1">
      <c r="A46" s="19" t="inlineStr">
        <is>
          <t>אלה מאיר</t>
        </is>
      </c>
      <c r="B46" s="69" t="n"/>
      <c r="C46" s="69" t="n"/>
      <c r="D46" s="86" t="n"/>
      <c r="F46" s="85">
        <f>IF(AND($B46&lt;&gt;"",$B46='קבוצות'!$A$3),IF(F45="","",F45&amp;", ")&amp;$A46,F45)</f>
        <v/>
      </c>
      <c r="G46" s="85">
        <f>IF(AND($B46&lt;&gt;"",$B46='קבוצות'!$A$4),IF(G45="","",G45&amp;", ")&amp;$A46,G45)</f>
        <v/>
      </c>
      <c r="H46" s="85">
        <f>IF(AND($B46&lt;&gt;"",$B46='קבוצות'!$A$5),IF(H45="","",H45&amp;", ")&amp;$A46,H45)</f>
        <v/>
      </c>
      <c r="I46" s="85">
        <f>IF(AND($B46&lt;&gt;"",$B46='קבוצות'!$A$6),IF(I45="","",I45&amp;", ")&amp;$A46,I45)</f>
        <v/>
      </c>
      <c r="J46" s="85">
        <f>IF(AND($B46&lt;&gt;"",$B46='קבוצות'!$A$7),IF(J45="","",J45&amp;", ")&amp;$A46,J45)</f>
        <v/>
      </c>
      <c r="K46" s="85">
        <f>IF(AND($B46&lt;&gt;"",$B46='קבוצות'!$A$8),IF(K45="","",K45&amp;", ")&amp;$A46,K45)</f>
        <v/>
      </c>
    </row>
    <row r="47" ht="20" customHeight="1">
      <c r="A47" s="19" t="inlineStr">
        <is>
          <t>זואי כהן</t>
        </is>
      </c>
      <c r="B47" s="69" t="n"/>
      <c r="C47" s="69" t="n"/>
      <c r="D47" s="86" t="n"/>
      <c r="F47" s="85">
        <f>IF(AND($B47&lt;&gt;"",$B47='קבוצות'!$A$3),IF(F46="","",F46&amp;", ")&amp;$A47,F46)</f>
        <v/>
      </c>
      <c r="G47" s="85">
        <f>IF(AND($B47&lt;&gt;"",$B47='קבוצות'!$A$4),IF(G46="","",G46&amp;", ")&amp;$A47,G46)</f>
        <v/>
      </c>
      <c r="H47" s="85">
        <f>IF(AND($B47&lt;&gt;"",$B47='קבוצות'!$A$5),IF(H46="","",H46&amp;", ")&amp;$A47,H46)</f>
        <v/>
      </c>
      <c r="I47" s="85">
        <f>IF(AND($B47&lt;&gt;"",$B47='קבוצות'!$A$6),IF(I46="","",I46&amp;", ")&amp;$A47,I46)</f>
        <v/>
      </c>
      <c r="J47" s="85">
        <f>IF(AND($B47&lt;&gt;"",$B47='קבוצות'!$A$7),IF(J46="","",J46&amp;", ")&amp;$A47,J46)</f>
        <v/>
      </c>
      <c r="K47" s="85">
        <f>IF(AND($B47&lt;&gt;"",$B47='קבוצות'!$A$8),IF(K46="","",K46&amp;", ")&amp;$A47,K46)</f>
        <v/>
      </c>
    </row>
    <row r="48" ht="20" customHeight="1">
      <c r="A48" s="19" t="inlineStr">
        <is>
          <t>של״ו רובינשטיין</t>
        </is>
      </c>
      <c r="B48" s="69" t="n"/>
      <c r="C48" s="69" t="n"/>
      <c r="D48" s="86" t="n"/>
      <c r="F48" s="85">
        <f>IF(AND($B48&lt;&gt;"",$B48='קבוצות'!$A$3),IF(F47="","",F47&amp;", ")&amp;$A48,F47)</f>
        <v/>
      </c>
      <c r="G48" s="85">
        <f>IF(AND($B48&lt;&gt;"",$B48='קבוצות'!$A$4),IF(G47="","",G47&amp;", ")&amp;$A48,G47)</f>
        <v/>
      </c>
      <c r="H48" s="85">
        <f>IF(AND($B48&lt;&gt;"",$B48='קבוצות'!$A$5),IF(H47="","",H47&amp;", ")&amp;$A48,H47)</f>
        <v/>
      </c>
      <c r="I48" s="85">
        <f>IF(AND($B48&lt;&gt;"",$B48='קבוצות'!$A$6),IF(I47="","",I47&amp;", ")&amp;$A48,I47)</f>
        <v/>
      </c>
      <c r="J48" s="85">
        <f>IF(AND($B48&lt;&gt;"",$B48='קבוצות'!$A$7),IF(J47="","",J47&amp;", ")&amp;$A48,J47)</f>
        <v/>
      </c>
      <c r="K48" s="85">
        <f>IF(AND($B48&lt;&gt;"",$B48='קבוצות'!$A$8),IF(K47="","",K47&amp;", ")&amp;$A48,K47)</f>
        <v/>
      </c>
    </row>
    <row r="49" ht="20" customHeight="1">
      <c r="A49" s="19" t="inlineStr">
        <is>
          <t>כליל בלאוקופף</t>
        </is>
      </c>
      <c r="B49" s="69" t="n"/>
      <c r="C49" s="69" t="n"/>
      <c r="D49" s="86" t="n"/>
      <c r="F49" s="85">
        <f>IF(AND($B49&lt;&gt;"",$B49='קבוצות'!$A$3),IF(F48="","",F48&amp;", ")&amp;$A49,F48)</f>
        <v/>
      </c>
      <c r="G49" s="85">
        <f>IF(AND($B49&lt;&gt;"",$B49='קבוצות'!$A$4),IF(G48="","",G48&amp;", ")&amp;$A49,G48)</f>
        <v/>
      </c>
      <c r="H49" s="85">
        <f>IF(AND($B49&lt;&gt;"",$B49='קבוצות'!$A$5),IF(H48="","",H48&amp;", ")&amp;$A49,H48)</f>
        <v/>
      </c>
      <c r="I49" s="85">
        <f>IF(AND($B49&lt;&gt;"",$B49='קבוצות'!$A$6),IF(I48="","",I48&amp;", ")&amp;$A49,I48)</f>
        <v/>
      </c>
      <c r="J49" s="85">
        <f>IF(AND($B49&lt;&gt;"",$B49='קבוצות'!$A$7),IF(J48="","",J48&amp;", ")&amp;$A49,J48)</f>
        <v/>
      </c>
      <c r="K49" s="85">
        <f>IF(AND($B49&lt;&gt;"",$B49='קבוצות'!$A$8),IF(K48="","",K48&amp;", ")&amp;$A49,K48)</f>
        <v/>
      </c>
    </row>
    <row r="50" ht="20" customHeight="1">
      <c r="A50" s="19" t="inlineStr">
        <is>
          <t>רוני פרנקל</t>
        </is>
      </c>
      <c r="B50" s="69" t="n"/>
      <c r="C50" s="69" t="n"/>
      <c r="D50" s="86" t="n"/>
      <c r="F50" s="85">
        <f>IF(AND($B50&lt;&gt;"",$B50='קבוצות'!$A$3),IF(F49="","",F49&amp;", ")&amp;$A50,F49)</f>
        <v/>
      </c>
      <c r="G50" s="85">
        <f>IF(AND($B50&lt;&gt;"",$B50='קבוצות'!$A$4),IF(G49="","",G49&amp;", ")&amp;$A50,G49)</f>
        <v/>
      </c>
      <c r="H50" s="85">
        <f>IF(AND($B50&lt;&gt;"",$B50='קבוצות'!$A$5),IF(H49="","",H49&amp;", ")&amp;$A50,H49)</f>
        <v/>
      </c>
      <c r="I50" s="85">
        <f>IF(AND($B50&lt;&gt;"",$B50='קבוצות'!$A$6),IF(I49="","",I49&amp;", ")&amp;$A50,I49)</f>
        <v/>
      </c>
      <c r="J50" s="85">
        <f>IF(AND($B50&lt;&gt;"",$B50='קבוצות'!$A$7),IF(J49="","",J49&amp;", ")&amp;$A50,J49)</f>
        <v/>
      </c>
      <c r="K50" s="85">
        <f>IF(AND($B50&lt;&gt;"",$B50='קבוצות'!$A$8),IF(K49="","",K49&amp;", ")&amp;$A50,K49)</f>
        <v/>
      </c>
    </row>
    <row r="51" ht="20" customHeight="1">
      <c r="A51" s="19" t="inlineStr">
        <is>
          <t>נועם גלס</t>
        </is>
      </c>
      <c r="B51" s="69" t="n"/>
      <c r="C51" s="69" t="n"/>
      <c r="D51" s="86" t="n"/>
      <c r="F51" s="85">
        <f>IF(AND($B51&lt;&gt;"",$B51='קבוצות'!$A$3),IF(F50="","",F50&amp;", ")&amp;$A51,F50)</f>
        <v/>
      </c>
      <c r="G51" s="85">
        <f>IF(AND($B51&lt;&gt;"",$B51='קבוצות'!$A$4),IF(G50="","",G50&amp;", ")&amp;$A51,G50)</f>
        <v/>
      </c>
      <c r="H51" s="85">
        <f>IF(AND($B51&lt;&gt;"",$B51='קבוצות'!$A$5),IF(H50="","",H50&amp;", ")&amp;$A51,H50)</f>
        <v/>
      </c>
      <c r="I51" s="85">
        <f>IF(AND($B51&lt;&gt;"",$B51='קבוצות'!$A$6),IF(I50="","",I50&amp;", ")&amp;$A51,I50)</f>
        <v/>
      </c>
      <c r="J51" s="85">
        <f>IF(AND($B51&lt;&gt;"",$B51='קבוצות'!$A$7),IF(J50="","",J50&amp;", ")&amp;$A51,J50)</f>
        <v/>
      </c>
      <c r="K51" s="85">
        <f>IF(AND($B51&lt;&gt;"",$B51='קבוצות'!$A$8),IF(K50="","",K50&amp;", ")&amp;$A51,K50)</f>
        <v/>
      </c>
    </row>
    <row r="52" ht="20" customHeight="1">
      <c r="A52" s="19" t="inlineStr">
        <is>
          <t>הילה לביא</t>
        </is>
      </c>
      <c r="B52" s="69" t="n"/>
      <c r="C52" s="69" t="n"/>
      <c r="D52" s="86" t="n"/>
      <c r="F52" s="85">
        <f>IF(AND($B52&lt;&gt;"",$B52='קבוצות'!$A$3),IF(F51="","",F51&amp;", ")&amp;$A52,F51)</f>
        <v/>
      </c>
      <c r="G52" s="85">
        <f>IF(AND($B52&lt;&gt;"",$B52='קבוצות'!$A$4),IF(G51="","",G51&amp;", ")&amp;$A52,G51)</f>
        <v/>
      </c>
      <c r="H52" s="85">
        <f>IF(AND($B52&lt;&gt;"",$B52='קבוצות'!$A$5),IF(H51="","",H51&amp;", ")&amp;$A52,H51)</f>
        <v/>
      </c>
      <c r="I52" s="85">
        <f>IF(AND($B52&lt;&gt;"",$B52='קבוצות'!$A$6),IF(I51="","",I51&amp;", ")&amp;$A52,I51)</f>
        <v/>
      </c>
      <c r="J52" s="85">
        <f>IF(AND($B52&lt;&gt;"",$B52='קבוצות'!$A$7),IF(J51="","",J51&amp;", ")&amp;$A52,J51)</f>
        <v/>
      </c>
      <c r="K52" s="85">
        <f>IF(AND($B52&lt;&gt;"",$B52='קבוצות'!$A$8),IF(K51="","",K51&amp;", ")&amp;$A52,K51)</f>
        <v/>
      </c>
    </row>
    <row r="53" ht="20" customHeight="1">
      <c r="A53" s="19" t="inlineStr">
        <is>
          <t>עמית שי אברהם</t>
        </is>
      </c>
      <c r="B53" s="69" t="n"/>
      <c r="C53" s="69" t="n"/>
      <c r="D53" s="86" t="n"/>
      <c r="F53" s="85">
        <f>IF(AND($B53&lt;&gt;"",$B53='קבוצות'!$A$3),IF(F52="","",F52&amp;", ")&amp;$A53,F52)</f>
        <v/>
      </c>
      <c r="G53" s="85">
        <f>IF(AND($B53&lt;&gt;"",$B53='קבוצות'!$A$4),IF(G52="","",G52&amp;", ")&amp;$A53,G52)</f>
        <v/>
      </c>
      <c r="H53" s="85">
        <f>IF(AND($B53&lt;&gt;"",$B53='קבוצות'!$A$5),IF(H52="","",H52&amp;", ")&amp;$A53,H52)</f>
        <v/>
      </c>
      <c r="I53" s="85">
        <f>IF(AND($B53&lt;&gt;"",$B53='קבוצות'!$A$6),IF(I52="","",I52&amp;", ")&amp;$A53,I52)</f>
        <v/>
      </c>
      <c r="J53" s="85">
        <f>IF(AND($B53&lt;&gt;"",$B53='קבוצות'!$A$7),IF(J52="","",J52&amp;", ")&amp;$A53,J52)</f>
        <v/>
      </c>
      <c r="K53" s="85">
        <f>IF(AND($B53&lt;&gt;"",$B53='קבוצות'!$A$8),IF(K52="","",K52&amp;", ")&amp;$A53,K52)</f>
        <v/>
      </c>
    </row>
    <row r="54" ht="20" customHeight="1">
      <c r="A54" s="19" t="inlineStr">
        <is>
          <t>תמר פרימור</t>
        </is>
      </c>
      <c r="B54" s="69" t="n"/>
      <c r="C54" s="69" t="n"/>
      <c r="D54" s="86" t="n"/>
      <c r="F54" s="85">
        <f>IF(AND($B54&lt;&gt;"",$B54='קבוצות'!$A$3),IF(F53="","",F53&amp;", ")&amp;$A54,F53)</f>
        <v/>
      </c>
      <c r="G54" s="85">
        <f>IF(AND($B54&lt;&gt;"",$B54='קבוצות'!$A$4),IF(G53="","",G53&amp;", ")&amp;$A54,G53)</f>
        <v/>
      </c>
      <c r="H54" s="85">
        <f>IF(AND($B54&lt;&gt;"",$B54='קבוצות'!$A$5),IF(H53="","",H53&amp;", ")&amp;$A54,H53)</f>
        <v/>
      </c>
      <c r="I54" s="85">
        <f>IF(AND($B54&lt;&gt;"",$B54='קבוצות'!$A$6),IF(I53="","",I53&amp;", ")&amp;$A54,I53)</f>
        <v/>
      </c>
      <c r="J54" s="85">
        <f>IF(AND($B54&lt;&gt;"",$B54='קבוצות'!$A$7),IF(J53="","",J53&amp;", ")&amp;$A54,J53)</f>
        <v/>
      </c>
      <c r="K54" s="85">
        <f>IF(AND($B54&lt;&gt;"",$B54='קבוצות'!$A$8),IF(K53="","",K53&amp;", ")&amp;$A54,K53)</f>
        <v/>
      </c>
    </row>
    <row r="55" ht="20" customHeight="1">
      <c r="A55" s="19" t="inlineStr">
        <is>
          <t>נבו בלוך</t>
        </is>
      </c>
      <c r="B55" s="69" t="n"/>
      <c r="C55" s="69" t="n"/>
      <c r="D55" s="86" t="n"/>
      <c r="F55" s="85">
        <f>IF(AND($B55&lt;&gt;"",$B55='קבוצות'!$A$3),IF(F54="","",F54&amp;", ")&amp;$A55,F54)</f>
        <v/>
      </c>
      <c r="G55" s="85">
        <f>IF(AND($B55&lt;&gt;"",$B55='קבוצות'!$A$4),IF(G54="","",G54&amp;", ")&amp;$A55,G54)</f>
        <v/>
      </c>
      <c r="H55" s="85">
        <f>IF(AND($B55&lt;&gt;"",$B55='קבוצות'!$A$5),IF(H54="","",H54&amp;", ")&amp;$A55,H54)</f>
        <v/>
      </c>
      <c r="I55" s="85">
        <f>IF(AND($B55&lt;&gt;"",$B55='קבוצות'!$A$6),IF(I54="","",I54&amp;", ")&amp;$A55,I54)</f>
        <v/>
      </c>
      <c r="J55" s="85">
        <f>IF(AND($B55&lt;&gt;"",$B55='קבוצות'!$A$7),IF(J54="","",J54&amp;", ")&amp;$A55,J54)</f>
        <v/>
      </c>
      <c r="K55" s="85">
        <f>IF(AND($B55&lt;&gt;"",$B55='קבוצות'!$A$8),IF(K54="","",K54&amp;", ")&amp;$A55,K54)</f>
        <v/>
      </c>
    </row>
    <row r="56" ht="20" customHeight="1">
      <c r="A56" s="19" t="inlineStr">
        <is>
          <t>ארבל פרנקו</t>
        </is>
      </c>
      <c r="B56" s="69" t="n"/>
      <c r="C56" s="69" t="n"/>
      <c r="D56" s="86" t="n"/>
      <c r="F56" s="85">
        <f>IF(AND($B56&lt;&gt;"",$B56='קבוצות'!$A$3),IF(F55="","",F55&amp;", ")&amp;$A56,F55)</f>
        <v/>
      </c>
      <c r="G56" s="85">
        <f>IF(AND($B56&lt;&gt;"",$B56='קבוצות'!$A$4),IF(G55="","",G55&amp;", ")&amp;$A56,G55)</f>
        <v/>
      </c>
      <c r="H56" s="85">
        <f>IF(AND($B56&lt;&gt;"",$B56='קבוצות'!$A$5),IF(H55="","",H55&amp;", ")&amp;$A56,H55)</f>
        <v/>
      </c>
      <c r="I56" s="85">
        <f>IF(AND($B56&lt;&gt;"",$B56='קבוצות'!$A$6),IF(I55="","",I55&amp;", ")&amp;$A56,I55)</f>
        <v/>
      </c>
      <c r="J56" s="85">
        <f>IF(AND($B56&lt;&gt;"",$B56='קבוצות'!$A$7),IF(J55="","",J55&amp;", ")&amp;$A56,J55)</f>
        <v/>
      </c>
      <c r="K56" s="85">
        <f>IF(AND($B56&lt;&gt;"",$B56='קבוצות'!$A$8),IF(K55="","",K55&amp;", ")&amp;$A56,K55)</f>
        <v/>
      </c>
    </row>
    <row r="57" ht="20" customHeight="1">
      <c r="A57" s="19" t="inlineStr">
        <is>
          <t>יעל קהת</t>
        </is>
      </c>
      <c r="B57" s="69" t="n"/>
      <c r="C57" s="69" t="n"/>
      <c r="D57" s="86" t="n"/>
      <c r="F57" s="85">
        <f>IF(AND($B57&lt;&gt;"",$B57='קבוצות'!$A$3),IF(F56="","",F56&amp;", ")&amp;$A57,F56)</f>
        <v/>
      </c>
      <c r="G57" s="85">
        <f>IF(AND($B57&lt;&gt;"",$B57='קבוצות'!$A$4),IF(G56="","",G56&amp;", ")&amp;$A57,G56)</f>
        <v/>
      </c>
      <c r="H57" s="85">
        <f>IF(AND($B57&lt;&gt;"",$B57='קבוצות'!$A$5),IF(H56="","",H56&amp;", ")&amp;$A57,H56)</f>
        <v/>
      </c>
      <c r="I57" s="85">
        <f>IF(AND($B57&lt;&gt;"",$B57='קבוצות'!$A$6),IF(I56="","",I56&amp;", ")&amp;$A57,I56)</f>
        <v/>
      </c>
      <c r="J57" s="85">
        <f>IF(AND($B57&lt;&gt;"",$B57='קבוצות'!$A$7),IF(J56="","",J56&amp;", ")&amp;$A57,J56)</f>
        <v/>
      </c>
      <c r="K57" s="85">
        <f>IF(AND($B57&lt;&gt;"",$B57='קבוצות'!$A$8),IF(K56="","",K56&amp;", ")&amp;$A57,K56)</f>
        <v/>
      </c>
    </row>
    <row r="58" ht="20" customHeight="1">
      <c r="A58" s="19" t="inlineStr">
        <is>
          <t>יעל ברחד</t>
        </is>
      </c>
      <c r="B58" s="69" t="n"/>
      <c r="C58" s="69" t="n"/>
      <c r="D58" s="86" t="n"/>
      <c r="F58" s="85">
        <f>IF(AND($B58&lt;&gt;"",$B58='קבוצות'!$A$3),IF(F57="","",F57&amp;", ")&amp;$A58,F57)</f>
        <v/>
      </c>
      <c r="G58" s="85">
        <f>IF(AND($B58&lt;&gt;"",$B58='קבוצות'!$A$4),IF(G57="","",G57&amp;", ")&amp;$A58,G57)</f>
        <v/>
      </c>
      <c r="H58" s="85">
        <f>IF(AND($B58&lt;&gt;"",$B58='קבוצות'!$A$5),IF(H57="","",H57&amp;", ")&amp;$A58,H57)</f>
        <v/>
      </c>
      <c r="I58" s="85">
        <f>IF(AND($B58&lt;&gt;"",$B58='קבוצות'!$A$6),IF(I57="","",I57&amp;", ")&amp;$A58,I57)</f>
        <v/>
      </c>
      <c r="J58" s="85">
        <f>IF(AND($B58&lt;&gt;"",$B58='קבוצות'!$A$7),IF(J57="","",J57&amp;", ")&amp;$A58,J57)</f>
        <v/>
      </c>
      <c r="K58" s="85">
        <f>IF(AND($B58&lt;&gt;"",$B58='קבוצות'!$A$8),IF(K57="","",K57&amp;", ")&amp;$A58,K57)</f>
        <v/>
      </c>
    </row>
    <row r="59" ht="20" customHeight="1">
      <c r="A59" s="19" t="inlineStr">
        <is>
          <t>תמר פרידמן</t>
        </is>
      </c>
      <c r="B59" s="69" t="n"/>
      <c r="C59" s="69" t="n"/>
      <c r="D59" s="86" t="n"/>
      <c r="F59" s="85">
        <f>IF(AND($B59&lt;&gt;"",$B59='קבוצות'!$A$3),IF(F58="","",F58&amp;", ")&amp;$A59,F58)</f>
        <v/>
      </c>
      <c r="G59" s="85">
        <f>IF(AND($B59&lt;&gt;"",$B59='קבוצות'!$A$4),IF(G58="","",G58&amp;", ")&amp;$A59,G58)</f>
        <v/>
      </c>
      <c r="H59" s="85">
        <f>IF(AND($B59&lt;&gt;"",$B59='קבוצות'!$A$5),IF(H58="","",H58&amp;", ")&amp;$A59,H58)</f>
        <v/>
      </c>
      <c r="I59" s="85">
        <f>IF(AND($B59&lt;&gt;"",$B59='קבוצות'!$A$6),IF(I58="","",I58&amp;", ")&amp;$A59,I58)</f>
        <v/>
      </c>
      <c r="J59" s="85">
        <f>IF(AND($B59&lt;&gt;"",$B59='קבוצות'!$A$7),IF(J58="","",J58&amp;", ")&amp;$A59,J58)</f>
        <v/>
      </c>
      <c r="K59" s="85">
        <f>IF(AND($B59&lt;&gt;"",$B59='קבוצות'!$A$8),IF(K58="","",K58&amp;", ")&amp;$A59,K58)</f>
        <v/>
      </c>
    </row>
    <row r="60" ht="20" customHeight="1">
      <c r="A60" s="19" t="inlineStr">
        <is>
          <t>יותם ספיר</t>
        </is>
      </c>
      <c r="B60" s="69" t="n"/>
      <c r="C60" s="69" t="n"/>
      <c r="D60" s="86" t="n"/>
      <c r="F60" s="85">
        <f>IF(AND($B60&lt;&gt;"",$B60='קבוצות'!$A$3),IF(F59="","",F59&amp;", ")&amp;$A60,F59)</f>
        <v/>
      </c>
      <c r="G60" s="85">
        <f>IF(AND($B60&lt;&gt;"",$B60='קבוצות'!$A$4),IF(G59="","",G59&amp;", ")&amp;$A60,G59)</f>
        <v/>
      </c>
      <c r="H60" s="85">
        <f>IF(AND($B60&lt;&gt;"",$B60='קבוצות'!$A$5),IF(H59="","",H59&amp;", ")&amp;$A60,H59)</f>
        <v/>
      </c>
      <c r="I60" s="85">
        <f>IF(AND($B60&lt;&gt;"",$B60='קבוצות'!$A$6),IF(I59="","",I59&amp;", ")&amp;$A60,I59)</f>
        <v/>
      </c>
      <c r="J60" s="85">
        <f>IF(AND($B60&lt;&gt;"",$B60='קבוצות'!$A$7),IF(J59="","",J59&amp;", ")&amp;$A60,J59)</f>
        <v/>
      </c>
      <c r="K60" s="85">
        <f>IF(AND($B60&lt;&gt;"",$B60='קבוצות'!$A$8),IF(K59="","",K59&amp;", ")&amp;$A60,K59)</f>
        <v/>
      </c>
    </row>
    <row r="61" ht="20" customHeight="1">
      <c r="A61" s="19" t="inlineStr">
        <is>
          <t>איתמר אסנהיים</t>
        </is>
      </c>
      <c r="B61" s="69" t="n"/>
      <c r="C61" s="69" t="n"/>
      <c r="D61" s="86" t="n"/>
      <c r="F61" s="85">
        <f>IF(AND($B61&lt;&gt;"",$B61='קבוצות'!$A$3),IF(F60="","",F60&amp;", ")&amp;$A61,F60)</f>
        <v/>
      </c>
      <c r="G61" s="85">
        <f>IF(AND($B61&lt;&gt;"",$B61='קבוצות'!$A$4),IF(G60="","",G60&amp;", ")&amp;$A61,G60)</f>
        <v/>
      </c>
      <c r="H61" s="85">
        <f>IF(AND($B61&lt;&gt;"",$B61='קבוצות'!$A$5),IF(H60="","",H60&amp;", ")&amp;$A61,H60)</f>
        <v/>
      </c>
      <c r="I61" s="85">
        <f>IF(AND($B61&lt;&gt;"",$B61='קבוצות'!$A$6),IF(I60="","",I60&amp;", ")&amp;$A61,I60)</f>
        <v/>
      </c>
      <c r="J61" s="85">
        <f>IF(AND($B61&lt;&gt;"",$B61='קבוצות'!$A$7),IF(J60="","",J60&amp;", ")&amp;$A61,J60)</f>
        <v/>
      </c>
      <c r="K61" s="85">
        <f>IF(AND($B61&lt;&gt;"",$B61='קבוצות'!$A$8),IF(K60="","",K60&amp;", ")&amp;$A61,K60)</f>
        <v/>
      </c>
    </row>
    <row r="62" ht="20" customHeight="1">
      <c r="A62" s="19" t="inlineStr">
        <is>
          <t>שי- לי וולגמוט</t>
        </is>
      </c>
      <c r="B62" s="69" t="n"/>
      <c r="C62" s="69" t="n"/>
      <c r="D62" s="86" t="n"/>
      <c r="F62" s="85">
        <f>IF(AND($B62&lt;&gt;"",$B62='קבוצות'!$A$3),IF(F61="","",F61&amp;", ")&amp;$A62,F61)</f>
        <v/>
      </c>
      <c r="G62" s="85">
        <f>IF(AND($B62&lt;&gt;"",$B62='קבוצות'!$A$4),IF(G61="","",G61&amp;", ")&amp;$A62,G61)</f>
        <v/>
      </c>
      <c r="H62" s="85">
        <f>IF(AND($B62&lt;&gt;"",$B62='קבוצות'!$A$5),IF(H61="","",H61&amp;", ")&amp;$A62,H61)</f>
        <v/>
      </c>
      <c r="I62" s="85">
        <f>IF(AND($B62&lt;&gt;"",$B62='קבוצות'!$A$6),IF(I61="","",I61&amp;", ")&amp;$A62,I61)</f>
        <v/>
      </c>
      <c r="J62" s="85">
        <f>IF(AND($B62&lt;&gt;"",$B62='קבוצות'!$A$7),IF(J61="","",J61&amp;", ")&amp;$A62,J61)</f>
        <v/>
      </c>
      <c r="K62" s="85">
        <f>IF(AND($B62&lt;&gt;"",$B62='קבוצות'!$A$8),IF(K61="","",K61&amp;", ")&amp;$A62,K61)</f>
        <v/>
      </c>
    </row>
    <row r="63" ht="20" customHeight="1">
      <c r="A63" s="19" t="inlineStr">
        <is>
          <t>יהונתן קצב</t>
        </is>
      </c>
      <c r="B63" s="69" t="n"/>
      <c r="C63" s="69" t="n"/>
      <c r="D63" s="86" t="n"/>
      <c r="F63" s="85">
        <f>IF(AND($B63&lt;&gt;"",$B63='קבוצות'!$A$3),IF(F62="","",F62&amp;", ")&amp;$A63,F62)</f>
        <v/>
      </c>
      <c r="G63" s="85">
        <f>IF(AND($B63&lt;&gt;"",$B63='קבוצות'!$A$4),IF(G62="","",G62&amp;", ")&amp;$A63,G62)</f>
        <v/>
      </c>
      <c r="H63" s="85">
        <f>IF(AND($B63&lt;&gt;"",$B63='קבוצות'!$A$5),IF(H62="","",H62&amp;", ")&amp;$A63,H62)</f>
        <v/>
      </c>
      <c r="I63" s="85">
        <f>IF(AND($B63&lt;&gt;"",$B63='קבוצות'!$A$6),IF(I62="","",I62&amp;", ")&amp;$A63,I62)</f>
        <v/>
      </c>
      <c r="J63" s="85">
        <f>IF(AND($B63&lt;&gt;"",$B63='קבוצות'!$A$7),IF(J62="","",J62&amp;", ")&amp;$A63,J62)</f>
        <v/>
      </c>
      <c r="K63" s="85">
        <f>IF(AND($B63&lt;&gt;"",$B63='קבוצות'!$A$8),IF(K62="","",K62&amp;", ")&amp;$A63,K62)</f>
        <v/>
      </c>
    </row>
    <row r="64" ht="20" customHeight="1">
      <c r="A64" s="19" t="inlineStr">
        <is>
          <t>שילת פילפל</t>
        </is>
      </c>
      <c r="B64" s="69" t="n"/>
      <c r="C64" s="69" t="n"/>
      <c r="D64" s="86" t="n"/>
      <c r="F64" s="85">
        <f>IF(AND($B64&lt;&gt;"",$B64='קבוצות'!$A$3),IF(F63="","",F63&amp;", ")&amp;$A64,F63)</f>
        <v/>
      </c>
      <c r="G64" s="85">
        <f>IF(AND($B64&lt;&gt;"",$B64='קבוצות'!$A$4),IF(G63="","",G63&amp;", ")&amp;$A64,G63)</f>
        <v/>
      </c>
      <c r="H64" s="85">
        <f>IF(AND($B64&lt;&gt;"",$B64='קבוצות'!$A$5),IF(H63="","",H63&amp;", ")&amp;$A64,H63)</f>
        <v/>
      </c>
      <c r="I64" s="85">
        <f>IF(AND($B64&lt;&gt;"",$B64='קבוצות'!$A$6),IF(I63="","",I63&amp;", ")&amp;$A64,I63)</f>
        <v/>
      </c>
      <c r="J64" s="85">
        <f>IF(AND($B64&lt;&gt;"",$B64='קבוצות'!$A$7),IF(J63="","",J63&amp;", ")&amp;$A64,J63)</f>
        <v/>
      </c>
      <c r="K64" s="85">
        <f>IF(AND($B64&lt;&gt;"",$B64='קבוצות'!$A$8),IF(K63="","",K63&amp;", ")&amp;$A64,K63)</f>
        <v/>
      </c>
    </row>
    <row r="65" ht="20" customHeight="1">
      <c r="A65" s="19" t="inlineStr">
        <is>
          <t>נועם ישראל קומפאס</t>
        </is>
      </c>
      <c r="B65" s="69" t="n"/>
      <c r="C65" s="69" t="n"/>
      <c r="D65" s="86" t="n"/>
      <c r="F65" s="85">
        <f>IF(AND($B65&lt;&gt;"",$B65='קבוצות'!$A$3),IF(F64="","",F64&amp;", ")&amp;$A65,F64)</f>
        <v/>
      </c>
      <c r="G65" s="85">
        <f>IF(AND($B65&lt;&gt;"",$B65='קבוצות'!$A$4),IF(G64="","",G64&amp;", ")&amp;$A65,G64)</f>
        <v/>
      </c>
      <c r="H65" s="85">
        <f>IF(AND($B65&lt;&gt;"",$B65='קבוצות'!$A$5),IF(H64="","",H64&amp;", ")&amp;$A65,H64)</f>
        <v/>
      </c>
      <c r="I65" s="85">
        <f>IF(AND($B65&lt;&gt;"",$B65='קבוצות'!$A$6),IF(I64="","",I64&amp;", ")&amp;$A65,I64)</f>
        <v/>
      </c>
      <c r="J65" s="85">
        <f>IF(AND($B65&lt;&gt;"",$B65='קבוצות'!$A$7),IF(J64="","",J64&amp;", ")&amp;$A65,J64)</f>
        <v/>
      </c>
      <c r="K65" s="85">
        <f>IF(AND($B65&lt;&gt;"",$B65='קבוצות'!$A$8),IF(K64="","",K64&amp;", ")&amp;$A65,K64)</f>
        <v/>
      </c>
    </row>
    <row r="66" ht="20" customHeight="1">
      <c r="A66" s="19" t="inlineStr">
        <is>
          <t>רועי צבי סרי</t>
        </is>
      </c>
      <c r="B66" s="69" t="n"/>
      <c r="C66" s="69" t="n"/>
      <c r="D66" s="86" t="n"/>
      <c r="F66" s="85">
        <f>IF(AND($B66&lt;&gt;"",$B66='קבוצות'!$A$3),IF(F65="","",F65&amp;", ")&amp;$A66,F65)</f>
        <v/>
      </c>
      <c r="G66" s="85">
        <f>IF(AND($B66&lt;&gt;"",$B66='קבוצות'!$A$4),IF(G65="","",G65&amp;", ")&amp;$A66,G65)</f>
        <v/>
      </c>
      <c r="H66" s="85">
        <f>IF(AND($B66&lt;&gt;"",$B66='קבוצות'!$A$5),IF(H65="","",H65&amp;", ")&amp;$A66,H65)</f>
        <v/>
      </c>
      <c r="I66" s="85">
        <f>IF(AND($B66&lt;&gt;"",$B66='קבוצות'!$A$6),IF(I65="","",I65&amp;", ")&amp;$A66,I65)</f>
        <v/>
      </c>
      <c r="J66" s="85">
        <f>IF(AND($B66&lt;&gt;"",$B66='קבוצות'!$A$7),IF(J65="","",J65&amp;", ")&amp;$A66,J65)</f>
        <v/>
      </c>
      <c r="K66" s="85">
        <f>IF(AND($B66&lt;&gt;"",$B66='קבוצות'!$A$8),IF(K65="","",K65&amp;", ")&amp;$A66,K65)</f>
        <v/>
      </c>
    </row>
    <row r="67" ht="20" customHeight="1">
      <c r="A67" s="19" t="inlineStr">
        <is>
          <t>שירה אדלה לוזון</t>
        </is>
      </c>
      <c r="B67" s="69" t="n"/>
      <c r="C67" s="69" t="n"/>
      <c r="D67" s="86" t="n"/>
      <c r="F67" s="85">
        <f>IF(AND($B67&lt;&gt;"",$B67='קבוצות'!$A$3),IF(F66="","",F66&amp;", ")&amp;$A67,F66)</f>
        <v/>
      </c>
      <c r="G67" s="85">
        <f>IF(AND($B67&lt;&gt;"",$B67='קבוצות'!$A$4),IF(G66="","",G66&amp;", ")&amp;$A67,G66)</f>
        <v/>
      </c>
      <c r="H67" s="85">
        <f>IF(AND($B67&lt;&gt;"",$B67='קבוצות'!$A$5),IF(H66="","",H66&amp;", ")&amp;$A67,H66)</f>
        <v/>
      </c>
      <c r="I67" s="85">
        <f>IF(AND($B67&lt;&gt;"",$B67='קבוצות'!$A$6),IF(I66="","",I66&amp;", ")&amp;$A67,I66)</f>
        <v/>
      </c>
      <c r="J67" s="85">
        <f>IF(AND($B67&lt;&gt;"",$B67='קבוצות'!$A$7),IF(J66="","",J66&amp;", ")&amp;$A67,J66)</f>
        <v/>
      </c>
      <c r="K67" s="85">
        <f>IF(AND($B67&lt;&gt;"",$B67='קבוצות'!$A$8),IF(K66="","",K66&amp;", ")&amp;$A67,K66)</f>
        <v/>
      </c>
    </row>
    <row r="68" ht="20" customHeight="1">
      <c r="A68" s="19" t="inlineStr">
        <is>
          <t>איתן כהן</t>
        </is>
      </c>
      <c r="B68" s="69" t="n"/>
      <c r="C68" s="69" t="n"/>
      <c r="D68" s="86" t="n"/>
      <c r="F68" s="85">
        <f>IF(AND($B68&lt;&gt;"",$B68='קבוצות'!$A$3),IF(F67="","",F67&amp;", ")&amp;$A68,F67)</f>
        <v/>
      </c>
      <c r="G68" s="85">
        <f>IF(AND($B68&lt;&gt;"",$B68='קבוצות'!$A$4),IF(G67="","",G67&amp;", ")&amp;$A68,G67)</f>
        <v/>
      </c>
      <c r="H68" s="85">
        <f>IF(AND($B68&lt;&gt;"",$B68='קבוצות'!$A$5),IF(H67="","",H67&amp;", ")&amp;$A68,H67)</f>
        <v/>
      </c>
      <c r="I68" s="85">
        <f>IF(AND($B68&lt;&gt;"",$B68='קבוצות'!$A$6),IF(I67="","",I67&amp;", ")&amp;$A68,I67)</f>
        <v/>
      </c>
      <c r="J68" s="85">
        <f>IF(AND($B68&lt;&gt;"",$B68='קבוצות'!$A$7),IF(J67="","",J67&amp;", ")&amp;$A68,J67)</f>
        <v/>
      </c>
      <c r="K68" s="85">
        <f>IF(AND($B68&lt;&gt;"",$B68='קבוצות'!$A$8),IF(K67="","",K67&amp;", ")&amp;$A68,K67)</f>
        <v/>
      </c>
    </row>
    <row r="69" ht="20" customHeight="1">
      <c r="A69" s="19" t="inlineStr">
        <is>
          <t>אורי טילינגר</t>
        </is>
      </c>
      <c r="B69" s="69" t="n"/>
      <c r="C69" s="69" t="n"/>
      <c r="D69" s="86" t="n"/>
      <c r="F69" s="85">
        <f>IF(AND($B69&lt;&gt;"",$B69='קבוצות'!$A$3),IF(F68="","",F68&amp;", ")&amp;$A69,F68)</f>
        <v/>
      </c>
      <c r="G69" s="85">
        <f>IF(AND($B69&lt;&gt;"",$B69='קבוצות'!$A$4),IF(G68="","",G68&amp;", ")&amp;$A69,G68)</f>
        <v/>
      </c>
      <c r="H69" s="85">
        <f>IF(AND($B69&lt;&gt;"",$B69='קבוצות'!$A$5),IF(H68="","",H68&amp;", ")&amp;$A69,H68)</f>
        <v/>
      </c>
      <c r="I69" s="85">
        <f>IF(AND($B69&lt;&gt;"",$B69='קבוצות'!$A$6),IF(I68="","",I68&amp;", ")&amp;$A69,I68)</f>
        <v/>
      </c>
      <c r="J69" s="85">
        <f>IF(AND($B69&lt;&gt;"",$B69='קבוצות'!$A$7),IF(J68="","",J68&amp;", ")&amp;$A69,J68)</f>
        <v/>
      </c>
      <c r="K69" s="85">
        <f>IF(AND($B69&lt;&gt;"",$B69='קבוצות'!$A$8),IF(K68="","",K68&amp;", ")&amp;$A69,K68)</f>
        <v/>
      </c>
    </row>
    <row r="70" ht="20" customHeight="1">
      <c r="A70" s="19" t="inlineStr">
        <is>
          <t>איתי בן מנחם</t>
        </is>
      </c>
      <c r="B70" s="69" t="n"/>
      <c r="C70" s="69" t="n"/>
      <c r="D70" s="86" t="n"/>
      <c r="F70" s="85">
        <f>IF(AND($B70&lt;&gt;"",$B70='קבוצות'!$A$3),IF(F69="","",F69&amp;", ")&amp;$A70,F69)</f>
        <v/>
      </c>
      <c r="G70" s="85">
        <f>IF(AND($B70&lt;&gt;"",$B70='קבוצות'!$A$4),IF(G69="","",G69&amp;", ")&amp;$A70,G69)</f>
        <v/>
      </c>
      <c r="H70" s="85">
        <f>IF(AND($B70&lt;&gt;"",$B70='קבוצות'!$A$5),IF(H69="","",H69&amp;", ")&amp;$A70,H69)</f>
        <v/>
      </c>
      <c r="I70" s="85">
        <f>IF(AND($B70&lt;&gt;"",$B70='קבוצות'!$A$6),IF(I69="","",I69&amp;", ")&amp;$A70,I69)</f>
        <v/>
      </c>
      <c r="J70" s="85">
        <f>IF(AND($B70&lt;&gt;"",$B70='קבוצות'!$A$7),IF(J69="","",J69&amp;", ")&amp;$A70,J69)</f>
        <v/>
      </c>
      <c r="K70" s="85">
        <f>IF(AND($B70&lt;&gt;"",$B70='קבוצות'!$A$8),IF(K69="","",K69&amp;", ")&amp;$A70,K69)</f>
        <v/>
      </c>
    </row>
    <row r="71" ht="20" customHeight="1">
      <c r="A71" s="19" t="inlineStr">
        <is>
          <t>לוי יצחק יונגר</t>
        </is>
      </c>
      <c r="B71" s="69" t="n"/>
      <c r="C71" s="69" t="n"/>
      <c r="D71" s="86" t="n"/>
      <c r="F71" s="85">
        <f>IF(AND($B71&lt;&gt;"",$B71='קבוצות'!$A$3),IF(F70="","",F70&amp;", ")&amp;$A71,F70)</f>
        <v/>
      </c>
      <c r="G71" s="85">
        <f>IF(AND($B71&lt;&gt;"",$B71='קבוצות'!$A$4),IF(G70="","",G70&amp;", ")&amp;$A71,G70)</f>
        <v/>
      </c>
      <c r="H71" s="85">
        <f>IF(AND($B71&lt;&gt;"",$B71='קבוצות'!$A$5),IF(H70="","",H70&amp;", ")&amp;$A71,H70)</f>
        <v/>
      </c>
      <c r="I71" s="85">
        <f>IF(AND($B71&lt;&gt;"",$B71='קבוצות'!$A$6),IF(I70="","",I70&amp;", ")&amp;$A71,I70)</f>
        <v/>
      </c>
      <c r="J71" s="85">
        <f>IF(AND($B71&lt;&gt;"",$B71='קבוצות'!$A$7),IF(J70="","",J70&amp;", ")&amp;$A71,J70)</f>
        <v/>
      </c>
      <c r="K71" s="85">
        <f>IF(AND($B71&lt;&gt;"",$B71='קבוצות'!$A$8),IF(K70="","",K70&amp;", ")&amp;$A71,K70)</f>
        <v/>
      </c>
    </row>
    <row r="72" ht="20" customHeight="1">
      <c r="A72" s="19" t="inlineStr">
        <is>
          <t>טליה קור</t>
        </is>
      </c>
      <c r="B72" s="69" t="n"/>
      <c r="C72" s="69" t="n"/>
      <c r="D72" s="86" t="n"/>
      <c r="F72" s="85">
        <f>IF(AND($B72&lt;&gt;"",$B72='קבוצות'!$A$3),IF(F71="","",F71&amp;", ")&amp;$A72,F71)</f>
        <v/>
      </c>
      <c r="G72" s="85">
        <f>IF(AND($B72&lt;&gt;"",$B72='קבוצות'!$A$4),IF(G71="","",G71&amp;", ")&amp;$A72,G71)</f>
        <v/>
      </c>
      <c r="H72" s="85">
        <f>IF(AND($B72&lt;&gt;"",$B72='קבוצות'!$A$5),IF(H71="","",H71&amp;", ")&amp;$A72,H71)</f>
        <v/>
      </c>
      <c r="I72" s="85">
        <f>IF(AND($B72&lt;&gt;"",$B72='קבוצות'!$A$6),IF(I71="","",I71&amp;", ")&amp;$A72,I71)</f>
        <v/>
      </c>
      <c r="J72" s="85">
        <f>IF(AND($B72&lt;&gt;"",$B72='קבוצות'!$A$7),IF(J71="","",J71&amp;", ")&amp;$A72,J71)</f>
        <v/>
      </c>
      <c r="K72" s="85">
        <f>IF(AND($B72&lt;&gt;"",$B72='קבוצות'!$A$8),IF(K71="","",K71&amp;", ")&amp;$A72,K71)</f>
        <v/>
      </c>
    </row>
    <row r="73" ht="20" customHeight="1">
      <c r="A73" s="19" t="inlineStr">
        <is>
          <t>ניצן גמלא</t>
        </is>
      </c>
      <c r="B73" s="69" t="n"/>
      <c r="C73" s="69" t="n"/>
      <c r="D73" s="86" t="n"/>
      <c r="F73" s="85">
        <f>IF(AND($B73&lt;&gt;"",$B73='קבוצות'!$A$3),IF(F72="","",F72&amp;", ")&amp;$A73,F72)</f>
        <v/>
      </c>
      <c r="G73" s="85">
        <f>IF(AND($B73&lt;&gt;"",$B73='קבוצות'!$A$4),IF(G72="","",G72&amp;", ")&amp;$A73,G72)</f>
        <v/>
      </c>
      <c r="H73" s="85">
        <f>IF(AND($B73&lt;&gt;"",$B73='קבוצות'!$A$5),IF(H72="","",H72&amp;", ")&amp;$A73,H72)</f>
        <v/>
      </c>
      <c r="I73" s="85">
        <f>IF(AND($B73&lt;&gt;"",$B73='קבוצות'!$A$6),IF(I72="","",I72&amp;", ")&amp;$A73,I72)</f>
        <v/>
      </c>
      <c r="J73" s="85">
        <f>IF(AND($B73&lt;&gt;"",$B73='קבוצות'!$A$7),IF(J72="","",J72&amp;", ")&amp;$A73,J72)</f>
        <v/>
      </c>
      <c r="K73" s="85">
        <f>IF(AND($B73&lt;&gt;"",$B73='קבוצות'!$A$8),IF(K72="","",K72&amp;", ")&amp;$A73,K72)</f>
        <v/>
      </c>
    </row>
    <row r="74" ht="20" customHeight="1">
      <c r="A74" s="19" t="inlineStr">
        <is>
          <t>אביב רוזנטל</t>
        </is>
      </c>
      <c r="B74" s="69" t="n"/>
      <c r="C74" s="69" t="n"/>
      <c r="D74" s="86" t="n"/>
      <c r="F74" s="85">
        <f>IF(AND($B74&lt;&gt;"",$B74='קבוצות'!$A$3),IF(F73="","",F73&amp;", ")&amp;$A74,F73)</f>
        <v/>
      </c>
      <c r="G74" s="85">
        <f>IF(AND($B74&lt;&gt;"",$B74='קבוצות'!$A$4),IF(G73="","",G73&amp;", ")&amp;$A74,G73)</f>
        <v/>
      </c>
      <c r="H74" s="85">
        <f>IF(AND($B74&lt;&gt;"",$B74='קבוצות'!$A$5),IF(H73="","",H73&amp;", ")&amp;$A74,H73)</f>
        <v/>
      </c>
      <c r="I74" s="85">
        <f>IF(AND($B74&lt;&gt;"",$B74='קבוצות'!$A$6),IF(I73="","",I73&amp;", ")&amp;$A74,I73)</f>
        <v/>
      </c>
      <c r="J74" s="85">
        <f>IF(AND($B74&lt;&gt;"",$B74='קבוצות'!$A$7),IF(J73="","",J73&amp;", ")&amp;$A74,J73)</f>
        <v/>
      </c>
      <c r="K74" s="85">
        <f>IF(AND($B74&lt;&gt;"",$B74='קבוצות'!$A$8),IF(K73="","",K73&amp;", ")&amp;$A74,K73)</f>
        <v/>
      </c>
    </row>
    <row r="75" ht="20" customHeight="1">
      <c r="A75" s="19" t="inlineStr">
        <is>
          <t>אביה וייל</t>
        </is>
      </c>
      <c r="B75" s="69" t="n"/>
      <c r="C75" s="69" t="n"/>
      <c r="D75" s="86" t="n"/>
      <c r="F75" s="85">
        <f>IF(AND($B75&lt;&gt;"",$B75='קבוצות'!$A$3),IF(F74="","",F74&amp;", ")&amp;$A75,F74)</f>
        <v/>
      </c>
      <c r="G75" s="85">
        <f>IF(AND($B75&lt;&gt;"",$B75='קבוצות'!$A$4),IF(G74="","",G74&amp;", ")&amp;$A75,G74)</f>
        <v/>
      </c>
      <c r="H75" s="85">
        <f>IF(AND($B75&lt;&gt;"",$B75='קבוצות'!$A$5),IF(H74="","",H74&amp;", ")&amp;$A75,H74)</f>
        <v/>
      </c>
      <c r="I75" s="85">
        <f>IF(AND($B75&lt;&gt;"",$B75='קבוצות'!$A$6),IF(I74="","",I74&amp;", ")&amp;$A75,I74)</f>
        <v/>
      </c>
      <c r="J75" s="85">
        <f>IF(AND($B75&lt;&gt;"",$B75='קבוצות'!$A$7),IF(J74="","",J74&amp;", ")&amp;$A75,J74)</f>
        <v/>
      </c>
      <c r="K75" s="85">
        <f>IF(AND($B75&lt;&gt;"",$B75='קבוצות'!$A$8),IF(K74="","",K74&amp;", ")&amp;$A75,K74)</f>
        <v/>
      </c>
    </row>
    <row r="76" ht="20" customHeight="1">
      <c r="A76" s="19" t="inlineStr">
        <is>
          <t>אורי אסף</t>
        </is>
      </c>
      <c r="B76" s="69" t="n"/>
      <c r="C76" s="69" t="n"/>
      <c r="D76" s="86" t="n"/>
      <c r="F76" s="85">
        <f>IF(AND($B76&lt;&gt;"",$B76='קבוצות'!$A$3),IF(F75="","",F75&amp;", ")&amp;$A76,F75)</f>
        <v/>
      </c>
      <c r="G76" s="85">
        <f>IF(AND($B76&lt;&gt;"",$B76='קבוצות'!$A$4),IF(G75="","",G75&amp;", ")&amp;$A76,G75)</f>
        <v/>
      </c>
      <c r="H76" s="85">
        <f>IF(AND($B76&lt;&gt;"",$B76='קבוצות'!$A$5),IF(H75="","",H75&amp;", ")&amp;$A76,H75)</f>
        <v/>
      </c>
      <c r="I76" s="85">
        <f>IF(AND($B76&lt;&gt;"",$B76='קבוצות'!$A$6),IF(I75="","",I75&amp;", ")&amp;$A76,I75)</f>
        <v/>
      </c>
      <c r="J76" s="85">
        <f>IF(AND($B76&lt;&gt;"",$B76='קבוצות'!$A$7),IF(J75="","",J75&amp;", ")&amp;$A76,J75)</f>
        <v/>
      </c>
      <c r="K76" s="85">
        <f>IF(AND($B76&lt;&gt;"",$B76='קבוצות'!$A$8),IF(K75="","",K75&amp;", ")&amp;$A76,K75)</f>
        <v/>
      </c>
    </row>
    <row r="77" ht="20" customHeight="1">
      <c r="A77" s="19" t="inlineStr">
        <is>
          <t>איתי גוסטינר</t>
        </is>
      </c>
      <c r="B77" s="69" t="n"/>
      <c r="C77" s="69" t="n"/>
      <c r="D77" s="86" t="n"/>
      <c r="F77" s="85">
        <f>IF(AND($B77&lt;&gt;"",$B77='קבוצות'!$A$3),IF(F76="","",F76&amp;", ")&amp;$A77,F76)</f>
        <v/>
      </c>
      <c r="G77" s="85">
        <f>IF(AND($B77&lt;&gt;"",$B77='קבוצות'!$A$4),IF(G76="","",G76&amp;", ")&amp;$A77,G76)</f>
        <v/>
      </c>
      <c r="H77" s="85">
        <f>IF(AND($B77&lt;&gt;"",$B77='קבוצות'!$A$5),IF(H76="","",H76&amp;", ")&amp;$A77,H76)</f>
        <v/>
      </c>
      <c r="I77" s="85">
        <f>IF(AND($B77&lt;&gt;"",$B77='קבוצות'!$A$6),IF(I76="","",I76&amp;", ")&amp;$A77,I76)</f>
        <v/>
      </c>
      <c r="J77" s="85">
        <f>IF(AND($B77&lt;&gt;"",$B77='קבוצות'!$A$7),IF(J76="","",J76&amp;", ")&amp;$A77,J76)</f>
        <v/>
      </c>
      <c r="K77" s="85">
        <f>IF(AND($B77&lt;&gt;"",$B77='קבוצות'!$A$8),IF(K76="","",K76&amp;", ")&amp;$A77,K76)</f>
        <v/>
      </c>
    </row>
    <row r="78" ht="20" customHeight="1">
      <c r="A78" s="19" t="inlineStr">
        <is>
          <t>איתי רוס</t>
        </is>
      </c>
      <c r="B78" s="69" t="n"/>
      <c r="C78" s="69" t="n"/>
      <c r="D78" s="86" t="n"/>
      <c r="F78" s="85">
        <f>IF(AND($B78&lt;&gt;"",$B78='קבוצות'!$A$3),IF(F77="","",F77&amp;", ")&amp;$A78,F77)</f>
        <v/>
      </c>
      <c r="G78" s="85">
        <f>IF(AND($B78&lt;&gt;"",$B78='קבוצות'!$A$4),IF(G77="","",G77&amp;", ")&amp;$A78,G77)</f>
        <v/>
      </c>
      <c r="H78" s="85">
        <f>IF(AND($B78&lt;&gt;"",$B78='קבוצות'!$A$5),IF(H77="","",H77&amp;", ")&amp;$A78,H77)</f>
        <v/>
      </c>
      <c r="I78" s="85">
        <f>IF(AND($B78&lt;&gt;"",$B78='קבוצות'!$A$6),IF(I77="","",I77&amp;", ")&amp;$A78,I77)</f>
        <v/>
      </c>
      <c r="J78" s="85">
        <f>IF(AND($B78&lt;&gt;"",$B78='קבוצות'!$A$7),IF(J77="","",J77&amp;", ")&amp;$A78,J77)</f>
        <v/>
      </c>
      <c r="K78" s="85">
        <f>IF(AND($B78&lt;&gt;"",$B78='קבוצות'!$A$8),IF(K77="","",K77&amp;", ")&amp;$A78,K77)</f>
        <v/>
      </c>
    </row>
    <row r="79" ht="20" customHeight="1">
      <c r="A79" s="19" t="inlineStr">
        <is>
          <t>אלון דיין</t>
        </is>
      </c>
      <c r="B79" s="69" t="n"/>
      <c r="C79" s="69" t="n"/>
      <c r="D79" s="86" t="n"/>
      <c r="F79" s="85">
        <f>IF(AND($B79&lt;&gt;"",$B79='קבוצות'!$A$3),IF(F78="","",F78&amp;", ")&amp;$A79,F78)</f>
        <v/>
      </c>
      <c r="G79" s="85">
        <f>IF(AND($B79&lt;&gt;"",$B79='קבוצות'!$A$4),IF(G78="","",G78&amp;", ")&amp;$A79,G78)</f>
        <v/>
      </c>
      <c r="H79" s="85">
        <f>IF(AND($B79&lt;&gt;"",$B79='קבוצות'!$A$5),IF(H78="","",H78&amp;", ")&amp;$A79,H78)</f>
        <v/>
      </c>
      <c r="I79" s="85">
        <f>IF(AND($B79&lt;&gt;"",$B79='קבוצות'!$A$6),IF(I78="","",I78&amp;", ")&amp;$A79,I78)</f>
        <v/>
      </c>
      <c r="J79" s="85">
        <f>IF(AND($B79&lt;&gt;"",$B79='קבוצות'!$A$7),IF(J78="","",J78&amp;", ")&amp;$A79,J78)</f>
        <v/>
      </c>
      <c r="K79" s="85">
        <f>IF(AND($B79&lt;&gt;"",$B79='קבוצות'!$A$8),IF(K78="","",K78&amp;", ")&amp;$A79,K78)</f>
        <v/>
      </c>
    </row>
    <row r="80" ht="20" customHeight="1">
      <c r="A80" s="19" t="inlineStr">
        <is>
          <t>דנה שם טוב</t>
        </is>
      </c>
      <c r="B80" s="69" t="n"/>
      <c r="C80" s="69" t="n"/>
      <c r="D80" s="86" t="n"/>
      <c r="F80" s="85">
        <f>IF(AND($B80&lt;&gt;"",$B80='קבוצות'!$A$3),IF(F79="","",F79&amp;", ")&amp;$A80,F79)</f>
        <v/>
      </c>
      <c r="G80" s="85">
        <f>IF(AND($B80&lt;&gt;"",$B80='קבוצות'!$A$4),IF(G79="","",G79&amp;", ")&amp;$A80,G79)</f>
        <v/>
      </c>
      <c r="H80" s="85">
        <f>IF(AND($B80&lt;&gt;"",$B80='קבוצות'!$A$5),IF(H79="","",H79&amp;", ")&amp;$A80,H79)</f>
        <v/>
      </c>
      <c r="I80" s="85">
        <f>IF(AND($B80&lt;&gt;"",$B80='קבוצות'!$A$6),IF(I79="","",I79&amp;", ")&amp;$A80,I79)</f>
        <v/>
      </c>
      <c r="J80" s="85">
        <f>IF(AND($B80&lt;&gt;"",$B80='קבוצות'!$A$7),IF(J79="","",J79&amp;", ")&amp;$A80,J79)</f>
        <v/>
      </c>
      <c r="K80" s="85">
        <f>IF(AND($B80&lt;&gt;"",$B80='קבוצות'!$A$8),IF(K79="","",K79&amp;", ")&amp;$A80,K79)</f>
        <v/>
      </c>
    </row>
    <row r="81" ht="20" customHeight="1">
      <c r="A81" s="19" t="inlineStr">
        <is>
          <t>יאר אלפסי</t>
        </is>
      </c>
      <c r="B81" s="69" t="n"/>
      <c r="C81" s="69" t="n"/>
      <c r="D81" s="86" t="n"/>
      <c r="F81" s="85">
        <f>IF(AND($B81&lt;&gt;"",$B81='קבוצות'!$A$3),IF(F80="","",F80&amp;", ")&amp;$A81,F80)</f>
        <v/>
      </c>
      <c r="G81" s="85">
        <f>IF(AND($B81&lt;&gt;"",$B81='קבוצות'!$A$4),IF(G80="","",G80&amp;", ")&amp;$A81,G80)</f>
        <v/>
      </c>
      <c r="H81" s="85">
        <f>IF(AND($B81&lt;&gt;"",$B81='קבוצות'!$A$5),IF(H80="","",H80&amp;", ")&amp;$A81,H80)</f>
        <v/>
      </c>
      <c r="I81" s="85">
        <f>IF(AND($B81&lt;&gt;"",$B81='קבוצות'!$A$6),IF(I80="","",I80&amp;", ")&amp;$A81,I80)</f>
        <v/>
      </c>
      <c r="J81" s="85">
        <f>IF(AND($B81&lt;&gt;"",$B81='קבוצות'!$A$7),IF(J80="","",J80&amp;", ")&amp;$A81,J80)</f>
        <v/>
      </c>
      <c r="K81" s="85">
        <f>IF(AND($B81&lt;&gt;"",$B81='קבוצות'!$A$8),IF(K80="","",K80&amp;", ")&amp;$A81,K80)</f>
        <v/>
      </c>
    </row>
    <row r="82" ht="20" customHeight="1">
      <c r="A82" s="19" t="inlineStr">
        <is>
          <t>יערה ריס</t>
        </is>
      </c>
      <c r="B82" s="69" t="n"/>
      <c r="C82" s="69" t="n"/>
      <c r="D82" s="86" t="n"/>
      <c r="F82" s="85">
        <f>IF(AND($B82&lt;&gt;"",$B82='קבוצות'!$A$3),IF(F81="","",F81&amp;", ")&amp;$A82,F81)</f>
        <v/>
      </c>
      <c r="G82" s="85">
        <f>IF(AND($B82&lt;&gt;"",$B82='קבוצות'!$A$4),IF(G81="","",G81&amp;", ")&amp;$A82,G81)</f>
        <v/>
      </c>
      <c r="H82" s="85">
        <f>IF(AND($B82&lt;&gt;"",$B82='קבוצות'!$A$5),IF(H81="","",H81&amp;", ")&amp;$A82,H81)</f>
        <v/>
      </c>
      <c r="I82" s="85">
        <f>IF(AND($B82&lt;&gt;"",$B82='קבוצות'!$A$6),IF(I81="","",I81&amp;", ")&amp;$A82,I81)</f>
        <v/>
      </c>
      <c r="J82" s="85">
        <f>IF(AND($B82&lt;&gt;"",$B82='קבוצות'!$A$7),IF(J81="","",J81&amp;", ")&amp;$A82,J81)</f>
        <v/>
      </c>
      <c r="K82" s="85">
        <f>IF(AND($B82&lt;&gt;"",$B82='קבוצות'!$A$8),IF(K81="","",K81&amp;", ")&amp;$A82,K81)</f>
        <v/>
      </c>
    </row>
    <row r="83" ht="20" customHeight="1">
      <c r="A83" s="19" t="inlineStr">
        <is>
          <t>ליאור שימרלינג</t>
        </is>
      </c>
      <c r="B83" s="69" t="n"/>
      <c r="C83" s="69" t="n"/>
      <c r="D83" s="86" t="n"/>
      <c r="F83" s="85">
        <f>IF(AND($B83&lt;&gt;"",$B83='קבוצות'!$A$3),IF(F82="","",F82&amp;", ")&amp;$A83,F82)</f>
        <v/>
      </c>
      <c r="G83" s="85">
        <f>IF(AND($B83&lt;&gt;"",$B83='קבוצות'!$A$4),IF(G82="","",G82&amp;", ")&amp;$A83,G82)</f>
        <v/>
      </c>
      <c r="H83" s="85">
        <f>IF(AND($B83&lt;&gt;"",$B83='קבוצות'!$A$5),IF(H82="","",H82&amp;", ")&amp;$A83,H82)</f>
        <v/>
      </c>
      <c r="I83" s="85">
        <f>IF(AND($B83&lt;&gt;"",$B83='קבוצות'!$A$6),IF(I82="","",I82&amp;", ")&amp;$A83,I82)</f>
        <v/>
      </c>
      <c r="J83" s="85">
        <f>IF(AND($B83&lt;&gt;"",$B83='קבוצות'!$A$7),IF(J82="","",J82&amp;", ")&amp;$A83,J82)</f>
        <v/>
      </c>
      <c r="K83" s="85">
        <f>IF(AND($B83&lt;&gt;"",$B83='קבוצות'!$A$8),IF(K82="","",K82&amp;", ")&amp;$A83,K82)</f>
        <v/>
      </c>
    </row>
    <row r="84" ht="20" customHeight="1">
      <c r="A84" s="19" t="inlineStr">
        <is>
          <t>ליבי בוכריס</t>
        </is>
      </c>
      <c r="B84" s="69" t="n"/>
      <c r="C84" s="69" t="n"/>
      <c r="D84" s="86" t="n"/>
      <c r="F84" s="85">
        <f>IF(AND($B84&lt;&gt;"",$B84='קבוצות'!$A$3),IF(F83="","",F83&amp;", ")&amp;$A84,F83)</f>
        <v/>
      </c>
      <c r="G84" s="85">
        <f>IF(AND($B84&lt;&gt;"",$B84='קבוצות'!$A$4),IF(G83="","",G83&amp;", ")&amp;$A84,G83)</f>
        <v/>
      </c>
      <c r="H84" s="85">
        <f>IF(AND($B84&lt;&gt;"",$B84='קבוצות'!$A$5),IF(H83="","",H83&amp;", ")&amp;$A84,H83)</f>
        <v/>
      </c>
      <c r="I84" s="85">
        <f>IF(AND($B84&lt;&gt;"",$B84='קבוצות'!$A$6),IF(I83="","",I83&amp;", ")&amp;$A84,I83)</f>
        <v/>
      </c>
      <c r="J84" s="85">
        <f>IF(AND($B84&lt;&gt;"",$B84='קבוצות'!$A$7),IF(J83="","",J83&amp;", ")&amp;$A84,J83)</f>
        <v/>
      </c>
      <c r="K84" s="85">
        <f>IF(AND($B84&lt;&gt;"",$B84='קבוצות'!$A$8),IF(K83="","",K83&amp;", ")&amp;$A84,K83)</f>
        <v/>
      </c>
    </row>
    <row r="85" ht="20" customHeight="1">
      <c r="A85" s="19" t="inlineStr">
        <is>
          <t>ליעם גבע</t>
        </is>
      </c>
      <c r="B85" s="69" t="n"/>
      <c r="C85" s="69" t="n"/>
      <c r="D85" s="86" t="n"/>
      <c r="F85" s="85">
        <f>IF(AND($B85&lt;&gt;"",$B85='קבוצות'!$A$3),IF(F84="","",F84&amp;", ")&amp;$A85,F84)</f>
        <v/>
      </c>
      <c r="G85" s="85">
        <f>IF(AND($B85&lt;&gt;"",$B85='קבוצות'!$A$4),IF(G84="","",G84&amp;", ")&amp;$A85,G84)</f>
        <v/>
      </c>
      <c r="H85" s="85">
        <f>IF(AND($B85&lt;&gt;"",$B85='קבוצות'!$A$5),IF(H84="","",H84&amp;", ")&amp;$A85,H84)</f>
        <v/>
      </c>
      <c r="I85" s="85">
        <f>IF(AND($B85&lt;&gt;"",$B85='קבוצות'!$A$6),IF(I84="","",I84&amp;", ")&amp;$A85,I84)</f>
        <v/>
      </c>
      <c r="J85" s="85">
        <f>IF(AND($B85&lt;&gt;"",$B85='קבוצות'!$A$7),IF(J84="","",J84&amp;", ")&amp;$A85,J84)</f>
        <v/>
      </c>
      <c r="K85" s="85">
        <f>IF(AND($B85&lt;&gt;"",$B85='קבוצות'!$A$8),IF(K84="","",K84&amp;", ")&amp;$A85,K84)</f>
        <v/>
      </c>
    </row>
    <row r="86" ht="20" customHeight="1">
      <c r="A86" s="19" t="inlineStr">
        <is>
          <t>מאיה פקטר</t>
        </is>
      </c>
      <c r="B86" s="69" t="n"/>
      <c r="C86" s="69" t="n"/>
      <c r="D86" s="86" t="n"/>
      <c r="F86" s="85">
        <f>IF(AND($B86&lt;&gt;"",$B86='קבוצות'!$A$3),IF(F85="","",F85&amp;", ")&amp;$A86,F85)</f>
        <v/>
      </c>
      <c r="G86" s="85">
        <f>IF(AND($B86&lt;&gt;"",$B86='קבוצות'!$A$4),IF(G85="","",G85&amp;", ")&amp;$A86,G85)</f>
        <v/>
      </c>
      <c r="H86" s="85">
        <f>IF(AND($B86&lt;&gt;"",$B86='קבוצות'!$A$5),IF(H85="","",H85&amp;", ")&amp;$A86,H85)</f>
        <v/>
      </c>
      <c r="I86" s="85">
        <f>IF(AND($B86&lt;&gt;"",$B86='קבוצות'!$A$6),IF(I85="","",I85&amp;", ")&amp;$A86,I85)</f>
        <v/>
      </c>
      <c r="J86" s="85">
        <f>IF(AND($B86&lt;&gt;"",$B86='קבוצות'!$A$7),IF(J85="","",J85&amp;", ")&amp;$A86,J85)</f>
        <v/>
      </c>
      <c r="K86" s="85">
        <f>IF(AND($B86&lt;&gt;"",$B86='קבוצות'!$A$8),IF(K85="","",K85&amp;", ")&amp;$A86,K85)</f>
        <v/>
      </c>
    </row>
    <row r="87" ht="20" customHeight="1">
      <c r="A87" s="19" t="inlineStr">
        <is>
          <t>נוה גריינר</t>
        </is>
      </c>
      <c r="B87" s="69" t="n"/>
      <c r="C87" s="69" t="n"/>
      <c r="D87" s="86" t="n"/>
      <c r="F87" s="85">
        <f>IF(AND($B87&lt;&gt;"",$B87='קבוצות'!$A$3),IF(F86="","",F86&amp;", ")&amp;$A87,F86)</f>
        <v/>
      </c>
      <c r="G87" s="85">
        <f>IF(AND($B87&lt;&gt;"",$B87='קבוצות'!$A$4),IF(G86="","",G86&amp;", ")&amp;$A87,G86)</f>
        <v/>
      </c>
      <c r="H87" s="85">
        <f>IF(AND($B87&lt;&gt;"",$B87='קבוצות'!$A$5),IF(H86="","",H86&amp;", ")&amp;$A87,H86)</f>
        <v/>
      </c>
      <c r="I87" s="85">
        <f>IF(AND($B87&lt;&gt;"",$B87='קבוצות'!$A$6),IF(I86="","",I86&amp;", ")&amp;$A87,I86)</f>
        <v/>
      </c>
      <c r="J87" s="85">
        <f>IF(AND($B87&lt;&gt;"",$B87='קבוצות'!$A$7),IF(J86="","",J86&amp;", ")&amp;$A87,J86)</f>
        <v/>
      </c>
      <c r="K87" s="85">
        <f>IF(AND($B87&lt;&gt;"",$B87='קבוצות'!$A$8),IF(K86="","",K86&amp;", ")&amp;$A87,K86)</f>
        <v/>
      </c>
    </row>
    <row r="88" ht="20" customHeight="1">
      <c r="A88" s="19" t="inlineStr">
        <is>
          <t>נעמי פונקלשטיין</t>
        </is>
      </c>
      <c r="B88" s="69" t="n"/>
      <c r="C88" s="69" t="n"/>
      <c r="D88" s="86" t="n"/>
      <c r="F88" s="85">
        <f>IF(AND($B88&lt;&gt;"",$B88='קבוצות'!$A$3),IF(F87="","",F87&amp;", ")&amp;$A88,F87)</f>
        <v/>
      </c>
      <c r="G88" s="85">
        <f>IF(AND($B88&lt;&gt;"",$B88='קבוצות'!$A$4),IF(G87="","",G87&amp;", ")&amp;$A88,G87)</f>
        <v/>
      </c>
      <c r="H88" s="85">
        <f>IF(AND($B88&lt;&gt;"",$B88='קבוצות'!$A$5),IF(H87="","",H87&amp;", ")&amp;$A88,H87)</f>
        <v/>
      </c>
      <c r="I88" s="85">
        <f>IF(AND($B88&lt;&gt;"",$B88='קבוצות'!$A$6),IF(I87="","",I87&amp;", ")&amp;$A88,I87)</f>
        <v/>
      </c>
      <c r="J88" s="85">
        <f>IF(AND($B88&lt;&gt;"",$B88='קבוצות'!$A$7),IF(J87="","",J87&amp;", ")&amp;$A88,J87)</f>
        <v/>
      </c>
      <c r="K88" s="85">
        <f>IF(AND($B88&lt;&gt;"",$B88='קבוצות'!$A$8),IF(K87="","",K87&amp;", ")&amp;$A88,K87)</f>
        <v/>
      </c>
    </row>
    <row r="89" ht="20" customHeight="1">
      <c r="A89" s="19" t="inlineStr">
        <is>
          <t>עליזה בלום</t>
        </is>
      </c>
      <c r="B89" s="69" t="n"/>
      <c r="C89" s="69" t="n"/>
      <c r="D89" s="86" t="n"/>
      <c r="F89" s="85">
        <f>IF(AND($B89&lt;&gt;"",$B89='קבוצות'!$A$3),IF(F88="","",F88&amp;", ")&amp;$A89,F88)</f>
        <v/>
      </c>
      <c r="G89" s="85">
        <f>IF(AND($B89&lt;&gt;"",$B89='קבוצות'!$A$4),IF(G88="","",G88&amp;", ")&amp;$A89,G88)</f>
        <v/>
      </c>
      <c r="H89" s="85">
        <f>IF(AND($B89&lt;&gt;"",$B89='קבוצות'!$A$5),IF(H88="","",H88&amp;", ")&amp;$A89,H88)</f>
        <v/>
      </c>
      <c r="I89" s="85">
        <f>IF(AND($B89&lt;&gt;"",$B89='קבוצות'!$A$6),IF(I88="","",I88&amp;", ")&amp;$A89,I88)</f>
        <v/>
      </c>
      <c r="J89" s="85">
        <f>IF(AND($B89&lt;&gt;"",$B89='קבוצות'!$A$7),IF(J88="","",J88&amp;", ")&amp;$A89,J88)</f>
        <v/>
      </c>
      <c r="K89" s="85">
        <f>IF(AND($B89&lt;&gt;"",$B89='קבוצות'!$A$8),IF(K88="","",K88&amp;", ")&amp;$A89,K88)</f>
        <v/>
      </c>
    </row>
    <row r="90" ht="20" customHeight="1">
      <c r="A90" s="19" t="inlineStr">
        <is>
          <t>עפרי גזיאל</t>
        </is>
      </c>
      <c r="B90" s="69" t="n"/>
      <c r="C90" s="69" t="n"/>
      <c r="D90" s="86" t="n"/>
      <c r="F90" s="85">
        <f>IF(AND($B90&lt;&gt;"",$B90='קבוצות'!$A$3),IF(F89="","",F89&amp;", ")&amp;$A90,F89)</f>
        <v/>
      </c>
      <c r="G90" s="85">
        <f>IF(AND($B90&lt;&gt;"",$B90='קבוצות'!$A$4),IF(G89="","",G89&amp;", ")&amp;$A90,G89)</f>
        <v/>
      </c>
      <c r="H90" s="85">
        <f>IF(AND($B90&lt;&gt;"",$B90='קבוצות'!$A$5),IF(H89="","",H89&amp;", ")&amp;$A90,H89)</f>
        <v/>
      </c>
      <c r="I90" s="85">
        <f>IF(AND($B90&lt;&gt;"",$B90='קבוצות'!$A$6),IF(I89="","",I89&amp;", ")&amp;$A90,I89)</f>
        <v/>
      </c>
      <c r="J90" s="85">
        <f>IF(AND($B90&lt;&gt;"",$B90='קבוצות'!$A$7),IF(J89="","",J89&amp;", ")&amp;$A90,J89)</f>
        <v/>
      </c>
      <c r="K90" s="85">
        <f>IF(AND($B90&lt;&gt;"",$B90='קבוצות'!$A$8),IF(K89="","",K89&amp;", ")&amp;$A90,K89)</f>
        <v/>
      </c>
    </row>
    <row r="91" ht="20" customHeight="1">
      <c r="A91" s="19" t="inlineStr">
        <is>
          <t>עשהאל ירושלמי</t>
        </is>
      </c>
      <c r="B91" s="69" t="n"/>
      <c r="C91" s="69" t="n"/>
      <c r="D91" s="86" t="n"/>
      <c r="F91" s="85">
        <f>IF(AND($B91&lt;&gt;"",$B91='קבוצות'!$A$3),IF(F90="","",F90&amp;", ")&amp;$A91,F90)</f>
        <v/>
      </c>
      <c r="G91" s="85">
        <f>IF(AND($B91&lt;&gt;"",$B91='קבוצות'!$A$4),IF(G90="","",G90&amp;", ")&amp;$A91,G90)</f>
        <v/>
      </c>
      <c r="H91" s="85">
        <f>IF(AND($B91&lt;&gt;"",$B91='קבוצות'!$A$5),IF(H90="","",H90&amp;", ")&amp;$A91,H90)</f>
        <v/>
      </c>
      <c r="I91" s="85">
        <f>IF(AND($B91&lt;&gt;"",$B91='קבוצות'!$A$6),IF(I90="","",I90&amp;", ")&amp;$A91,I90)</f>
        <v/>
      </c>
      <c r="J91" s="85">
        <f>IF(AND($B91&lt;&gt;"",$B91='קבוצות'!$A$7),IF(J90="","",J90&amp;", ")&amp;$A91,J90)</f>
        <v/>
      </c>
      <c r="K91" s="85">
        <f>IF(AND($B91&lt;&gt;"",$B91='קבוצות'!$A$8),IF(K90="","",K90&amp;", ")&amp;$A91,K90)</f>
        <v/>
      </c>
    </row>
    <row r="92" ht="20" customHeight="1">
      <c r="A92" s="19" t="inlineStr">
        <is>
          <t>פרת פולס</t>
        </is>
      </c>
      <c r="B92" s="69" t="n"/>
      <c r="C92" s="69" t="n"/>
      <c r="D92" s="86" t="n"/>
      <c r="F92" s="85">
        <f>IF(AND($B92&lt;&gt;"",$B92='קבוצות'!$A$3),IF(F91="","",F91&amp;", ")&amp;$A92,F91)</f>
        <v/>
      </c>
      <c r="G92" s="85">
        <f>IF(AND($B92&lt;&gt;"",$B92='קבוצות'!$A$4),IF(G91="","",G91&amp;", ")&amp;$A92,G91)</f>
        <v/>
      </c>
      <c r="H92" s="85">
        <f>IF(AND($B92&lt;&gt;"",$B92='קבוצות'!$A$5),IF(H91="","",H91&amp;", ")&amp;$A92,H91)</f>
        <v/>
      </c>
      <c r="I92" s="85">
        <f>IF(AND($B92&lt;&gt;"",$B92='קבוצות'!$A$6),IF(I91="","",I91&amp;", ")&amp;$A92,I91)</f>
        <v/>
      </c>
      <c r="J92" s="85">
        <f>IF(AND($B92&lt;&gt;"",$B92='קבוצות'!$A$7),IF(J91="","",J91&amp;", ")&amp;$A92,J91)</f>
        <v/>
      </c>
      <c r="K92" s="85">
        <f>IF(AND($B92&lt;&gt;"",$B92='קבוצות'!$A$8),IF(K91="","",K91&amp;", ")&amp;$A92,K91)</f>
        <v/>
      </c>
    </row>
    <row r="93" ht="20" customHeight="1">
      <c r="A93" s="19" t="inlineStr">
        <is>
          <t>רגב שהם</t>
        </is>
      </c>
      <c r="B93" s="69" t="n"/>
      <c r="C93" s="69" t="n"/>
      <c r="D93" s="86" t="n"/>
      <c r="F93" s="85">
        <f>IF(AND($B93&lt;&gt;"",$B93='קבוצות'!$A$3),IF(F92="","",F92&amp;", ")&amp;$A93,F92)</f>
        <v/>
      </c>
      <c r="G93" s="85">
        <f>IF(AND($B93&lt;&gt;"",$B93='קבוצות'!$A$4),IF(G92="","",G92&amp;", ")&amp;$A93,G92)</f>
        <v/>
      </c>
      <c r="H93" s="85">
        <f>IF(AND($B93&lt;&gt;"",$B93='קבוצות'!$A$5),IF(H92="","",H92&amp;", ")&amp;$A93,H92)</f>
        <v/>
      </c>
      <c r="I93" s="85">
        <f>IF(AND($B93&lt;&gt;"",$B93='קבוצות'!$A$6),IF(I92="","",I92&amp;", ")&amp;$A93,I92)</f>
        <v/>
      </c>
      <c r="J93" s="85">
        <f>IF(AND($B93&lt;&gt;"",$B93='קבוצות'!$A$7),IF(J92="","",J92&amp;", ")&amp;$A93,J92)</f>
        <v/>
      </c>
      <c r="K93" s="85">
        <f>IF(AND($B93&lt;&gt;"",$B93='קבוצות'!$A$8),IF(K92="","",K92&amp;", ")&amp;$A93,K92)</f>
        <v/>
      </c>
    </row>
    <row r="94" ht="20" customHeight="1">
      <c r="A94" s="19" t="inlineStr">
        <is>
          <t>רוני כהן</t>
        </is>
      </c>
      <c r="B94" s="69" t="n"/>
      <c r="C94" s="69" t="n"/>
      <c r="D94" s="86" t="n"/>
      <c r="F94" s="85">
        <f>IF(AND($B94&lt;&gt;"",$B94='קבוצות'!$A$3),IF(F93="","",F93&amp;", ")&amp;$A94,F93)</f>
        <v/>
      </c>
      <c r="G94" s="85">
        <f>IF(AND($B94&lt;&gt;"",$B94='קבוצות'!$A$4),IF(G93="","",G93&amp;", ")&amp;$A94,G93)</f>
        <v/>
      </c>
      <c r="H94" s="85">
        <f>IF(AND($B94&lt;&gt;"",$B94='קבוצות'!$A$5),IF(H93="","",H93&amp;", ")&amp;$A94,H93)</f>
        <v/>
      </c>
      <c r="I94" s="85">
        <f>IF(AND($B94&lt;&gt;"",$B94='קבוצות'!$A$6),IF(I93="","",I93&amp;", ")&amp;$A94,I93)</f>
        <v/>
      </c>
      <c r="J94" s="85">
        <f>IF(AND($B94&lt;&gt;"",$B94='קבוצות'!$A$7),IF(J93="","",J93&amp;", ")&amp;$A94,J93)</f>
        <v/>
      </c>
      <c r="K94" s="85">
        <f>IF(AND($B94&lt;&gt;"",$B94='קבוצות'!$A$8),IF(K93="","",K93&amp;", ")&amp;$A94,K93)</f>
        <v/>
      </c>
    </row>
    <row r="95" ht="20" customHeight="1">
      <c r="A95" s="19" t="n"/>
      <c r="B95" s="69" t="n"/>
      <c r="C95" s="69" t="n"/>
      <c r="D95" s="86" t="n"/>
      <c r="F95" s="85">
        <f>IF(AND($B95&lt;&gt;"",$B95='קבוצות'!$A$3),IF(F94="","",F94&amp;", ")&amp;$A95,F94)</f>
        <v/>
      </c>
      <c r="G95" s="85">
        <f>IF(AND($B95&lt;&gt;"",$B95='קבוצות'!$A$4),IF(G94="","",G94&amp;", ")&amp;$A95,G94)</f>
        <v/>
      </c>
      <c r="H95" s="85">
        <f>IF(AND($B95&lt;&gt;"",$B95='קבוצות'!$A$5),IF(H94="","",H94&amp;", ")&amp;$A95,H94)</f>
        <v/>
      </c>
      <c r="I95" s="85">
        <f>IF(AND($B95&lt;&gt;"",$B95='קבוצות'!$A$6),IF(I94="","",I94&amp;", ")&amp;$A95,I94)</f>
        <v/>
      </c>
      <c r="J95" s="85">
        <f>IF(AND($B95&lt;&gt;"",$B95='קבוצות'!$A$7),IF(J94="","",J94&amp;", ")&amp;$A95,J94)</f>
        <v/>
      </c>
      <c r="K95" s="85">
        <f>IF(AND($B95&lt;&gt;"",$B95='קבוצות'!$A$8),IF(K94="","",K94&amp;", ")&amp;$A95,K94)</f>
        <v/>
      </c>
    </row>
    <row r="96" ht="20" customHeight="1">
      <c r="A96" s="19" t="n"/>
      <c r="B96" s="69" t="n"/>
      <c r="C96" s="69" t="n"/>
      <c r="D96" s="86" t="n"/>
      <c r="F96" s="85">
        <f>IF(AND($B96&lt;&gt;"",$B96='קבוצות'!$A$3),IF(F95="","",F95&amp;", ")&amp;$A96,F95)</f>
        <v/>
      </c>
      <c r="G96" s="85">
        <f>IF(AND($B96&lt;&gt;"",$B96='קבוצות'!$A$4),IF(G95="","",G95&amp;", ")&amp;$A96,G95)</f>
        <v/>
      </c>
      <c r="H96" s="85">
        <f>IF(AND($B96&lt;&gt;"",$B96='קבוצות'!$A$5),IF(H95="","",H95&amp;", ")&amp;$A96,H95)</f>
        <v/>
      </c>
      <c r="I96" s="85">
        <f>IF(AND($B96&lt;&gt;"",$B96='קבוצות'!$A$6),IF(I95="","",I95&amp;", ")&amp;$A96,I95)</f>
        <v/>
      </c>
      <c r="J96" s="85">
        <f>IF(AND($B96&lt;&gt;"",$B96='קבוצות'!$A$7),IF(J95="","",J95&amp;", ")&amp;$A96,J95)</f>
        <v/>
      </c>
      <c r="K96" s="85">
        <f>IF(AND($B96&lt;&gt;"",$B96='קבוצות'!$A$8),IF(K95="","",K95&amp;", ")&amp;$A96,K95)</f>
        <v/>
      </c>
    </row>
    <row r="97" ht="20" customHeight="1">
      <c r="A97" s="19" t="n"/>
      <c r="B97" s="69" t="n"/>
      <c r="C97" s="69" t="n"/>
      <c r="D97" s="86" t="n"/>
      <c r="F97" s="85">
        <f>IF(AND($B97&lt;&gt;"",$B97='קבוצות'!$A$3),IF(F96="","",F96&amp;", ")&amp;$A97,F96)</f>
        <v/>
      </c>
      <c r="G97" s="85">
        <f>IF(AND($B97&lt;&gt;"",$B97='קבוצות'!$A$4),IF(G96="","",G96&amp;", ")&amp;$A97,G96)</f>
        <v/>
      </c>
      <c r="H97" s="85">
        <f>IF(AND($B97&lt;&gt;"",$B97='קבוצות'!$A$5),IF(H96="","",H96&amp;", ")&amp;$A97,H96)</f>
        <v/>
      </c>
      <c r="I97" s="85">
        <f>IF(AND($B97&lt;&gt;"",$B97='קבוצות'!$A$6),IF(I96="","",I96&amp;", ")&amp;$A97,I96)</f>
        <v/>
      </c>
      <c r="J97" s="85">
        <f>IF(AND($B97&lt;&gt;"",$B97='קבוצות'!$A$7),IF(J96="","",J96&amp;", ")&amp;$A97,J96)</f>
        <v/>
      </c>
      <c r="K97" s="85">
        <f>IF(AND($B97&lt;&gt;"",$B97='קבוצות'!$A$8),IF(K96="","",K96&amp;", ")&amp;$A97,K96)</f>
        <v/>
      </c>
    </row>
    <row r="98" ht="20" customHeight="1">
      <c r="A98" s="19" t="n"/>
      <c r="B98" s="69" t="n"/>
      <c r="C98" s="69" t="n"/>
      <c r="D98" s="86" t="n"/>
      <c r="F98" s="85">
        <f>IF(AND($B98&lt;&gt;"",$B98='קבוצות'!$A$3),IF(F97="","",F97&amp;", ")&amp;$A98,F97)</f>
        <v/>
      </c>
      <c r="G98" s="85">
        <f>IF(AND($B98&lt;&gt;"",$B98='קבוצות'!$A$4),IF(G97="","",G97&amp;", ")&amp;$A98,G97)</f>
        <v/>
      </c>
      <c r="H98" s="85">
        <f>IF(AND($B98&lt;&gt;"",$B98='קבוצות'!$A$5),IF(H97="","",H97&amp;", ")&amp;$A98,H97)</f>
        <v/>
      </c>
      <c r="I98" s="85">
        <f>IF(AND($B98&lt;&gt;"",$B98='קבוצות'!$A$6),IF(I97="","",I97&amp;", ")&amp;$A98,I97)</f>
        <v/>
      </c>
      <c r="J98" s="85">
        <f>IF(AND($B98&lt;&gt;"",$B98='קבוצות'!$A$7),IF(J97="","",J97&amp;", ")&amp;$A98,J97)</f>
        <v/>
      </c>
      <c r="K98" s="85">
        <f>IF(AND($B98&lt;&gt;"",$B98='קבוצות'!$A$8),IF(K97="","",K97&amp;", ")&amp;$A98,K97)</f>
        <v/>
      </c>
    </row>
    <row r="99" ht="20" customHeight="1">
      <c r="A99" s="19" t="n"/>
      <c r="B99" s="69" t="n"/>
      <c r="C99" s="69" t="n"/>
      <c r="D99" s="86" t="n"/>
      <c r="F99" s="85">
        <f>IF(AND($B99&lt;&gt;"",$B99='קבוצות'!$A$3),IF(F98="","",F98&amp;", ")&amp;$A99,F98)</f>
        <v/>
      </c>
      <c r="G99" s="85">
        <f>IF(AND($B99&lt;&gt;"",$B99='קבוצות'!$A$4),IF(G98="","",G98&amp;", ")&amp;$A99,G98)</f>
        <v/>
      </c>
      <c r="H99" s="85">
        <f>IF(AND($B99&lt;&gt;"",$B99='קבוצות'!$A$5),IF(H98="","",H98&amp;", ")&amp;$A99,H98)</f>
        <v/>
      </c>
      <c r="I99" s="85">
        <f>IF(AND($B99&lt;&gt;"",$B99='קבוצות'!$A$6),IF(I98="","",I98&amp;", ")&amp;$A99,I98)</f>
        <v/>
      </c>
      <c r="J99" s="85">
        <f>IF(AND($B99&lt;&gt;"",$B99='קבוצות'!$A$7),IF(J98="","",J98&amp;", ")&amp;$A99,J98)</f>
        <v/>
      </c>
      <c r="K99" s="85">
        <f>IF(AND($B99&lt;&gt;"",$B99='קבוצות'!$A$8),IF(K98="","",K98&amp;", ")&amp;$A99,K98)</f>
        <v/>
      </c>
    </row>
    <row r="100" ht="20" customHeight="1">
      <c r="A100" s="19" t="n"/>
      <c r="B100" s="69" t="n"/>
      <c r="C100" s="69" t="n"/>
      <c r="D100" s="86" t="n"/>
      <c r="F100" s="85">
        <f>IF(AND($B100&lt;&gt;"",$B100='קבוצות'!$A$3),IF(F99="","",F99&amp;", ")&amp;$A100,F99)</f>
        <v/>
      </c>
      <c r="G100" s="85">
        <f>IF(AND($B100&lt;&gt;"",$B100='קבוצות'!$A$4),IF(G99="","",G99&amp;", ")&amp;$A100,G99)</f>
        <v/>
      </c>
      <c r="H100" s="85">
        <f>IF(AND($B100&lt;&gt;"",$B100='קבוצות'!$A$5),IF(H99="","",H99&amp;", ")&amp;$A100,H99)</f>
        <v/>
      </c>
      <c r="I100" s="85">
        <f>IF(AND($B100&lt;&gt;"",$B100='קבוצות'!$A$6),IF(I99="","",I99&amp;", ")&amp;$A100,I99)</f>
        <v/>
      </c>
      <c r="J100" s="85">
        <f>IF(AND($B100&lt;&gt;"",$B100='קבוצות'!$A$7),IF(J99="","",J99&amp;", ")&amp;$A100,J99)</f>
        <v/>
      </c>
      <c r="K100" s="85">
        <f>IF(AND($B100&lt;&gt;"",$B100='קבוצות'!$A$8),IF(K99="","",K99&amp;", ")&amp;$A100,K99)</f>
        <v/>
      </c>
    </row>
    <row r="101" ht="20" customHeight="1">
      <c r="A101" s="19" t="n"/>
      <c r="B101" s="69" t="n"/>
      <c r="C101" s="69" t="n"/>
      <c r="D101" s="86" t="n"/>
      <c r="F101" s="85">
        <f>IF(AND($B101&lt;&gt;"",$B101='קבוצות'!$A$3),IF(F100="","",F100&amp;", ")&amp;$A101,F100)</f>
        <v/>
      </c>
      <c r="G101" s="85">
        <f>IF(AND($B101&lt;&gt;"",$B101='קבוצות'!$A$4),IF(G100="","",G100&amp;", ")&amp;$A101,G100)</f>
        <v/>
      </c>
      <c r="H101" s="85">
        <f>IF(AND($B101&lt;&gt;"",$B101='קבוצות'!$A$5),IF(H100="","",H100&amp;", ")&amp;$A101,H100)</f>
        <v/>
      </c>
      <c r="I101" s="85">
        <f>IF(AND($B101&lt;&gt;"",$B101='קבוצות'!$A$6),IF(I100="","",I100&amp;", ")&amp;$A101,I100)</f>
        <v/>
      </c>
      <c r="J101" s="85">
        <f>IF(AND($B101&lt;&gt;"",$B101='קבוצות'!$A$7),IF(J100="","",J100&amp;", ")&amp;$A101,J100)</f>
        <v/>
      </c>
      <c r="K101" s="85">
        <f>IF(AND($B101&lt;&gt;"",$B101='קבוצות'!$A$8),IF(K100="","",K100&amp;", ")&amp;$A101,K100)</f>
        <v/>
      </c>
    </row>
    <row r="102" ht="20" customHeight="1">
      <c r="A102" s="19" t="n"/>
      <c r="B102" s="69" t="n"/>
      <c r="C102" s="69" t="n"/>
      <c r="D102" s="86" t="n"/>
      <c r="F102" s="85">
        <f>IF(AND($B102&lt;&gt;"",$B102='קבוצות'!$A$3),IF(F101="","",F101&amp;", ")&amp;$A102,F101)</f>
        <v/>
      </c>
      <c r="G102" s="85">
        <f>IF(AND($B102&lt;&gt;"",$B102='קבוצות'!$A$4),IF(G101="","",G101&amp;", ")&amp;$A102,G101)</f>
        <v/>
      </c>
      <c r="H102" s="85">
        <f>IF(AND($B102&lt;&gt;"",$B102='קבוצות'!$A$5),IF(H101="","",H101&amp;", ")&amp;$A102,H101)</f>
        <v/>
      </c>
      <c r="I102" s="85">
        <f>IF(AND($B102&lt;&gt;"",$B102='קבוצות'!$A$6),IF(I101="","",I101&amp;", ")&amp;$A102,I101)</f>
        <v/>
      </c>
      <c r="J102" s="85">
        <f>IF(AND($B102&lt;&gt;"",$B102='קבוצות'!$A$7),IF(J101="","",J101&amp;", ")&amp;$A102,J101)</f>
        <v/>
      </c>
      <c r="K102" s="85">
        <f>IF(AND($B102&lt;&gt;"",$B102='קבוצות'!$A$8),IF(K101="","",K101&amp;", ")&amp;$A102,K101)</f>
        <v/>
      </c>
    </row>
    <row r="103" ht="20" customHeight="1">
      <c r="A103" s="19" t="n"/>
      <c r="B103" s="69" t="n"/>
      <c r="C103" s="69" t="n"/>
      <c r="D103" s="86" t="n"/>
      <c r="F103" s="85">
        <f>IF(AND($B103&lt;&gt;"",$B103='קבוצות'!$A$3),IF(F102="","",F102&amp;", ")&amp;$A103,F102)</f>
        <v/>
      </c>
      <c r="G103" s="85">
        <f>IF(AND($B103&lt;&gt;"",$B103='קבוצות'!$A$4),IF(G102="","",G102&amp;", ")&amp;$A103,G102)</f>
        <v/>
      </c>
      <c r="H103" s="85">
        <f>IF(AND($B103&lt;&gt;"",$B103='קבוצות'!$A$5),IF(H102="","",H102&amp;", ")&amp;$A103,H102)</f>
        <v/>
      </c>
      <c r="I103" s="85">
        <f>IF(AND($B103&lt;&gt;"",$B103='קבוצות'!$A$6),IF(I102="","",I102&amp;", ")&amp;$A103,I102)</f>
        <v/>
      </c>
      <c r="J103" s="85">
        <f>IF(AND($B103&lt;&gt;"",$B103='קבוצות'!$A$7),IF(J102="","",J102&amp;", ")&amp;$A103,J102)</f>
        <v/>
      </c>
      <c r="K103" s="85">
        <f>IF(AND($B103&lt;&gt;"",$B103='קבוצות'!$A$8),IF(K102="","",K102&amp;", ")&amp;$A103,K102)</f>
        <v/>
      </c>
    </row>
    <row r="104" ht="20" customHeight="1">
      <c r="A104" s="19" t="n"/>
      <c r="B104" s="69" t="n"/>
      <c r="C104" s="69" t="n"/>
      <c r="D104" s="86" t="n"/>
      <c r="F104" s="85">
        <f>IF(AND($B104&lt;&gt;"",$B104='קבוצות'!$A$3),IF(F103="","",F103&amp;", ")&amp;$A104,F103)</f>
        <v/>
      </c>
      <c r="G104" s="85">
        <f>IF(AND($B104&lt;&gt;"",$B104='קבוצות'!$A$4),IF(G103="","",G103&amp;", ")&amp;$A104,G103)</f>
        <v/>
      </c>
      <c r="H104" s="85">
        <f>IF(AND($B104&lt;&gt;"",$B104='קבוצות'!$A$5),IF(H103="","",H103&amp;", ")&amp;$A104,H103)</f>
        <v/>
      </c>
      <c r="I104" s="85">
        <f>IF(AND($B104&lt;&gt;"",$B104='קבוצות'!$A$6),IF(I103="","",I103&amp;", ")&amp;$A104,I103)</f>
        <v/>
      </c>
      <c r="J104" s="85">
        <f>IF(AND($B104&lt;&gt;"",$B104='קבוצות'!$A$7),IF(J103="","",J103&amp;", ")&amp;$A104,J103)</f>
        <v/>
      </c>
      <c r="K104" s="85">
        <f>IF(AND($B104&lt;&gt;"",$B104='קבוצות'!$A$8),IF(K103="","",K103&amp;", ")&amp;$A104,K103)</f>
        <v/>
      </c>
    </row>
    <row r="105" ht="20" customHeight="1">
      <c r="A105" s="19" t="n"/>
      <c r="B105" s="69" t="n"/>
      <c r="C105" s="69" t="n"/>
      <c r="D105" s="86" t="n"/>
      <c r="F105" s="85">
        <f>IF(AND($B105&lt;&gt;"",$B105='קבוצות'!$A$3),IF(F104="","",F104&amp;", ")&amp;$A105,F104)</f>
        <v/>
      </c>
      <c r="G105" s="85">
        <f>IF(AND($B105&lt;&gt;"",$B105='קבוצות'!$A$4),IF(G104="","",G104&amp;", ")&amp;$A105,G104)</f>
        <v/>
      </c>
      <c r="H105" s="85">
        <f>IF(AND($B105&lt;&gt;"",$B105='קבוצות'!$A$5),IF(H104="","",H104&amp;", ")&amp;$A105,H104)</f>
        <v/>
      </c>
      <c r="I105" s="85">
        <f>IF(AND($B105&lt;&gt;"",$B105='קבוצות'!$A$6),IF(I104="","",I104&amp;", ")&amp;$A105,I104)</f>
        <v/>
      </c>
      <c r="J105" s="85">
        <f>IF(AND($B105&lt;&gt;"",$B105='קבוצות'!$A$7),IF(J104="","",J104&amp;", ")&amp;$A105,J104)</f>
        <v/>
      </c>
      <c r="K105" s="85">
        <f>IF(AND($B105&lt;&gt;"",$B105='קבוצות'!$A$8),IF(K104="","",K104&amp;", ")&amp;$A105,K104)</f>
        <v/>
      </c>
    </row>
    <row r="106" ht="20" customHeight="1">
      <c r="A106" s="19" t="n"/>
      <c r="B106" s="69" t="n"/>
      <c r="C106" s="69" t="n"/>
      <c r="D106" s="86" t="n"/>
      <c r="F106" s="85">
        <f>IF(AND($B106&lt;&gt;"",$B106='קבוצות'!$A$3),IF(F105="","",F105&amp;", ")&amp;$A106,F105)</f>
        <v/>
      </c>
      <c r="G106" s="85">
        <f>IF(AND($B106&lt;&gt;"",$B106='קבוצות'!$A$4),IF(G105="","",G105&amp;", ")&amp;$A106,G105)</f>
        <v/>
      </c>
      <c r="H106" s="85">
        <f>IF(AND($B106&lt;&gt;"",$B106='קבוצות'!$A$5),IF(H105="","",H105&amp;", ")&amp;$A106,H105)</f>
        <v/>
      </c>
      <c r="I106" s="85">
        <f>IF(AND($B106&lt;&gt;"",$B106='קבוצות'!$A$6),IF(I105="","",I105&amp;", ")&amp;$A106,I105)</f>
        <v/>
      </c>
      <c r="J106" s="85">
        <f>IF(AND($B106&lt;&gt;"",$B106='קבוצות'!$A$7),IF(J105="","",J105&amp;", ")&amp;$A106,J105)</f>
        <v/>
      </c>
      <c r="K106" s="85">
        <f>IF(AND($B106&lt;&gt;"",$B106='קבוצות'!$A$8),IF(K105="","",K105&amp;", ")&amp;$A106,K105)</f>
        <v/>
      </c>
    </row>
    <row r="107" ht="20" customHeight="1">
      <c r="A107" s="19" t="n"/>
      <c r="B107" s="69" t="n"/>
      <c r="C107" s="69" t="n"/>
      <c r="D107" s="86" t="n"/>
      <c r="F107" s="85">
        <f>IF(AND($B107&lt;&gt;"",$B107='קבוצות'!$A$3),IF(F106="","",F106&amp;", ")&amp;$A107,F106)</f>
        <v/>
      </c>
      <c r="G107" s="85">
        <f>IF(AND($B107&lt;&gt;"",$B107='קבוצות'!$A$4),IF(G106="","",G106&amp;", ")&amp;$A107,G106)</f>
        <v/>
      </c>
      <c r="H107" s="85">
        <f>IF(AND($B107&lt;&gt;"",$B107='קבוצות'!$A$5),IF(H106="","",H106&amp;", ")&amp;$A107,H106)</f>
        <v/>
      </c>
      <c r="I107" s="85">
        <f>IF(AND($B107&lt;&gt;"",$B107='קבוצות'!$A$6),IF(I106="","",I106&amp;", ")&amp;$A107,I106)</f>
        <v/>
      </c>
      <c r="J107" s="85">
        <f>IF(AND($B107&lt;&gt;"",$B107='קבוצות'!$A$7),IF(J106="","",J106&amp;", ")&amp;$A107,J106)</f>
        <v/>
      </c>
      <c r="K107" s="85">
        <f>IF(AND($B107&lt;&gt;"",$B107='קבוצות'!$A$8),IF(K106="","",K106&amp;", ")&amp;$A107,K106)</f>
        <v/>
      </c>
    </row>
    <row r="108" ht="20" customHeight="1">
      <c r="A108" s="19" t="n"/>
      <c r="B108" s="69" t="n"/>
      <c r="C108" s="69" t="n"/>
      <c r="D108" s="86" t="n"/>
      <c r="F108" s="85">
        <f>IF(AND($B108&lt;&gt;"",$B108='קבוצות'!$A$3),IF(F107="","",F107&amp;", ")&amp;$A108,F107)</f>
        <v/>
      </c>
      <c r="G108" s="85">
        <f>IF(AND($B108&lt;&gt;"",$B108='קבוצות'!$A$4),IF(G107="","",G107&amp;", ")&amp;$A108,G107)</f>
        <v/>
      </c>
      <c r="H108" s="85">
        <f>IF(AND($B108&lt;&gt;"",$B108='קבוצות'!$A$5),IF(H107="","",H107&amp;", ")&amp;$A108,H107)</f>
        <v/>
      </c>
      <c r="I108" s="85">
        <f>IF(AND($B108&lt;&gt;"",$B108='קבוצות'!$A$6),IF(I107="","",I107&amp;", ")&amp;$A108,I107)</f>
        <v/>
      </c>
      <c r="J108" s="85">
        <f>IF(AND($B108&lt;&gt;"",$B108='קבוצות'!$A$7),IF(J107="","",J107&amp;", ")&amp;$A108,J107)</f>
        <v/>
      </c>
      <c r="K108" s="85">
        <f>IF(AND($B108&lt;&gt;"",$B108='קבוצות'!$A$8),IF(K107="","",K107&amp;", ")&amp;$A108,K107)</f>
        <v/>
      </c>
    </row>
    <row r="109" ht="20" customHeight="1">
      <c r="A109" s="19" t="n"/>
      <c r="B109" s="69" t="n"/>
      <c r="C109" s="69" t="n"/>
      <c r="D109" s="86" t="n"/>
      <c r="F109" s="85">
        <f>IF(AND($B109&lt;&gt;"",$B109='קבוצות'!$A$3),IF(F108="","",F108&amp;", ")&amp;$A109,F108)</f>
        <v/>
      </c>
      <c r="G109" s="85">
        <f>IF(AND($B109&lt;&gt;"",$B109='קבוצות'!$A$4),IF(G108="","",G108&amp;", ")&amp;$A109,G108)</f>
        <v/>
      </c>
      <c r="H109" s="85">
        <f>IF(AND($B109&lt;&gt;"",$B109='קבוצות'!$A$5),IF(H108="","",H108&amp;", ")&amp;$A109,H108)</f>
        <v/>
      </c>
      <c r="I109" s="85">
        <f>IF(AND($B109&lt;&gt;"",$B109='קבוצות'!$A$6),IF(I108="","",I108&amp;", ")&amp;$A109,I108)</f>
        <v/>
      </c>
      <c r="J109" s="85">
        <f>IF(AND($B109&lt;&gt;"",$B109='קבוצות'!$A$7),IF(J108="","",J108&amp;", ")&amp;$A109,J108)</f>
        <v/>
      </c>
      <c r="K109" s="85">
        <f>IF(AND($B109&lt;&gt;"",$B109='קבוצות'!$A$8),IF(K108="","",K108&amp;", ")&amp;$A109,K108)</f>
        <v/>
      </c>
    </row>
    <row r="110" ht="20" customHeight="1">
      <c r="A110" s="19" t="n"/>
      <c r="B110" s="69" t="n"/>
      <c r="C110" s="69" t="n"/>
      <c r="D110" s="86" t="n"/>
      <c r="F110" s="85">
        <f>IF(AND($B110&lt;&gt;"",$B110='קבוצות'!$A$3),IF(F109="","",F109&amp;", ")&amp;$A110,F109)</f>
        <v/>
      </c>
      <c r="G110" s="85">
        <f>IF(AND($B110&lt;&gt;"",$B110='קבוצות'!$A$4),IF(G109="","",G109&amp;", ")&amp;$A110,G109)</f>
        <v/>
      </c>
      <c r="H110" s="85">
        <f>IF(AND($B110&lt;&gt;"",$B110='קבוצות'!$A$5),IF(H109="","",H109&amp;", ")&amp;$A110,H109)</f>
        <v/>
      </c>
      <c r="I110" s="85">
        <f>IF(AND($B110&lt;&gt;"",$B110='קבוצות'!$A$6),IF(I109="","",I109&amp;", ")&amp;$A110,I109)</f>
        <v/>
      </c>
      <c r="J110" s="85">
        <f>IF(AND($B110&lt;&gt;"",$B110='קבוצות'!$A$7),IF(J109="","",J109&amp;", ")&amp;$A110,J109)</f>
        <v/>
      </c>
      <c r="K110" s="85">
        <f>IF(AND($B110&lt;&gt;"",$B110='קבוצות'!$A$8),IF(K109="","",K109&amp;", ")&amp;$A110,K109)</f>
        <v/>
      </c>
    </row>
    <row r="111" ht="20" customHeight="1">
      <c r="A111" s="19" t="n"/>
      <c r="B111" s="69" t="n"/>
      <c r="C111" s="69" t="n"/>
      <c r="D111" s="86" t="n"/>
      <c r="F111" s="85">
        <f>IF(AND($B111&lt;&gt;"",$B111='קבוצות'!$A$3),IF(F110="","",F110&amp;", ")&amp;$A111,F110)</f>
        <v/>
      </c>
      <c r="G111" s="85">
        <f>IF(AND($B111&lt;&gt;"",$B111='קבוצות'!$A$4),IF(G110="","",G110&amp;", ")&amp;$A111,G110)</f>
        <v/>
      </c>
      <c r="H111" s="85">
        <f>IF(AND($B111&lt;&gt;"",$B111='קבוצות'!$A$5),IF(H110="","",H110&amp;", ")&amp;$A111,H110)</f>
        <v/>
      </c>
      <c r="I111" s="85">
        <f>IF(AND($B111&lt;&gt;"",$B111='קבוצות'!$A$6),IF(I110="","",I110&amp;", ")&amp;$A111,I110)</f>
        <v/>
      </c>
      <c r="J111" s="85">
        <f>IF(AND($B111&lt;&gt;"",$B111='קבוצות'!$A$7),IF(J110="","",J110&amp;", ")&amp;$A111,J110)</f>
        <v/>
      </c>
      <c r="K111" s="85">
        <f>IF(AND($B111&lt;&gt;"",$B111='קבוצות'!$A$8),IF(K110="","",K110&amp;", ")&amp;$A111,K110)</f>
        <v/>
      </c>
    </row>
    <row r="112" ht="20" customHeight="1">
      <c r="A112" s="19" t="n"/>
      <c r="B112" s="69" t="n"/>
      <c r="C112" s="69" t="n"/>
      <c r="D112" s="86" t="n"/>
      <c r="F112" s="85">
        <f>IF(AND($B112&lt;&gt;"",$B112='קבוצות'!$A$3),IF(F111="","",F111&amp;", ")&amp;$A112,F111)</f>
        <v/>
      </c>
      <c r="G112" s="85">
        <f>IF(AND($B112&lt;&gt;"",$B112='קבוצות'!$A$4),IF(G111="","",G111&amp;", ")&amp;$A112,G111)</f>
        <v/>
      </c>
      <c r="H112" s="85">
        <f>IF(AND($B112&lt;&gt;"",$B112='קבוצות'!$A$5),IF(H111="","",H111&amp;", ")&amp;$A112,H111)</f>
        <v/>
      </c>
      <c r="I112" s="85">
        <f>IF(AND($B112&lt;&gt;"",$B112='קבוצות'!$A$6),IF(I111="","",I111&amp;", ")&amp;$A112,I111)</f>
        <v/>
      </c>
      <c r="J112" s="85">
        <f>IF(AND($B112&lt;&gt;"",$B112='קבוצות'!$A$7),IF(J111="","",J111&amp;", ")&amp;$A112,J111)</f>
        <v/>
      </c>
      <c r="K112" s="85">
        <f>IF(AND($B112&lt;&gt;"",$B112='קבוצות'!$A$8),IF(K111="","",K111&amp;", ")&amp;$A112,K111)</f>
        <v/>
      </c>
    </row>
    <row r="113" ht="20" customHeight="1">
      <c r="A113" s="19" t="n"/>
      <c r="B113" s="69" t="n"/>
      <c r="C113" s="69" t="n"/>
      <c r="D113" s="86" t="n"/>
      <c r="F113" s="85">
        <f>IF(AND($B113&lt;&gt;"",$B113='קבוצות'!$A$3),IF(F112="","",F112&amp;", ")&amp;$A113,F112)</f>
        <v/>
      </c>
      <c r="G113" s="85">
        <f>IF(AND($B113&lt;&gt;"",$B113='קבוצות'!$A$4),IF(G112="","",G112&amp;", ")&amp;$A113,G112)</f>
        <v/>
      </c>
      <c r="H113" s="85">
        <f>IF(AND($B113&lt;&gt;"",$B113='קבוצות'!$A$5),IF(H112="","",H112&amp;", ")&amp;$A113,H112)</f>
        <v/>
      </c>
      <c r="I113" s="85">
        <f>IF(AND($B113&lt;&gt;"",$B113='קבוצות'!$A$6),IF(I112="","",I112&amp;", ")&amp;$A113,I112)</f>
        <v/>
      </c>
      <c r="J113" s="85">
        <f>IF(AND($B113&lt;&gt;"",$B113='קבוצות'!$A$7),IF(J112="","",J112&amp;", ")&amp;$A113,J112)</f>
        <v/>
      </c>
      <c r="K113" s="85">
        <f>IF(AND($B113&lt;&gt;"",$B113='קבוצות'!$A$8),IF(K112="","",K112&amp;", ")&amp;$A113,K112)</f>
        <v/>
      </c>
    </row>
    <row r="114" ht="20" customHeight="1">
      <c r="A114" s="19" t="n"/>
      <c r="B114" s="69" t="n"/>
      <c r="C114" s="69" t="n"/>
      <c r="D114" s="86" t="n"/>
      <c r="F114" s="85">
        <f>IF(AND($B114&lt;&gt;"",$B114='קבוצות'!$A$3),IF(F113="","",F113&amp;", ")&amp;$A114,F113)</f>
        <v/>
      </c>
      <c r="G114" s="85">
        <f>IF(AND($B114&lt;&gt;"",$B114='קבוצות'!$A$4),IF(G113="","",G113&amp;", ")&amp;$A114,G113)</f>
        <v/>
      </c>
      <c r="H114" s="85">
        <f>IF(AND($B114&lt;&gt;"",$B114='קבוצות'!$A$5),IF(H113="","",H113&amp;", ")&amp;$A114,H113)</f>
        <v/>
      </c>
      <c r="I114" s="85">
        <f>IF(AND($B114&lt;&gt;"",$B114='קבוצות'!$A$6),IF(I113="","",I113&amp;", ")&amp;$A114,I113)</f>
        <v/>
      </c>
      <c r="J114" s="85">
        <f>IF(AND($B114&lt;&gt;"",$B114='קבוצות'!$A$7),IF(J113="","",J113&amp;", ")&amp;$A114,J113)</f>
        <v/>
      </c>
      <c r="K114" s="85">
        <f>IF(AND($B114&lt;&gt;"",$B114='קבוצות'!$A$8),IF(K113="","",K113&amp;", ")&amp;$A114,K113)</f>
        <v/>
      </c>
    </row>
    <row r="115" ht="20" customHeight="1">
      <c r="A115" s="19" t="n"/>
      <c r="B115" s="69" t="n"/>
      <c r="C115" s="69" t="n"/>
      <c r="D115" s="86" t="n"/>
      <c r="F115" s="85">
        <f>IF(AND($B115&lt;&gt;"",$B115='קבוצות'!$A$3),IF(F114="","",F114&amp;", ")&amp;$A115,F114)</f>
        <v/>
      </c>
      <c r="G115" s="85">
        <f>IF(AND($B115&lt;&gt;"",$B115='קבוצות'!$A$4),IF(G114="","",G114&amp;", ")&amp;$A115,G114)</f>
        <v/>
      </c>
      <c r="H115" s="85">
        <f>IF(AND($B115&lt;&gt;"",$B115='קבוצות'!$A$5),IF(H114="","",H114&amp;", ")&amp;$A115,H114)</f>
        <v/>
      </c>
      <c r="I115" s="85">
        <f>IF(AND($B115&lt;&gt;"",$B115='קבוצות'!$A$6),IF(I114="","",I114&amp;", ")&amp;$A115,I114)</f>
        <v/>
      </c>
      <c r="J115" s="85">
        <f>IF(AND($B115&lt;&gt;"",$B115='קבוצות'!$A$7),IF(J114="","",J114&amp;", ")&amp;$A115,J114)</f>
        <v/>
      </c>
      <c r="K115" s="85">
        <f>IF(AND($B115&lt;&gt;"",$B115='קבוצות'!$A$8),IF(K114="","",K114&amp;", ")&amp;$A115,K114)</f>
        <v/>
      </c>
    </row>
    <row r="116" ht="20" customHeight="1">
      <c r="A116" s="19" t="n"/>
      <c r="B116" s="69" t="n"/>
      <c r="C116" s="69" t="n"/>
      <c r="D116" s="86" t="n"/>
      <c r="F116" s="85">
        <f>IF(AND($B116&lt;&gt;"",$B116='קבוצות'!$A$3),IF(F115="","",F115&amp;", ")&amp;$A116,F115)</f>
        <v/>
      </c>
      <c r="G116" s="85">
        <f>IF(AND($B116&lt;&gt;"",$B116='קבוצות'!$A$4),IF(G115="","",G115&amp;", ")&amp;$A116,G115)</f>
        <v/>
      </c>
      <c r="H116" s="85">
        <f>IF(AND($B116&lt;&gt;"",$B116='קבוצות'!$A$5),IF(H115="","",H115&amp;", ")&amp;$A116,H115)</f>
        <v/>
      </c>
      <c r="I116" s="85">
        <f>IF(AND($B116&lt;&gt;"",$B116='קבוצות'!$A$6),IF(I115="","",I115&amp;", ")&amp;$A116,I115)</f>
        <v/>
      </c>
      <c r="J116" s="85">
        <f>IF(AND($B116&lt;&gt;"",$B116='קבוצות'!$A$7),IF(J115="","",J115&amp;", ")&amp;$A116,J115)</f>
        <v/>
      </c>
      <c r="K116" s="85">
        <f>IF(AND($B116&lt;&gt;"",$B116='קבוצות'!$A$8),IF(K115="","",K115&amp;", ")&amp;$A116,K115)</f>
        <v/>
      </c>
    </row>
    <row r="117" ht="20" customHeight="1">
      <c r="A117" s="19" t="n"/>
      <c r="B117" s="69" t="n"/>
      <c r="C117" s="69" t="n"/>
      <c r="D117" s="86" t="n"/>
      <c r="F117" s="85">
        <f>IF(AND($B117&lt;&gt;"",$B117='קבוצות'!$A$3),IF(F116="","",F116&amp;", ")&amp;$A117,F116)</f>
        <v/>
      </c>
      <c r="G117" s="85">
        <f>IF(AND($B117&lt;&gt;"",$B117='קבוצות'!$A$4),IF(G116="","",G116&amp;", ")&amp;$A117,G116)</f>
        <v/>
      </c>
      <c r="H117" s="85">
        <f>IF(AND($B117&lt;&gt;"",$B117='קבוצות'!$A$5),IF(H116="","",H116&amp;", ")&amp;$A117,H116)</f>
        <v/>
      </c>
      <c r="I117" s="85">
        <f>IF(AND($B117&lt;&gt;"",$B117='קבוצות'!$A$6),IF(I116="","",I116&amp;", ")&amp;$A117,I116)</f>
        <v/>
      </c>
      <c r="J117" s="85">
        <f>IF(AND($B117&lt;&gt;"",$B117='קבוצות'!$A$7),IF(J116="","",J116&amp;", ")&amp;$A117,J116)</f>
        <v/>
      </c>
      <c r="K117" s="85">
        <f>IF(AND($B117&lt;&gt;"",$B117='קבוצות'!$A$8),IF(K116="","",K116&amp;", ")&amp;$A117,K116)</f>
        <v/>
      </c>
    </row>
    <row r="118" ht="20" customHeight="1">
      <c r="A118" s="19" t="n"/>
      <c r="B118" s="69" t="n"/>
      <c r="C118" s="69" t="n"/>
      <c r="D118" s="86" t="n"/>
      <c r="F118" s="85">
        <f>IF(AND($B118&lt;&gt;"",$B118='קבוצות'!$A$3),IF(F117="","",F117&amp;", ")&amp;$A118,F117)</f>
        <v/>
      </c>
      <c r="G118" s="85">
        <f>IF(AND($B118&lt;&gt;"",$B118='קבוצות'!$A$4),IF(G117="","",G117&amp;", ")&amp;$A118,G117)</f>
        <v/>
      </c>
      <c r="H118" s="85">
        <f>IF(AND($B118&lt;&gt;"",$B118='קבוצות'!$A$5),IF(H117="","",H117&amp;", ")&amp;$A118,H117)</f>
        <v/>
      </c>
      <c r="I118" s="85">
        <f>IF(AND($B118&lt;&gt;"",$B118='קבוצות'!$A$6),IF(I117="","",I117&amp;", ")&amp;$A118,I117)</f>
        <v/>
      </c>
      <c r="J118" s="85">
        <f>IF(AND($B118&lt;&gt;"",$B118='קבוצות'!$A$7),IF(J117="","",J117&amp;", ")&amp;$A118,J117)</f>
        <v/>
      </c>
      <c r="K118" s="85">
        <f>IF(AND($B118&lt;&gt;"",$B118='קבוצות'!$A$8),IF(K117="","",K117&amp;", ")&amp;$A118,K117)</f>
        <v/>
      </c>
    </row>
    <row r="119" ht="20" customHeight="1">
      <c r="A119" s="19" t="n"/>
      <c r="B119" s="69" t="n"/>
      <c r="C119" s="69" t="n"/>
      <c r="D119" s="86" t="n"/>
      <c r="F119" s="85">
        <f>IF(AND($B119&lt;&gt;"",$B119='קבוצות'!$A$3),IF(F118="","",F118&amp;", ")&amp;$A119,F118)</f>
        <v/>
      </c>
      <c r="G119" s="85">
        <f>IF(AND($B119&lt;&gt;"",$B119='קבוצות'!$A$4),IF(G118="","",G118&amp;", ")&amp;$A119,G118)</f>
        <v/>
      </c>
      <c r="H119" s="85">
        <f>IF(AND($B119&lt;&gt;"",$B119='קבוצות'!$A$5),IF(H118="","",H118&amp;", ")&amp;$A119,H118)</f>
        <v/>
      </c>
      <c r="I119" s="85">
        <f>IF(AND($B119&lt;&gt;"",$B119='קבוצות'!$A$6),IF(I118="","",I118&amp;", ")&amp;$A119,I118)</f>
        <v/>
      </c>
      <c r="J119" s="85">
        <f>IF(AND($B119&lt;&gt;"",$B119='קבוצות'!$A$7),IF(J118="","",J118&amp;", ")&amp;$A119,J118)</f>
        <v/>
      </c>
      <c r="K119" s="85">
        <f>IF(AND($B119&lt;&gt;"",$B119='קבוצות'!$A$8),IF(K118="","",K118&amp;", ")&amp;$A119,K118)</f>
        <v/>
      </c>
    </row>
    <row r="120" ht="20" customHeight="1">
      <c r="A120" s="19" t="n"/>
      <c r="B120" s="69" t="n"/>
      <c r="C120" s="69" t="n"/>
      <c r="D120" s="86" t="n"/>
      <c r="F120" s="85">
        <f>IF(AND($B120&lt;&gt;"",$B120='קבוצות'!$A$3),IF(F119="","",F119&amp;", ")&amp;$A120,F119)</f>
        <v/>
      </c>
      <c r="G120" s="85">
        <f>IF(AND($B120&lt;&gt;"",$B120='קבוצות'!$A$4),IF(G119="","",G119&amp;", ")&amp;$A120,G119)</f>
        <v/>
      </c>
      <c r="H120" s="85">
        <f>IF(AND($B120&lt;&gt;"",$B120='קבוצות'!$A$5),IF(H119="","",H119&amp;", ")&amp;$A120,H119)</f>
        <v/>
      </c>
      <c r="I120" s="85">
        <f>IF(AND($B120&lt;&gt;"",$B120='קבוצות'!$A$6),IF(I119="","",I119&amp;", ")&amp;$A120,I119)</f>
        <v/>
      </c>
      <c r="J120" s="85">
        <f>IF(AND($B120&lt;&gt;"",$B120='קבוצות'!$A$7),IF(J119="","",J119&amp;", ")&amp;$A120,J119)</f>
        <v/>
      </c>
      <c r="K120" s="85">
        <f>IF(AND($B120&lt;&gt;"",$B120='קבוצות'!$A$8),IF(K119="","",K119&amp;", ")&amp;$A120,K119)</f>
        <v/>
      </c>
    </row>
    <row r="121" ht="20" customHeight="1">
      <c r="A121" s="19" t="n"/>
      <c r="B121" s="69" t="n"/>
      <c r="C121" s="69" t="n"/>
      <c r="D121" s="86" t="n"/>
      <c r="F121" s="85">
        <f>IF(AND($B121&lt;&gt;"",$B121='קבוצות'!$A$3),IF(F120="","",F120&amp;", ")&amp;$A121,F120)</f>
        <v/>
      </c>
      <c r="G121" s="85">
        <f>IF(AND($B121&lt;&gt;"",$B121='קבוצות'!$A$4),IF(G120="","",G120&amp;", ")&amp;$A121,G120)</f>
        <v/>
      </c>
      <c r="H121" s="85">
        <f>IF(AND($B121&lt;&gt;"",$B121='קבוצות'!$A$5),IF(H120="","",H120&amp;", ")&amp;$A121,H120)</f>
        <v/>
      </c>
      <c r="I121" s="85">
        <f>IF(AND($B121&lt;&gt;"",$B121='קבוצות'!$A$6),IF(I120="","",I120&amp;", ")&amp;$A121,I120)</f>
        <v/>
      </c>
      <c r="J121" s="85">
        <f>IF(AND($B121&lt;&gt;"",$B121='קבוצות'!$A$7),IF(J120="","",J120&amp;", ")&amp;$A121,J120)</f>
        <v/>
      </c>
      <c r="K121" s="85">
        <f>IF(AND($B121&lt;&gt;"",$B121='קבוצות'!$A$8),IF(K120="","",K120&amp;", ")&amp;$A121,K120)</f>
        <v/>
      </c>
    </row>
    <row r="122" ht="20" customHeight="1">
      <c r="A122" s="19" t="n"/>
      <c r="B122" s="69" t="n"/>
      <c r="C122" s="69" t="n"/>
      <c r="D122" s="86" t="n"/>
      <c r="F122" s="85">
        <f>IF(AND($B122&lt;&gt;"",$B122='קבוצות'!$A$3),IF(F121="","",F121&amp;", ")&amp;$A122,F121)</f>
        <v/>
      </c>
      <c r="G122" s="85">
        <f>IF(AND($B122&lt;&gt;"",$B122='קבוצות'!$A$4),IF(G121="","",G121&amp;", ")&amp;$A122,G121)</f>
        <v/>
      </c>
      <c r="H122" s="85">
        <f>IF(AND($B122&lt;&gt;"",$B122='קבוצות'!$A$5),IF(H121="","",H121&amp;", ")&amp;$A122,H121)</f>
        <v/>
      </c>
      <c r="I122" s="85">
        <f>IF(AND($B122&lt;&gt;"",$B122='קבוצות'!$A$6),IF(I121="","",I121&amp;", ")&amp;$A122,I121)</f>
        <v/>
      </c>
      <c r="J122" s="85">
        <f>IF(AND($B122&lt;&gt;"",$B122='קבוצות'!$A$7),IF(J121="","",J121&amp;", ")&amp;$A122,J121)</f>
        <v/>
      </c>
      <c r="K122" s="85">
        <f>IF(AND($B122&lt;&gt;"",$B122='קבוצות'!$A$8),IF(K121="","",K121&amp;", ")&amp;$A122,K121)</f>
        <v/>
      </c>
    </row>
    <row r="123" ht="20" customHeight="1">
      <c r="A123" s="19" t="n"/>
      <c r="B123" s="69" t="n"/>
      <c r="C123" s="69" t="n"/>
      <c r="D123" s="86" t="n"/>
      <c r="F123" s="85">
        <f>IF(AND($B123&lt;&gt;"",$B123='קבוצות'!$A$3),IF(F122="","",F122&amp;", ")&amp;$A123,F122)</f>
        <v/>
      </c>
      <c r="G123" s="85">
        <f>IF(AND($B123&lt;&gt;"",$B123='קבוצות'!$A$4),IF(G122="","",G122&amp;", ")&amp;$A123,G122)</f>
        <v/>
      </c>
      <c r="H123" s="85">
        <f>IF(AND($B123&lt;&gt;"",$B123='קבוצות'!$A$5),IF(H122="","",H122&amp;", ")&amp;$A123,H122)</f>
        <v/>
      </c>
      <c r="I123" s="85">
        <f>IF(AND($B123&lt;&gt;"",$B123='קבוצות'!$A$6),IF(I122="","",I122&amp;", ")&amp;$A123,I122)</f>
        <v/>
      </c>
      <c r="J123" s="85">
        <f>IF(AND($B123&lt;&gt;"",$B123='קבוצות'!$A$7),IF(J122="","",J122&amp;", ")&amp;$A123,J122)</f>
        <v/>
      </c>
      <c r="K123" s="85">
        <f>IF(AND($B123&lt;&gt;"",$B123='קבוצות'!$A$8),IF(K122="","",K122&amp;", ")&amp;$A123,K122)</f>
        <v/>
      </c>
    </row>
    <row r="124" ht="20" customHeight="1">
      <c r="A124" s="19" t="n"/>
      <c r="B124" s="69" t="n"/>
      <c r="C124" s="69" t="n"/>
      <c r="D124" s="86" t="n"/>
      <c r="F124" s="85">
        <f>IF(AND($B124&lt;&gt;"",$B124='קבוצות'!$A$3),IF(F123="","",F123&amp;", ")&amp;$A124,F123)</f>
        <v/>
      </c>
      <c r="G124" s="85">
        <f>IF(AND($B124&lt;&gt;"",$B124='קבוצות'!$A$4),IF(G123="","",G123&amp;", ")&amp;$A124,G123)</f>
        <v/>
      </c>
      <c r="H124" s="85">
        <f>IF(AND($B124&lt;&gt;"",$B124='קבוצות'!$A$5),IF(H123="","",H123&amp;", ")&amp;$A124,H123)</f>
        <v/>
      </c>
      <c r="I124" s="85">
        <f>IF(AND($B124&lt;&gt;"",$B124='קבוצות'!$A$6),IF(I123="","",I123&amp;", ")&amp;$A124,I123)</f>
        <v/>
      </c>
      <c r="J124" s="85">
        <f>IF(AND($B124&lt;&gt;"",$B124='קבוצות'!$A$7),IF(J123="","",J123&amp;", ")&amp;$A124,J123)</f>
        <v/>
      </c>
      <c r="K124" s="85">
        <f>IF(AND($B124&lt;&gt;"",$B124='קבוצות'!$A$8),IF(K123="","",K123&amp;", ")&amp;$A124,K123)</f>
        <v/>
      </c>
    </row>
    <row r="125" ht="20" customHeight="1">
      <c r="A125" s="19" t="n"/>
      <c r="B125" s="69" t="n"/>
      <c r="C125" s="69" t="n"/>
      <c r="D125" s="86" t="n"/>
      <c r="F125" s="85">
        <f>IF(AND($B125&lt;&gt;"",$B125='קבוצות'!$A$3),IF(F124="","",F124&amp;", ")&amp;$A125,F124)</f>
        <v/>
      </c>
      <c r="G125" s="85">
        <f>IF(AND($B125&lt;&gt;"",$B125='קבוצות'!$A$4),IF(G124="","",G124&amp;", ")&amp;$A125,G124)</f>
        <v/>
      </c>
      <c r="H125" s="85">
        <f>IF(AND($B125&lt;&gt;"",$B125='קבוצות'!$A$5),IF(H124="","",H124&amp;", ")&amp;$A125,H124)</f>
        <v/>
      </c>
      <c r="I125" s="85">
        <f>IF(AND($B125&lt;&gt;"",$B125='קבוצות'!$A$6),IF(I124="","",I124&amp;", ")&amp;$A125,I124)</f>
        <v/>
      </c>
      <c r="J125" s="85">
        <f>IF(AND($B125&lt;&gt;"",$B125='קבוצות'!$A$7),IF(J124="","",J124&amp;", ")&amp;$A125,J124)</f>
        <v/>
      </c>
      <c r="K125" s="85">
        <f>IF(AND($B125&lt;&gt;"",$B125='קבוצות'!$A$8),IF(K124="","",K124&amp;", ")&amp;$A125,K124)</f>
        <v/>
      </c>
    </row>
    <row r="126" ht="20" customHeight="1">
      <c r="A126" s="19" t="n"/>
      <c r="B126" s="69" t="n"/>
      <c r="C126" s="69" t="n"/>
      <c r="D126" s="86" t="n"/>
      <c r="F126" s="85">
        <f>IF(AND($B126&lt;&gt;"",$B126='קבוצות'!$A$3),IF(F125="","",F125&amp;", ")&amp;$A126,F125)</f>
        <v/>
      </c>
      <c r="G126" s="85">
        <f>IF(AND($B126&lt;&gt;"",$B126='קבוצות'!$A$4),IF(G125="","",G125&amp;", ")&amp;$A126,G125)</f>
        <v/>
      </c>
      <c r="H126" s="85">
        <f>IF(AND($B126&lt;&gt;"",$B126='קבוצות'!$A$5),IF(H125="","",H125&amp;", ")&amp;$A126,H125)</f>
        <v/>
      </c>
      <c r="I126" s="85">
        <f>IF(AND($B126&lt;&gt;"",$B126='קבוצות'!$A$6),IF(I125="","",I125&amp;", ")&amp;$A126,I125)</f>
        <v/>
      </c>
      <c r="J126" s="85">
        <f>IF(AND($B126&lt;&gt;"",$B126='קבוצות'!$A$7),IF(J125="","",J125&amp;", ")&amp;$A126,J125)</f>
        <v/>
      </c>
      <c r="K126" s="85">
        <f>IF(AND($B126&lt;&gt;"",$B126='קבוצות'!$A$8),IF(K125="","",K125&amp;", ")&amp;$A126,K125)</f>
        <v/>
      </c>
    </row>
    <row r="127" ht="20" customHeight="1">
      <c r="A127" s="19" t="n"/>
      <c r="B127" s="69" t="n"/>
      <c r="C127" s="69" t="n"/>
      <c r="D127" s="86" t="n"/>
      <c r="F127" s="85">
        <f>IF(AND($B127&lt;&gt;"",$B127='קבוצות'!$A$3),IF(F126="","",F126&amp;", ")&amp;$A127,F126)</f>
        <v/>
      </c>
      <c r="G127" s="85">
        <f>IF(AND($B127&lt;&gt;"",$B127='קבוצות'!$A$4),IF(G126="","",G126&amp;", ")&amp;$A127,G126)</f>
        <v/>
      </c>
      <c r="H127" s="85">
        <f>IF(AND($B127&lt;&gt;"",$B127='קבוצות'!$A$5),IF(H126="","",H126&amp;", ")&amp;$A127,H126)</f>
        <v/>
      </c>
      <c r="I127" s="85">
        <f>IF(AND($B127&lt;&gt;"",$B127='קבוצות'!$A$6),IF(I126="","",I126&amp;", ")&amp;$A127,I126)</f>
        <v/>
      </c>
      <c r="J127" s="85">
        <f>IF(AND($B127&lt;&gt;"",$B127='קבוצות'!$A$7),IF(J126="","",J126&amp;", ")&amp;$A127,J126)</f>
        <v/>
      </c>
      <c r="K127" s="85">
        <f>IF(AND($B127&lt;&gt;"",$B127='קבוצות'!$A$8),IF(K126="","",K126&amp;", ")&amp;$A127,K126)</f>
        <v/>
      </c>
    </row>
    <row r="128" ht="20" customHeight="1">
      <c r="A128" s="19" t="n"/>
      <c r="B128" s="69" t="n"/>
      <c r="C128" s="69" t="n"/>
      <c r="D128" s="86" t="n"/>
      <c r="F128" s="85">
        <f>IF(AND($B128&lt;&gt;"",$B128='קבוצות'!$A$3),IF(F127="","",F127&amp;", ")&amp;$A128,F127)</f>
        <v/>
      </c>
      <c r="G128" s="85">
        <f>IF(AND($B128&lt;&gt;"",$B128='קבוצות'!$A$4),IF(G127="","",G127&amp;", ")&amp;$A128,G127)</f>
        <v/>
      </c>
      <c r="H128" s="85">
        <f>IF(AND($B128&lt;&gt;"",$B128='קבוצות'!$A$5),IF(H127="","",H127&amp;", ")&amp;$A128,H127)</f>
        <v/>
      </c>
      <c r="I128" s="85">
        <f>IF(AND($B128&lt;&gt;"",$B128='קבוצות'!$A$6),IF(I127="","",I127&amp;", ")&amp;$A128,I127)</f>
        <v/>
      </c>
      <c r="J128" s="85">
        <f>IF(AND($B128&lt;&gt;"",$B128='קבוצות'!$A$7),IF(J127="","",J127&amp;", ")&amp;$A128,J127)</f>
        <v/>
      </c>
      <c r="K128" s="85">
        <f>IF(AND($B128&lt;&gt;"",$B128='קבוצות'!$A$8),IF(K127="","",K127&amp;", ")&amp;$A128,K127)</f>
        <v/>
      </c>
    </row>
    <row r="129" ht="20" customHeight="1">
      <c r="A129" s="19" t="n"/>
      <c r="B129" s="69" t="n"/>
      <c r="C129" s="69" t="n"/>
      <c r="D129" s="86" t="n"/>
      <c r="F129" s="85">
        <f>IF(AND($B129&lt;&gt;"",$B129='קבוצות'!$A$3),IF(F128="","",F128&amp;", ")&amp;$A129,F128)</f>
        <v/>
      </c>
      <c r="G129" s="85">
        <f>IF(AND($B129&lt;&gt;"",$B129='קבוצות'!$A$4),IF(G128="","",G128&amp;", ")&amp;$A129,G128)</f>
        <v/>
      </c>
      <c r="H129" s="85">
        <f>IF(AND($B129&lt;&gt;"",$B129='קבוצות'!$A$5),IF(H128="","",H128&amp;", ")&amp;$A129,H128)</f>
        <v/>
      </c>
      <c r="I129" s="85">
        <f>IF(AND($B129&lt;&gt;"",$B129='קבוצות'!$A$6),IF(I128="","",I128&amp;", ")&amp;$A129,I128)</f>
        <v/>
      </c>
      <c r="J129" s="85">
        <f>IF(AND($B129&lt;&gt;"",$B129='קבוצות'!$A$7),IF(J128="","",J128&amp;", ")&amp;$A129,J128)</f>
        <v/>
      </c>
      <c r="K129" s="85">
        <f>IF(AND($B129&lt;&gt;"",$B129='קבוצות'!$A$8),IF(K128="","",K128&amp;", ")&amp;$A129,K128)</f>
        <v/>
      </c>
    </row>
    <row r="130" ht="20" customHeight="1">
      <c r="A130" s="19" t="n"/>
      <c r="B130" s="69" t="n"/>
      <c r="C130" s="69" t="n"/>
      <c r="D130" s="86" t="n"/>
      <c r="F130" s="85">
        <f>IF(AND($B130&lt;&gt;"",$B130='קבוצות'!$A$3),IF(F129="","",F129&amp;", ")&amp;$A130,F129)</f>
        <v/>
      </c>
      <c r="G130" s="85">
        <f>IF(AND($B130&lt;&gt;"",$B130='קבוצות'!$A$4),IF(G129="","",G129&amp;", ")&amp;$A130,G129)</f>
        <v/>
      </c>
      <c r="H130" s="85">
        <f>IF(AND($B130&lt;&gt;"",$B130='קבוצות'!$A$5),IF(H129="","",H129&amp;", ")&amp;$A130,H129)</f>
        <v/>
      </c>
      <c r="I130" s="85">
        <f>IF(AND($B130&lt;&gt;"",$B130='קבוצות'!$A$6),IF(I129="","",I129&amp;", ")&amp;$A130,I129)</f>
        <v/>
      </c>
      <c r="J130" s="85">
        <f>IF(AND($B130&lt;&gt;"",$B130='קבוצות'!$A$7),IF(J129="","",J129&amp;", ")&amp;$A130,J129)</f>
        <v/>
      </c>
      <c r="K130" s="85">
        <f>IF(AND($B130&lt;&gt;"",$B130='קבוצות'!$A$8),IF(K129="","",K129&amp;", ")&amp;$A130,K129)</f>
        <v/>
      </c>
    </row>
    <row r="131" ht="20" customHeight="1">
      <c r="A131" s="19" t="n"/>
      <c r="B131" s="69" t="n"/>
      <c r="C131" s="69" t="n"/>
      <c r="D131" s="86" t="n"/>
      <c r="F131" s="85">
        <f>IF(AND($B131&lt;&gt;"",$B131='קבוצות'!$A$3),IF(F130="","",F130&amp;", ")&amp;$A131,F130)</f>
        <v/>
      </c>
      <c r="G131" s="85">
        <f>IF(AND($B131&lt;&gt;"",$B131='קבוצות'!$A$4),IF(G130="","",G130&amp;", ")&amp;$A131,G130)</f>
        <v/>
      </c>
      <c r="H131" s="85">
        <f>IF(AND($B131&lt;&gt;"",$B131='קבוצות'!$A$5),IF(H130="","",H130&amp;", ")&amp;$A131,H130)</f>
        <v/>
      </c>
      <c r="I131" s="85">
        <f>IF(AND($B131&lt;&gt;"",$B131='קבוצות'!$A$6),IF(I130="","",I130&amp;", ")&amp;$A131,I130)</f>
        <v/>
      </c>
      <c r="J131" s="85">
        <f>IF(AND($B131&lt;&gt;"",$B131='קבוצות'!$A$7),IF(J130="","",J130&amp;", ")&amp;$A131,J130)</f>
        <v/>
      </c>
      <c r="K131" s="85">
        <f>IF(AND($B131&lt;&gt;"",$B131='קבוצות'!$A$8),IF(K130="","",K130&amp;", ")&amp;$A131,K130)</f>
        <v/>
      </c>
    </row>
    <row r="132" ht="20" customHeight="1">
      <c r="A132" s="19" t="n"/>
      <c r="B132" s="69" t="n"/>
      <c r="C132" s="69" t="n"/>
      <c r="D132" s="86" t="n"/>
      <c r="F132" s="85">
        <f>IF(AND($B132&lt;&gt;"",$B132='קבוצות'!$A$3),IF(F131="","",F131&amp;", ")&amp;$A132,F131)</f>
        <v/>
      </c>
      <c r="G132" s="85">
        <f>IF(AND($B132&lt;&gt;"",$B132='קבוצות'!$A$4),IF(G131="","",G131&amp;", ")&amp;$A132,G131)</f>
        <v/>
      </c>
      <c r="H132" s="85">
        <f>IF(AND($B132&lt;&gt;"",$B132='קבוצות'!$A$5),IF(H131="","",H131&amp;", ")&amp;$A132,H131)</f>
        <v/>
      </c>
      <c r="I132" s="85">
        <f>IF(AND($B132&lt;&gt;"",$B132='קבוצות'!$A$6),IF(I131="","",I131&amp;", ")&amp;$A132,I131)</f>
        <v/>
      </c>
      <c r="J132" s="85">
        <f>IF(AND($B132&lt;&gt;"",$B132='קבוצות'!$A$7),IF(J131="","",J131&amp;", ")&amp;$A132,J131)</f>
        <v/>
      </c>
      <c r="K132" s="85">
        <f>IF(AND($B132&lt;&gt;"",$B132='קבוצות'!$A$8),IF(K131="","",K131&amp;", ")&amp;$A132,K131)</f>
        <v/>
      </c>
    </row>
    <row r="134" ht="28" customHeight="1">
      <c r="A134" s="24" t="inlineStr">
        <is>
          <t>עמודת «קבוצה» היא השיוך לשבת הזו. «קבוצה קבועה» נועדה לחניך שצריך להישאר תמיד באותה קבוצה — סקריפט החלוקה מכבד אותה ומסובב רק את השאר.</t>
        </is>
      </c>
    </row>
  </sheetData>
  <mergeCells count="2">
    <mergeCell ref="A1:D1"/>
    <mergeCell ref="A134:D134"/>
  </mergeCells>
  <dataValidations count="2">
    <dataValidation sqref="B3:B132" showDropDown="0" showInputMessage="0" showErrorMessage="0" allowBlank="1" type="list">
      <formula1>'קבוצות'!$A$3:$A$8</formula1>
    </dataValidation>
    <dataValidation sqref="C3:C132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1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6" customWidth="1" min="3" max="3"/>
    <col width="14" customWidth="1" min="4" max="4"/>
    <col width="12" customWidth="1" min="5" max="5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חניכים (מחושב מגיליון «חניכים»)</t>
        </is>
      </c>
      <c r="D2" s="16" t="inlineStr">
        <is>
          <t>ערכת צבע</t>
        </is>
      </c>
      <c r="E2" s="16" t="inlineStr">
        <is>
          <t>מס' חניכים</t>
        </is>
      </c>
    </row>
    <row r="3" ht="46" customHeight="1">
      <c r="A3" s="80" t="inlineStr">
        <is>
          <t>קבוצה 1</t>
        </is>
      </c>
      <c r="B3" s="86" t="n"/>
      <c r="C3" s="87">
        <f>IF($A3="","",'חניכים'!$F$132&amp;"")</f>
        <v/>
      </c>
      <c r="D3" s="69" t="inlineStr">
        <is>
          <t>ורוד</t>
        </is>
      </c>
      <c r="E3" s="88">
        <f>IF($A3="","",COUNTIF('חניכים'!$B$3:$B$132,$A3))</f>
        <v/>
      </c>
    </row>
    <row r="4" ht="46" customHeight="1">
      <c r="A4" s="80" t="inlineStr">
        <is>
          <t>קבוצה 2</t>
        </is>
      </c>
      <c r="B4" s="86" t="n"/>
      <c r="C4" s="87">
        <f>IF($A4="","",'חניכים'!$G$132&amp;"")</f>
        <v/>
      </c>
      <c r="D4" s="69" t="inlineStr">
        <is>
          <t>ים</t>
        </is>
      </c>
      <c r="E4" s="88">
        <f>IF($A4="","",COUNTIF('חניכים'!$B$3:$B$132,$A4))</f>
        <v/>
      </c>
    </row>
    <row r="5" ht="46" customHeight="1">
      <c r="A5" s="80" t="inlineStr">
        <is>
          <t>קבוצה 3</t>
        </is>
      </c>
      <c r="B5" s="86" t="n"/>
      <c r="C5" s="87">
        <f>IF($A5="","",'חניכים'!$H$132&amp;"")</f>
        <v/>
      </c>
      <c r="D5" s="69" t="inlineStr">
        <is>
          <t>ספארי</t>
        </is>
      </c>
      <c r="E5" s="88">
        <f>IF($A5="","",COUNTIF('חניכים'!$B$3:$B$132,$A5))</f>
        <v/>
      </c>
    </row>
    <row r="6" ht="46" customHeight="1">
      <c r="A6" s="80" t="inlineStr">
        <is>
          <t>קבוצה 4</t>
        </is>
      </c>
      <c r="B6" s="86" t="n"/>
      <c r="C6" s="87">
        <f>IF($A6="","",'חניכים'!$I$132&amp;"")</f>
        <v/>
      </c>
      <c r="D6" s="69" t="inlineStr">
        <is>
          <t>שדה</t>
        </is>
      </c>
      <c r="E6" s="88">
        <f>IF($A6="","",COUNTIF('חניכים'!$B$3:$B$132,$A6))</f>
        <v/>
      </c>
    </row>
    <row r="7" ht="46" customHeight="1">
      <c r="A7" s="80" t="n"/>
      <c r="B7" s="86" t="n"/>
      <c r="C7" s="87">
        <f>IF($A7="","",'חניכים'!$J$132&amp;"")</f>
        <v/>
      </c>
      <c r="D7" s="69" t="inlineStr">
        <is>
          <t>סגול</t>
        </is>
      </c>
      <c r="E7" s="88">
        <f>IF($A7="","",COUNTIF('חניכים'!$B$3:$B$132,$A7))</f>
        <v/>
      </c>
    </row>
    <row r="8" ht="46" customHeight="1">
      <c r="A8" s="80" t="n"/>
      <c r="B8" s="86" t="n"/>
      <c r="C8" s="87">
        <f>IF($A8="","",'חניכים'!$K$132&amp;"")</f>
        <v/>
      </c>
      <c r="D8" s="69" t="inlineStr">
        <is>
          <t>ירוק</t>
        </is>
      </c>
      <c r="E8" s="88">
        <f>IF($A8="","",COUNTIF('חניכים'!$B$3:$B$132,$A8))</f>
        <v/>
      </c>
    </row>
    <row r="10" ht="28" customHeight="1">
      <c r="A10" s="24" t="inlineStr">
        <is>
          <t>שמות הקבוצות והמובילים נקבעים כאן. רשימת החניכים מחושבת מגיליון «חניכים» — אין מה להקליד בה. ערכת הצבע קובעת את צבע הכרטיסייה.</t>
        </is>
      </c>
    </row>
  </sheetData>
  <mergeCells count="2">
    <mergeCell ref="A1:E1"/>
    <mergeCell ref="A10:E10"/>
  </mergeCells>
  <dataValidations count="1">
    <dataValidation sqref="D3:D8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70" customWidth="1" min="4" max="4"/>
    <col width="26" customWidth="1" min="5" max="5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קטגוריה</t>
        </is>
      </c>
      <c r="B2" s="16" t="inlineStr">
        <is>
          <t>תחום אחריות</t>
        </is>
      </c>
      <c r="C2" s="16" t="inlineStr">
        <is>
          <t>חלון זמן</t>
        </is>
      </c>
      <c r="D2" s="16" t="inlineStr">
        <is>
          <t>משימה</t>
        </is>
      </c>
      <c r="E2" s="16" t="inlineStr">
        <is>
          <t>עוגן בלו"ז</t>
        </is>
      </c>
    </row>
    <row r="3" ht="20" customHeight="1">
      <c r="A3" s="89" t="inlineStr">
        <is>
          <t>אפייה ובישול</t>
        </is>
      </c>
      <c r="B3" s="20" t="inlineStr">
        <is>
          <t>מאפים</t>
        </is>
      </c>
      <c r="C3" s="76" t="inlineStr">
        <is>
          <t>חמישי</t>
        </is>
      </c>
      <c r="D3" s="68" t="inlineStr">
        <is>
          <t>הכנת בצקים לעוגות ולחלות</t>
        </is>
      </c>
      <c r="E3" s="76" t="inlineStr">
        <is>
          <t>חמישי — הכנות</t>
        </is>
      </c>
    </row>
    <row r="4" ht="20" customHeight="1">
      <c r="A4" s="89" t="inlineStr">
        <is>
          <t>אפייה ובישול</t>
        </is>
      </c>
      <c r="B4" s="20" t="inlineStr">
        <is>
          <t>מאפים</t>
        </is>
      </c>
      <c r="C4" s="76" t="inlineStr">
        <is>
          <t>שישי</t>
        </is>
      </c>
      <c r="D4" s="68" t="inlineStr">
        <is>
          <t>אפיית חלות</t>
        </is>
      </c>
      <c r="E4" s="76" t="inlineStr">
        <is>
          <t>שישי — הכנות ועבודה</t>
        </is>
      </c>
    </row>
    <row r="5" ht="20" customHeight="1">
      <c r="A5" s="89" t="inlineStr">
        <is>
          <t>אפייה ובישול</t>
        </is>
      </c>
      <c r="B5" s="20" t="inlineStr">
        <is>
          <t>מאפים</t>
        </is>
      </c>
      <c r="C5" s="76" t="inlineStr">
        <is>
          <t>שישי</t>
        </is>
      </c>
      <c r="D5" s="68" t="inlineStr">
        <is>
          <t>אפיית לחמניות</t>
        </is>
      </c>
      <c r="E5" s="76" t="inlineStr">
        <is>
          <t>שישי — הכנות ועבודה</t>
        </is>
      </c>
    </row>
    <row r="6" ht="20" customHeight="1">
      <c r="A6" s="89" t="inlineStr">
        <is>
          <t>אפייה ובישול</t>
        </is>
      </c>
      <c r="B6" s="20" t="inlineStr">
        <is>
          <t>מאפים</t>
        </is>
      </c>
      <c r="C6" s="76" t="inlineStr">
        <is>
          <t>שישי</t>
        </is>
      </c>
      <c r="D6" s="68" t="inlineStr">
        <is>
          <t>בייגל בייטס</t>
        </is>
      </c>
      <c r="E6" s="76" t="inlineStr">
        <is>
          <t>שישי — הכנות ועבודה</t>
        </is>
      </c>
    </row>
    <row r="7" ht="20" customHeight="1">
      <c r="A7" s="89" t="inlineStr">
        <is>
          <t>אפייה ובישול</t>
        </is>
      </c>
      <c r="B7" s="20" t="inlineStr">
        <is>
          <t>מאפים</t>
        </is>
      </c>
      <c r="C7" s="76" t="inlineStr">
        <is>
          <t>שישי</t>
        </is>
      </c>
      <c r="D7" s="68" t="inlineStr">
        <is>
          <t>פנקייקים</t>
        </is>
      </c>
      <c r="E7" s="76" t="inlineStr">
        <is>
          <t>שישי — הכנות ועבודה</t>
        </is>
      </c>
    </row>
    <row r="8" ht="20" customHeight="1">
      <c r="A8" s="89" t="inlineStr">
        <is>
          <t>אפייה ובישול</t>
        </is>
      </c>
      <c r="B8" s="20" t="inlineStr">
        <is>
          <t>מאפים</t>
        </is>
      </c>
      <c r="C8" s="76" t="inlineStr">
        <is>
          <t>שישי</t>
        </is>
      </c>
      <c r="D8" s="68" t="inlineStr">
        <is>
          <t>עוגות שמרים</t>
        </is>
      </c>
      <c r="E8" s="76" t="inlineStr">
        <is>
          <t>שישי — הכנות ועבודה</t>
        </is>
      </c>
    </row>
    <row r="9" ht="20" customHeight="1">
      <c r="A9" s="89" t="inlineStr">
        <is>
          <t>אפייה ובישול</t>
        </is>
      </c>
      <c r="B9" s="20" t="inlineStr">
        <is>
          <t>מאפים</t>
        </is>
      </c>
      <c r="C9" s="76" t="inlineStr">
        <is>
          <t>שישי</t>
        </is>
      </c>
      <c r="D9" s="68" t="inlineStr">
        <is>
          <t>עוגות בננה עם שוקו צ'יפס</t>
        </is>
      </c>
      <c r="E9" s="76" t="inlineStr">
        <is>
          <t>שישי — הכנות ועבודה</t>
        </is>
      </c>
    </row>
    <row r="10" ht="20" customHeight="1">
      <c r="A10" s="89" t="inlineStr">
        <is>
          <t>אפייה ובישול</t>
        </is>
      </c>
      <c r="B10" s="20" t="inlineStr">
        <is>
          <t>מאפים</t>
        </is>
      </c>
      <c r="C10" s="76" t="inlineStr">
        <is>
          <t>שישי</t>
        </is>
      </c>
      <c r="D10" s="68" t="inlineStr">
        <is>
          <t>עוגות גזר</t>
        </is>
      </c>
      <c r="E10" s="76" t="inlineStr">
        <is>
          <t>שישי — הכנות ועבודה</t>
        </is>
      </c>
    </row>
    <row r="11" ht="20" customHeight="1">
      <c r="A11" s="89" t="inlineStr">
        <is>
          <t>אפייה ובישול</t>
        </is>
      </c>
      <c r="B11" s="20" t="inlineStr">
        <is>
          <t>מאפים</t>
        </is>
      </c>
      <c r="C11" s="76" t="inlineStr">
        <is>
          <t>שישי</t>
        </is>
      </c>
      <c r="D11" s="68" t="inlineStr">
        <is>
          <t>עוגת ביסקוויטים גבינה</t>
        </is>
      </c>
      <c r="E11" s="76" t="inlineStr">
        <is>
          <t>שישי — הכנות ועבודה</t>
        </is>
      </c>
    </row>
    <row r="12" ht="20" customHeight="1">
      <c r="A12" s="89" t="inlineStr">
        <is>
          <t>אפייה ובישול</t>
        </is>
      </c>
      <c r="B12" s="20" t="inlineStr">
        <is>
          <t>מאפים</t>
        </is>
      </c>
      <c r="C12" s="76" t="inlineStr">
        <is>
          <t>שישי</t>
        </is>
      </c>
      <c r="D12" s="68" t="inlineStr">
        <is>
          <t>עוגיות שוקולד צ'יפס</t>
        </is>
      </c>
      <c r="E12" s="76" t="inlineStr">
        <is>
          <t>שישי — הכנות ועבודה</t>
        </is>
      </c>
    </row>
    <row r="13" ht="20" customHeight="1">
      <c r="A13" s="89" t="inlineStr">
        <is>
          <t>אפייה ובישול</t>
        </is>
      </c>
      <c r="B13" s="20" t="inlineStr">
        <is>
          <t>מאפים</t>
        </is>
      </c>
      <c r="C13" s="76" t="inlineStr">
        <is>
          <t>שישי</t>
        </is>
      </c>
      <c r="D13" s="68" t="inlineStr">
        <is>
          <t>כדורי שוקולד פרווה</t>
        </is>
      </c>
      <c r="E13" s="76" t="inlineStr">
        <is>
          <t>שישי — הכנות ועבודה</t>
        </is>
      </c>
    </row>
    <row r="14" ht="20" customHeight="1">
      <c r="A14" s="89" t="inlineStr">
        <is>
          <t>אפייה ובישול</t>
        </is>
      </c>
      <c r="B14" s="20" t="inlineStr">
        <is>
          <t>מאפים</t>
        </is>
      </c>
      <c r="C14" s="76" t="inlineStr">
        <is>
          <t>שישי</t>
        </is>
      </c>
      <c r="D14" s="68" t="inlineStr">
        <is>
          <t>עוגות לסעודה שלישית</t>
        </is>
      </c>
      <c r="E14" s="76" t="inlineStr">
        <is>
          <t>שישי — הכנות ועבודה</t>
        </is>
      </c>
    </row>
    <row r="15" ht="20" customHeight="1">
      <c r="A15" s="89" t="inlineStr">
        <is>
          <t>אפייה ובישול</t>
        </is>
      </c>
      <c r="B15" s="20" t="inlineStr">
        <is>
          <t>בישול</t>
        </is>
      </c>
      <c r="C15" s="76" t="inlineStr">
        <is>
          <t>שישי</t>
        </is>
      </c>
      <c r="D15" s="68" t="inlineStr">
        <is>
          <t>סלטים לארוחת ערב שבת</t>
        </is>
      </c>
      <c r="E15" s="76" t="inlineStr">
        <is>
          <t>שישי — הכנות ועבודה</t>
        </is>
      </c>
    </row>
    <row r="16" ht="20" customHeight="1">
      <c r="A16" s="89" t="inlineStr">
        <is>
          <t>אפייה ובישול</t>
        </is>
      </c>
      <c r="B16" s="20" t="inlineStr">
        <is>
          <t>בישול</t>
        </is>
      </c>
      <c r="C16" s="76" t="inlineStr">
        <is>
          <t>שישי</t>
        </is>
      </c>
      <c r="D16" s="68" t="inlineStr">
        <is>
          <t>סלטים לארוחת צהריים שבת</t>
        </is>
      </c>
      <c r="E16" s="76" t="inlineStr">
        <is>
          <t>שישי — הכנות ועבודה</t>
        </is>
      </c>
    </row>
    <row r="17" ht="20" customHeight="1">
      <c r="A17" s="89" t="inlineStr">
        <is>
          <t>אפייה ובישול</t>
        </is>
      </c>
      <c r="B17" s="20" t="inlineStr">
        <is>
          <t>בישול</t>
        </is>
      </c>
      <c r="C17" s="76" t="inlineStr">
        <is>
          <t>שישי</t>
        </is>
      </c>
      <c r="D17" s="68" t="inlineStr">
        <is>
          <t>סלט ביצים</t>
        </is>
      </c>
      <c r="E17" s="76" t="inlineStr">
        <is>
          <t>שישי — הכנות ועבודה</t>
        </is>
      </c>
    </row>
    <row r="18" ht="20" customHeight="1">
      <c r="A18" s="89" t="inlineStr">
        <is>
          <t>אפייה ובישול</t>
        </is>
      </c>
      <c r="B18" s="20" t="inlineStr">
        <is>
          <t>בישול</t>
        </is>
      </c>
      <c r="C18" s="76" t="inlineStr">
        <is>
          <t>שישי</t>
        </is>
      </c>
      <c r="D18" s="68" t="inlineStr">
        <is>
          <t>מטבוחה</t>
        </is>
      </c>
      <c r="E18" s="76" t="inlineStr">
        <is>
          <t>שישי — הכנות ועבודה</t>
        </is>
      </c>
    </row>
    <row r="19" ht="20" customHeight="1">
      <c r="A19" s="89" t="inlineStr">
        <is>
          <t>אפייה ובישול</t>
        </is>
      </c>
      <c r="B19" s="20" t="inlineStr">
        <is>
          <t>בישול</t>
        </is>
      </c>
      <c r="C19" s="76" t="inlineStr">
        <is>
          <t>שישי</t>
        </is>
      </c>
      <c r="D19" s="68" t="inlineStr">
        <is>
          <t>חיתוך ירקות לסלט</t>
        </is>
      </c>
      <c r="E19" s="76" t="inlineStr">
        <is>
          <t>שישי — הכנות ועבודה</t>
        </is>
      </c>
    </row>
    <row r="20" ht="20" customHeight="1">
      <c r="A20" s="89" t="inlineStr">
        <is>
          <t>אפייה ובישול</t>
        </is>
      </c>
      <c r="B20" s="20" t="inlineStr">
        <is>
          <t>בישול</t>
        </is>
      </c>
      <c r="C20" s="76" t="inlineStr">
        <is>
          <t>שבת</t>
        </is>
      </c>
      <c r="D20" s="68" t="inlineStr">
        <is>
          <t>חיתוך פירות לקידוש</t>
        </is>
      </c>
      <c r="E20" s="76" t="inlineStr">
        <is>
          <t>שישי — הכנות ועבודה</t>
        </is>
      </c>
    </row>
    <row r="21" ht="20" customHeight="1">
      <c r="A21" s="90" t="inlineStr">
        <is>
          <t>תורנות ארוחה</t>
        </is>
      </c>
      <c r="B21" s="20" t="inlineStr">
        <is>
          <t>ארוחת בוקר שישי</t>
        </is>
      </c>
      <c r="C21" s="76" t="inlineStr">
        <is>
          <t>שישי</t>
        </is>
      </c>
      <c r="D21" s="68" t="inlineStr">
        <is>
          <t>הכנת ארוחת בוקר שישי וניקיון אחריה</t>
        </is>
      </c>
      <c r="E21" s="76" t="inlineStr">
        <is>
          <t>שישי — ארוחת בוקר</t>
        </is>
      </c>
    </row>
    <row r="22" ht="20" customHeight="1">
      <c r="A22" s="90" t="inlineStr">
        <is>
          <t>תורנות ארוחה</t>
        </is>
      </c>
      <c r="B22" s="20" t="inlineStr">
        <is>
          <t>ארוחת צהריים שישי</t>
        </is>
      </c>
      <c r="C22" s="76" t="inlineStr">
        <is>
          <t>שישי</t>
        </is>
      </c>
      <c r="D22" s="68" t="inlineStr">
        <is>
          <t>הכנת ארוחת צהריים שישי וניקיון אחריה</t>
        </is>
      </c>
      <c r="E22" s="76" t="inlineStr">
        <is>
          <t>שישי — ארוחת צהריים</t>
        </is>
      </c>
    </row>
    <row r="23" ht="20" customHeight="1">
      <c r="A23" s="90" t="inlineStr">
        <is>
          <t>תורנות ארוחה</t>
        </is>
      </c>
      <c r="B23" s="20" t="inlineStr">
        <is>
          <t>ארוחת ערב שבת</t>
        </is>
      </c>
      <c r="C23" s="76" t="inlineStr">
        <is>
          <t>שישי</t>
        </is>
      </c>
      <c r="D23" s="68" t="inlineStr">
        <is>
          <t>הכנסת אוכל מהקייטרינג לתנור חימום — כשעתיים לפני הקידוש</t>
        </is>
      </c>
      <c r="E23" s="76" t="inlineStr">
        <is>
          <t>סעודת שבת</t>
        </is>
      </c>
    </row>
    <row r="24" ht="20" customHeight="1">
      <c r="A24" s="90" t="inlineStr">
        <is>
          <t>תורנות ארוחה</t>
        </is>
      </c>
      <c r="B24" s="20" t="inlineStr">
        <is>
          <t>ארוחת ערב שבת</t>
        </is>
      </c>
      <c r="C24" s="76" t="inlineStr">
        <is>
          <t>שישי</t>
        </is>
      </c>
      <c r="D24" s="68" t="inlineStr">
        <is>
          <t>הוצאת האוכל מהתנור אחרי הקידוש ולפני הסעודה</t>
        </is>
      </c>
      <c r="E24" s="76" t="inlineStr">
        <is>
          <t>סעודת שבת</t>
        </is>
      </c>
    </row>
    <row r="25" ht="20" customHeight="1">
      <c r="A25" s="90" t="inlineStr">
        <is>
          <t>תורנות ארוחה</t>
        </is>
      </c>
      <c r="B25" s="20" t="inlineStr">
        <is>
          <t>ארוחת ערב שבת</t>
        </is>
      </c>
      <c r="C25" s="76" t="inlineStr">
        <is>
          <t>שישי</t>
        </is>
      </c>
      <c r="D25" s="68" t="inlineStr">
        <is>
          <t>ארגון סלטים והכנת טחינה לשולחנות</t>
        </is>
      </c>
      <c r="E25" s="76" t="inlineStr">
        <is>
          <t>סעודת שבת</t>
        </is>
      </c>
    </row>
    <row r="26" ht="20" customHeight="1">
      <c r="A26" s="90" t="inlineStr">
        <is>
          <t>תורנות ארוחה</t>
        </is>
      </c>
      <c r="B26" s="20" t="inlineStr">
        <is>
          <t>ארוחת ערב שבת</t>
        </is>
      </c>
      <c r="C26" s="76" t="inlineStr">
        <is>
          <t>שישי</t>
        </is>
      </c>
      <c r="D26" s="68" t="inlineStr">
        <is>
          <t>עריכת שולחנות — כפות הגשה וחלוקת סלטים</t>
        </is>
      </c>
      <c r="E26" s="76" t="inlineStr">
        <is>
          <t>סעודת שבת</t>
        </is>
      </c>
    </row>
    <row r="27" ht="20" customHeight="1">
      <c r="A27" s="90" t="inlineStr">
        <is>
          <t>תורנות ארוחה</t>
        </is>
      </c>
      <c r="B27" s="20" t="inlineStr">
        <is>
          <t>ארוחת ערב שבת</t>
        </is>
      </c>
      <c r="C27" s="76" t="inlineStr">
        <is>
          <t>שישי</t>
        </is>
      </c>
      <c r="D27" s="68" t="inlineStr">
        <is>
          <t>ניקיון מרחב האוכל אחרי הסעודה</t>
        </is>
      </c>
      <c r="E27" s="76" t="inlineStr">
        <is>
          <t>סעודת שבת</t>
        </is>
      </c>
    </row>
    <row r="28" ht="20" customHeight="1">
      <c r="A28" s="90" t="inlineStr">
        <is>
          <t>תורנות ארוחה</t>
        </is>
      </c>
      <c r="B28" s="20" t="inlineStr">
        <is>
          <t>קידוש</t>
        </is>
      </c>
      <c r="C28" s="76" t="inlineStr">
        <is>
          <t>שבת</t>
        </is>
      </c>
      <c r="D28" s="68" t="inlineStr">
        <is>
          <t>חימום האוכל הרלוונטי בלבד לקידוש על הפלטות</t>
        </is>
      </c>
      <c r="E28" s="76" t="inlineStr">
        <is>
          <t>קידוש</t>
        </is>
      </c>
    </row>
    <row r="29" ht="20" customHeight="1">
      <c r="A29" s="90" t="inlineStr">
        <is>
          <t>תורנות ארוחה</t>
        </is>
      </c>
      <c r="B29" s="20" t="inlineStr">
        <is>
          <t>קידוש</t>
        </is>
      </c>
      <c r="C29" s="76" t="inlineStr">
        <is>
          <t>שבת</t>
        </is>
      </c>
      <c r="D29" s="68" t="inlineStr">
        <is>
          <t>הכנסת מאפים לתנור חימום — ללא אלומיניום מעל העוגות</t>
        </is>
      </c>
      <c r="E29" s="76" t="inlineStr">
        <is>
          <t>קידוש</t>
        </is>
      </c>
    </row>
    <row r="30" ht="20" customHeight="1">
      <c r="A30" s="90" t="inlineStr">
        <is>
          <t>תורנות ארוחה</t>
        </is>
      </c>
      <c r="B30" s="20" t="inlineStr">
        <is>
          <t>קידוש</t>
        </is>
      </c>
      <c r="C30" s="76" t="inlineStr">
        <is>
          <t>שבת</t>
        </is>
      </c>
      <c r="D30" s="68" t="inlineStr">
        <is>
          <t>תיבול סלטים לקידוש</t>
        </is>
      </c>
      <c r="E30" s="76" t="inlineStr">
        <is>
          <t>קידוש</t>
        </is>
      </c>
    </row>
    <row r="31" ht="20" customHeight="1">
      <c r="A31" s="90" t="inlineStr">
        <is>
          <t>תורנות ארוחה</t>
        </is>
      </c>
      <c r="B31" s="20" t="inlineStr">
        <is>
          <t>קידוש</t>
        </is>
      </c>
      <c r="C31" s="76" t="inlineStr">
        <is>
          <t>שבת</t>
        </is>
      </c>
      <c r="D31" s="68" t="inlineStr">
        <is>
          <t>עריכת האוכל לקידוש</t>
        </is>
      </c>
      <c r="E31" s="76" t="inlineStr">
        <is>
          <t>קידוש</t>
        </is>
      </c>
    </row>
    <row r="32" ht="20" customHeight="1">
      <c r="A32" s="90" t="inlineStr">
        <is>
          <t>תורנות ארוחה</t>
        </is>
      </c>
      <c r="B32" s="20" t="inlineStr">
        <is>
          <t>קידוש</t>
        </is>
      </c>
      <c r="C32" s="76" t="inlineStr">
        <is>
          <t>שבת</t>
        </is>
      </c>
      <c r="D32" s="68" t="inlineStr">
        <is>
          <t>סידור פינת קפה — ניקוי, חלב, קפה וסוכר</t>
        </is>
      </c>
      <c r="E32" s="76" t="inlineStr">
        <is>
          <t>קידוש</t>
        </is>
      </c>
    </row>
    <row r="33" ht="20" customHeight="1">
      <c r="A33" s="90" t="inlineStr">
        <is>
          <t>תורנות ארוחה</t>
        </is>
      </c>
      <c r="B33" s="20" t="inlineStr">
        <is>
          <t>קידוש</t>
        </is>
      </c>
      <c r="C33" s="76" t="inlineStr">
        <is>
          <t>שבת</t>
        </is>
      </c>
      <c r="D33" s="68" t="inlineStr">
        <is>
          <t>הוצאת פירות חתוכים ועוגות</t>
        </is>
      </c>
      <c r="E33" s="76" t="inlineStr">
        <is>
          <t>קידוש</t>
        </is>
      </c>
    </row>
    <row r="34" ht="20" customHeight="1">
      <c r="A34" s="90" t="inlineStr">
        <is>
          <t>תורנות ארוחה</t>
        </is>
      </c>
      <c r="B34" s="20" t="inlineStr">
        <is>
          <t>קידוש</t>
        </is>
      </c>
      <c r="C34" s="76" t="inlineStr">
        <is>
          <t>שבת</t>
        </is>
      </c>
      <c r="D34" s="68" t="inlineStr">
        <is>
          <t>הוצאת כלים וסידור שולחנות במעגל</t>
        </is>
      </c>
      <c r="E34" s="76" t="inlineStr">
        <is>
          <t>קידוש</t>
        </is>
      </c>
    </row>
    <row r="35" ht="20" customHeight="1">
      <c r="A35" s="90" t="inlineStr">
        <is>
          <t>תורנות ארוחה</t>
        </is>
      </c>
      <c r="B35" s="20" t="inlineStr">
        <is>
          <t>קידוש</t>
        </is>
      </c>
      <c r="C35" s="76" t="inlineStr">
        <is>
          <t>שבת</t>
        </is>
      </c>
      <c r="D35" s="68" t="inlineStr">
        <is>
          <t>ניקיון מרחב האוכל אחרי הקידוש</t>
        </is>
      </c>
      <c r="E35" s="76" t="inlineStr">
        <is>
          <t>קידוש</t>
        </is>
      </c>
    </row>
    <row r="36" ht="20" customHeight="1">
      <c r="A36" s="90" t="inlineStr">
        <is>
          <t>תורנות ארוחה</t>
        </is>
      </c>
      <c r="B36" s="20" t="inlineStr">
        <is>
          <t>קידוש</t>
        </is>
      </c>
      <c r="C36" s="76" t="inlineStr">
        <is>
          <t>שבת</t>
        </is>
      </c>
      <c r="D36" s="68" t="inlineStr">
        <is>
          <t>קיפול והכנסה למקרר בסיום — לא להשאיר אוכל פתוח</t>
        </is>
      </c>
      <c r="E36" s="76" t="inlineStr">
        <is>
          <t>קידוש</t>
        </is>
      </c>
    </row>
    <row r="37" ht="20" customHeight="1">
      <c r="A37" s="90" t="inlineStr">
        <is>
          <t>תורנות ארוחה</t>
        </is>
      </c>
      <c r="B37" s="20" t="inlineStr">
        <is>
          <t>ארוחת צהריים שבת</t>
        </is>
      </c>
      <c r="C37" s="76" t="inlineStr">
        <is>
          <t>שבת</t>
        </is>
      </c>
      <c r="D37" s="68" t="inlineStr">
        <is>
          <t>הכנסת אוכל מהקייטרינג לתנור חימום — כשעתיים לפני ארוחת הצהריים</t>
        </is>
      </c>
      <c r="E37" s="76" t="inlineStr">
        <is>
          <t>ארוחת צהריים</t>
        </is>
      </c>
    </row>
    <row r="38" ht="20" customHeight="1">
      <c r="A38" s="90" t="inlineStr">
        <is>
          <t>תורנות ארוחה</t>
        </is>
      </c>
      <c r="B38" s="20" t="inlineStr">
        <is>
          <t>ארוחת צהריים שבת</t>
        </is>
      </c>
      <c r="C38" s="76" t="inlineStr">
        <is>
          <t>שבת</t>
        </is>
      </c>
      <c r="D38" s="68" t="inlineStr">
        <is>
          <t>עריכת שולחן לארוחת צהריים אחרי הקידוש</t>
        </is>
      </c>
      <c r="E38" s="76" t="inlineStr">
        <is>
          <t>ארוחת צהריים</t>
        </is>
      </c>
    </row>
    <row r="39" ht="20" customHeight="1">
      <c r="A39" s="90" t="inlineStr">
        <is>
          <t>תורנות ארוחה</t>
        </is>
      </c>
      <c r="B39" s="20" t="inlineStr">
        <is>
          <t>ארוחת צהריים שבת</t>
        </is>
      </c>
      <c r="C39" s="76" t="inlineStr">
        <is>
          <t>שבת</t>
        </is>
      </c>
      <c r="D39" s="68" t="inlineStr">
        <is>
          <t>חלוקת סלטים לשולחנות</t>
        </is>
      </c>
      <c r="E39" s="76" t="inlineStr">
        <is>
          <t>ארוחת צהריים</t>
        </is>
      </c>
    </row>
    <row r="40" ht="20" customHeight="1">
      <c r="A40" s="90" t="inlineStr">
        <is>
          <t>תורנות ארוחה</t>
        </is>
      </c>
      <c r="B40" s="20" t="inlineStr">
        <is>
          <t>ארוחת צהריים שבת</t>
        </is>
      </c>
      <c r="C40" s="76" t="inlineStr">
        <is>
          <t>שבת</t>
        </is>
      </c>
      <c r="D40" s="68" t="inlineStr">
        <is>
          <t>ניקיון מרחב האוכל אחרי ארוחת הצהריים</t>
        </is>
      </c>
      <c r="E40" s="76" t="inlineStr">
        <is>
          <t>ארוחת צהריים</t>
        </is>
      </c>
    </row>
    <row r="41" ht="20" customHeight="1">
      <c r="A41" s="90" t="inlineStr">
        <is>
          <t>תורנות ארוחה</t>
        </is>
      </c>
      <c r="B41" s="20" t="inlineStr">
        <is>
          <t>סעודה שלישית</t>
        </is>
      </c>
      <c r="C41" s="76" t="inlineStr">
        <is>
          <t>שבת</t>
        </is>
      </c>
      <c r="D41" s="68" t="inlineStr">
        <is>
          <t>הכנסת מאפים לחימום והוצאת האוכל</t>
        </is>
      </c>
      <c r="E41" s="76" t="inlineStr">
        <is>
          <t>סעודה שלישית</t>
        </is>
      </c>
    </row>
    <row r="42" ht="20" customHeight="1">
      <c r="A42" s="90" t="inlineStr">
        <is>
          <t>תורנות ארוחה</t>
        </is>
      </c>
      <c r="B42" s="20" t="inlineStr">
        <is>
          <t>סעודה שלישית</t>
        </is>
      </c>
      <c r="C42" s="76" t="inlineStr">
        <is>
          <t>שבת</t>
        </is>
      </c>
      <c r="D42" s="68" t="inlineStr">
        <is>
          <t>עריכת המרחב וסידור בסיום</t>
        </is>
      </c>
      <c r="E42" s="76" t="inlineStr">
        <is>
          <t>סעודה שלישית</t>
        </is>
      </c>
    </row>
    <row r="43" ht="20" customHeight="1">
      <c r="A43" s="90" t="inlineStr">
        <is>
          <t>תורנות ארוחה</t>
        </is>
      </c>
      <c r="B43" s="20" t="inlineStr">
        <is>
          <t>טיש</t>
        </is>
      </c>
      <c r="C43" s="76" t="inlineStr">
        <is>
          <t>שישי</t>
        </is>
      </c>
      <c r="D43" s="68" t="inlineStr">
        <is>
          <t>סידור שולחנות וכיסאות לטיש</t>
        </is>
      </c>
      <c r="E43" s="76" t="inlineStr">
        <is>
          <t>טיש עם איש צוות</t>
        </is>
      </c>
    </row>
    <row r="44" ht="20" customHeight="1">
      <c r="A44" s="90" t="inlineStr">
        <is>
          <t>תורנות ארוחה</t>
        </is>
      </c>
      <c r="B44" s="20" t="inlineStr">
        <is>
          <t>טיש</t>
        </is>
      </c>
      <c r="C44" s="76" t="inlineStr">
        <is>
          <t>שישי</t>
        </is>
      </c>
      <c r="D44" s="68" t="inlineStr">
        <is>
          <t>הבאת שתייה וסידור כוסות</t>
        </is>
      </c>
      <c r="E44" s="76" t="inlineStr">
        <is>
          <t>טיש עם איש צוות</t>
        </is>
      </c>
    </row>
    <row r="45" ht="20" customHeight="1">
      <c r="A45" s="90" t="inlineStr">
        <is>
          <t>תורנות ארוחה</t>
        </is>
      </c>
      <c r="B45" s="20" t="inlineStr">
        <is>
          <t>טיש</t>
        </is>
      </c>
      <c r="C45" s="76" t="inlineStr">
        <is>
          <t>שישי</t>
        </is>
      </c>
      <c r="D45" s="68" t="inlineStr">
        <is>
          <t>חימום עוגות פרווה והוצאת כיבוד</t>
        </is>
      </c>
      <c r="E45" s="76" t="inlineStr">
        <is>
          <t>טיש עם איש צוות</t>
        </is>
      </c>
    </row>
    <row r="46" ht="20" customHeight="1">
      <c r="A46" s="90" t="inlineStr">
        <is>
          <t>תורנות ארוחה</t>
        </is>
      </c>
      <c r="B46" s="20" t="inlineStr">
        <is>
          <t>טיש</t>
        </is>
      </c>
      <c r="C46" s="76" t="inlineStr">
        <is>
          <t>שישי</t>
        </is>
      </c>
      <c r="D46" s="68" t="inlineStr">
        <is>
          <t>ניקיון מלא בסיום הטיש</t>
        </is>
      </c>
      <c r="E46" s="76" t="inlineStr">
        <is>
          <t>טיש עם איש צוות</t>
        </is>
      </c>
    </row>
    <row r="47" ht="20" customHeight="1">
      <c r="A47" s="91" t="inlineStr">
        <is>
          <t>ניקיון וסידור</t>
        </is>
      </c>
      <c r="B47" s="20" t="inlineStr">
        <is>
          <t>בית מיכאל</t>
        </is>
      </c>
      <c r="C47" s="76" t="inlineStr">
        <is>
          <t>שישי</t>
        </is>
      </c>
      <c r="D47" s="68" t="inlineStr">
        <is>
          <t>הפיכת בית מיכאל לבית כנסת — מחיצה, שורות כיסאות משני הצדדים, סידורים על הכיסאות, הפעלת מזגן</t>
        </is>
      </c>
      <c r="E47" s="76" t="inlineStr">
        <is>
          <t>קבלת שבת וערבית</t>
        </is>
      </c>
    </row>
    <row r="48" ht="20" customHeight="1">
      <c r="A48" s="91" t="inlineStr">
        <is>
          <t>ניקיון וסידור</t>
        </is>
      </c>
      <c r="B48" s="20" t="inlineStr">
        <is>
          <t>בית מיכאל</t>
        </is>
      </c>
      <c r="C48" s="76" t="inlineStr">
        <is>
          <t>שישי</t>
        </is>
      </c>
      <c r="D48" s="68" t="inlineStr">
        <is>
          <t>הבאת ספות וסידור מרחב הטיש</t>
        </is>
      </c>
      <c r="E48" s="76" t="inlineStr">
        <is>
          <t>טיש עם איש צוות</t>
        </is>
      </c>
    </row>
    <row r="49" ht="20" customHeight="1">
      <c r="A49" s="91" t="inlineStr">
        <is>
          <t>ניקיון וסידור</t>
        </is>
      </c>
      <c r="B49" s="20" t="inlineStr">
        <is>
          <t>בית מיכאל</t>
        </is>
      </c>
      <c r="C49" s="76" t="inlineStr">
        <is>
          <t>מוצאי שבת</t>
        </is>
      </c>
      <c r="D49" s="68" t="inlineStr">
        <is>
          <t>טאטוא ושטיפת בית מיכאל</t>
        </is>
      </c>
      <c r="E49" s="76" t="inlineStr">
        <is>
          <t>ניקיונות וארגון הקמפוס</t>
        </is>
      </c>
    </row>
    <row r="50" ht="20" customHeight="1">
      <c r="A50" s="91" t="inlineStr">
        <is>
          <t>ניקיון וסידור</t>
        </is>
      </c>
      <c r="B50" s="20" t="inlineStr">
        <is>
          <t>בית מיכאל</t>
        </is>
      </c>
      <c r="C50" s="76" t="inlineStr">
        <is>
          <t>מוצאי שבת</t>
        </is>
      </c>
      <c r="D50" s="68" t="inlineStr">
        <is>
          <t>החזרת בית המדרש לסידור המקורי</t>
        </is>
      </c>
      <c r="E50" s="76" t="inlineStr">
        <is>
          <t>ניקיונות וארגון הקמפוס</t>
        </is>
      </c>
    </row>
    <row r="51" ht="20" customHeight="1">
      <c r="A51" s="91" t="inlineStr">
        <is>
          <t>ניקיון וסידור</t>
        </is>
      </c>
      <c r="B51" s="20" t="inlineStr">
        <is>
          <t>חדר אוכל</t>
        </is>
      </c>
      <c r="C51" s="76" t="inlineStr">
        <is>
          <t>משתנה</t>
        </is>
      </c>
      <c r="D51" s="68" t="inlineStr">
        <is>
          <t>ניקיון וסידור חדר אוכל</t>
        </is>
      </c>
      <c r="E51" s="76" t="n"/>
    </row>
    <row r="52" ht="20" customHeight="1">
      <c r="A52" s="91" t="inlineStr">
        <is>
          <t>ניקיון וסידור</t>
        </is>
      </c>
      <c r="B52" s="20" t="inlineStr">
        <is>
          <t>חדר אוכל</t>
        </is>
      </c>
      <c r="C52" s="76" t="inlineStr">
        <is>
          <t>משתנה</t>
        </is>
      </c>
      <c r="D52" s="68" t="inlineStr">
        <is>
          <t>שטיפת רצפת חדר האוכל</t>
        </is>
      </c>
      <c r="E52" s="76" t="n"/>
    </row>
    <row r="53" ht="20" customHeight="1">
      <c r="A53" s="91" t="inlineStr">
        <is>
          <t>ניקיון וסידור</t>
        </is>
      </c>
      <c r="B53" s="20" t="inlineStr">
        <is>
          <t>שירותי חדר אוכל</t>
        </is>
      </c>
      <c r="C53" s="76" t="inlineStr">
        <is>
          <t>משתנה</t>
        </is>
      </c>
      <c r="D53" s="68" t="inlineStr">
        <is>
          <t>ניקיון שירותי חדר אוכל</t>
        </is>
      </c>
      <c r="E53" s="76" t="n"/>
    </row>
    <row r="54" ht="20" customHeight="1">
      <c r="A54" s="91" t="inlineStr">
        <is>
          <t>ניקיון וסידור</t>
        </is>
      </c>
      <c r="B54" s="20" t="inlineStr">
        <is>
          <t>שירותים כלליים</t>
        </is>
      </c>
      <c r="C54" s="76" t="inlineStr">
        <is>
          <t>משתנה</t>
        </is>
      </c>
      <c r="D54" s="68" t="inlineStr">
        <is>
          <t>ניקיון שירותים — אקונומיקה ונייר</t>
        </is>
      </c>
      <c r="E54" s="76" t="n"/>
    </row>
    <row r="55" ht="20" customHeight="1">
      <c r="A55" s="91" t="inlineStr">
        <is>
          <t>ניקיון וסידור</t>
        </is>
      </c>
      <c r="B55" s="20" t="inlineStr">
        <is>
          <t>מטבח</t>
        </is>
      </c>
      <c r="C55" s="76" t="inlineStr">
        <is>
          <t>משתנה</t>
        </is>
      </c>
      <c r="D55" s="68" t="inlineStr">
        <is>
          <t>ניקיון מטבח — כולל הכל</t>
        </is>
      </c>
      <c r="E55" s="76" t="n"/>
    </row>
    <row r="56" ht="20" customHeight="1">
      <c r="A56" s="91" t="inlineStr">
        <is>
          <t>ניקיון וסידור</t>
        </is>
      </c>
      <c r="B56" s="20" t="inlineStr">
        <is>
          <t>מטבח</t>
        </is>
      </c>
      <c r="C56" s="76" t="inlineStr">
        <is>
          <t>משתנה</t>
        </is>
      </c>
      <c r="D56" s="68" t="inlineStr">
        <is>
          <t>כיריים וכיורים</t>
        </is>
      </c>
      <c r="E56" s="76" t="n"/>
    </row>
    <row r="57" ht="20" customHeight="1">
      <c r="A57" s="91" t="inlineStr">
        <is>
          <t>ניקיון וסידור</t>
        </is>
      </c>
      <c r="B57" s="20" t="inlineStr">
        <is>
          <t>מטבח</t>
        </is>
      </c>
      <c r="C57" s="76" t="inlineStr">
        <is>
          <t>משתנה</t>
        </is>
      </c>
      <c r="D57" s="68" t="inlineStr">
        <is>
          <t>פינוי כלים מהייבוש וסידור מזווה</t>
        </is>
      </c>
      <c r="E57" s="76" t="n"/>
    </row>
    <row r="58" ht="20" customHeight="1">
      <c r="A58" s="91" t="inlineStr">
        <is>
          <t>ניקיון וסידור</t>
        </is>
      </c>
      <c r="B58" s="20" t="inlineStr">
        <is>
          <t>חדר מקררים</t>
        </is>
      </c>
      <c r="C58" s="76" t="inlineStr">
        <is>
          <t>משתנה</t>
        </is>
      </c>
      <c r="D58" s="68" t="inlineStr">
        <is>
          <t>ניקיון וסידור חדר מקררים</t>
        </is>
      </c>
      <c r="E58" s="76" t="n"/>
    </row>
    <row r="59" ht="20" customHeight="1">
      <c r="A59" s="91" t="inlineStr">
        <is>
          <t>ניקיון וסידור</t>
        </is>
      </c>
      <c r="B59" s="20" t="inlineStr">
        <is>
          <t>קוביה</t>
        </is>
      </c>
      <c r="C59" s="76" t="inlineStr">
        <is>
          <t>משתנה</t>
        </is>
      </c>
      <c r="D59" s="68" t="inlineStr">
        <is>
          <t>ניקיון וסידור הקוביה</t>
        </is>
      </c>
      <c r="E59" s="76" t="n"/>
    </row>
    <row r="60" ht="20" customHeight="1">
      <c r="A60" s="91" t="inlineStr">
        <is>
          <t>ניקיון וסידור</t>
        </is>
      </c>
      <c r="B60" s="20" t="inlineStr">
        <is>
          <t>מרחבי חבורות</t>
        </is>
      </c>
      <c r="C60" s="76" t="inlineStr">
        <is>
          <t>משתנה</t>
        </is>
      </c>
      <c r="D60" s="68" t="inlineStr">
        <is>
          <t>סידור מרחבי החבורות — כיסאות לפי מספר החבורות</t>
        </is>
      </c>
      <c r="E60" s="76" t="inlineStr">
        <is>
          <t>חבורות חניכים</t>
        </is>
      </c>
    </row>
    <row r="61" ht="20" customHeight="1">
      <c r="A61" s="91" t="inlineStr">
        <is>
          <t>ניקיון וסידור</t>
        </is>
      </c>
      <c r="B61" s="20" t="inlineStr">
        <is>
          <t>מרפסת וחצר</t>
        </is>
      </c>
      <c r="C61" s="76" t="inlineStr">
        <is>
          <t>משתנה</t>
        </is>
      </c>
      <c r="D61" s="68" t="inlineStr">
        <is>
          <t>ניקיון וסידור המרפסת והחצר</t>
        </is>
      </c>
      <c r="E61" s="76" t="n"/>
    </row>
    <row r="62" ht="20" customHeight="1">
      <c r="A62" s="91" t="inlineStr">
        <is>
          <t>ניקיון וסידור</t>
        </is>
      </c>
      <c r="B62" s="20" t="inlineStr">
        <is>
          <t>כללי</t>
        </is>
      </c>
      <c r="C62" s="76" t="inlineStr">
        <is>
          <t>מוצאי שבת</t>
        </is>
      </c>
      <c r="D62" s="68" t="inlineStr">
        <is>
          <t>החזרת ספות ורהיטים למקומם</t>
        </is>
      </c>
      <c r="E62" s="76" t="inlineStr">
        <is>
          <t>ניקיונות וארגון הקמפוס</t>
        </is>
      </c>
    </row>
    <row r="63" ht="20" customHeight="1">
      <c r="A63" s="92" t="inlineStr">
        <is>
          <t>אחריות טכנית</t>
        </is>
      </c>
      <c r="B63" s="20" t="inlineStr">
        <is>
          <t>חימום</t>
        </is>
      </c>
      <c r="C63" s="76" t="inlineStr">
        <is>
          <t>שישי</t>
        </is>
      </c>
      <c r="D63" s="68" t="inlineStr">
        <is>
          <t>הכנת פלטות חימום והדלקתן</t>
        </is>
      </c>
      <c r="E63" s="76" t="inlineStr">
        <is>
          <t>שישי — הכנות ועבודה</t>
        </is>
      </c>
    </row>
    <row r="64" ht="20" customHeight="1">
      <c r="A64" s="92" t="inlineStr">
        <is>
          <t>אחריות טכנית</t>
        </is>
      </c>
      <c r="B64" s="20" t="inlineStr">
        <is>
          <t>חימום</t>
        </is>
      </c>
      <c r="C64" s="76" t="inlineStr">
        <is>
          <t>שישי</t>
        </is>
      </c>
      <c r="D64" s="68" t="inlineStr">
        <is>
          <t>הדלקת תנור החימום במטבח</t>
        </is>
      </c>
      <c r="E64" s="76" t="inlineStr">
        <is>
          <t>שישי — הכנות ועבודה</t>
        </is>
      </c>
    </row>
    <row r="65" ht="20" customHeight="1">
      <c r="A65" s="92" t="inlineStr">
        <is>
          <t>אחריות טכנית</t>
        </is>
      </c>
      <c r="B65" s="20" t="inlineStr">
        <is>
          <t>חימום</t>
        </is>
      </c>
      <c r="C65" s="76" t="inlineStr">
        <is>
          <t>שישי</t>
        </is>
      </c>
      <c r="D65" s="68" t="inlineStr">
        <is>
          <t>מילוי והדלקת מיחמים</t>
        </is>
      </c>
      <c r="E65" s="76" t="inlineStr">
        <is>
          <t>שישי — הכנות ועבודה</t>
        </is>
      </c>
    </row>
    <row r="66" ht="20" customHeight="1">
      <c r="A66" s="92" t="inlineStr">
        <is>
          <t>אחריות טכנית</t>
        </is>
      </c>
      <c r="B66" s="20" t="inlineStr">
        <is>
          <t>חימום</t>
        </is>
      </c>
      <c r="C66" s="76" t="inlineStr">
        <is>
          <t>שבת</t>
        </is>
      </c>
      <c r="D66" s="68" t="inlineStr">
        <is>
          <t>לוודא שהאוכל על הפלטות בזמן</t>
        </is>
      </c>
      <c r="E66" s="76" t="inlineStr">
        <is>
          <t>ארוחת צהריים</t>
        </is>
      </c>
    </row>
    <row r="67" ht="20" customHeight="1">
      <c r="A67" s="92" t="inlineStr">
        <is>
          <t>אחריות טכנית</t>
        </is>
      </c>
      <c r="B67" s="20" t="inlineStr">
        <is>
          <t>הבדלה</t>
        </is>
      </c>
      <c r="C67" s="76" t="inlineStr">
        <is>
          <t>שישי</t>
        </is>
      </c>
      <c r="D67" s="68" t="inlineStr">
        <is>
          <t>הכנת ציוד הבדלה — נר, יין, בשמים</t>
        </is>
      </c>
      <c r="E67" s="76" t="inlineStr">
        <is>
          <t>הבדלה</t>
        </is>
      </c>
    </row>
    <row r="68" ht="20" customHeight="1">
      <c r="A68" s="92" t="inlineStr">
        <is>
          <t>אחריות טכנית</t>
        </is>
      </c>
      <c r="B68" s="20" t="inlineStr">
        <is>
          <t>חשמל</t>
        </is>
      </c>
      <c r="C68" s="76" t="inlineStr">
        <is>
          <t>שישי</t>
        </is>
      </c>
      <c r="D68" s="68" t="inlineStr">
        <is>
          <t>הדלקת אורות ומזגנים לשבת וכיוון שעון שבת</t>
        </is>
      </c>
      <c r="E68" s="76" t="inlineStr">
        <is>
          <t>שישי — הכנות ועבודה</t>
        </is>
      </c>
    </row>
    <row r="69" ht="20" customHeight="1">
      <c r="A69" s="92" t="inlineStr">
        <is>
          <t>אחריות טכנית</t>
        </is>
      </c>
      <c r="B69" s="20" t="inlineStr">
        <is>
          <t>עיתון</t>
        </is>
      </c>
      <c r="C69" s="76" t="inlineStr">
        <is>
          <t>שישי</t>
        </is>
      </c>
      <c r="D69" s="68" t="inlineStr">
        <is>
          <t>הכנת עיתון השבת והפצתו</t>
        </is>
      </c>
      <c r="E69" s="76" t="inlineStr">
        <is>
          <t>שישי — הכנות ועבודה</t>
        </is>
      </c>
    </row>
    <row r="70" ht="20" customHeight="1">
      <c r="A70" s="92" t="inlineStr">
        <is>
          <t>אחריות טכנית</t>
        </is>
      </c>
      <c r="B70" s="20" t="inlineStr">
        <is>
          <t>מרחבים</t>
        </is>
      </c>
      <c r="C70" s="76" t="inlineStr">
        <is>
          <t>שישי</t>
        </is>
      </c>
      <c r="D70" s="68" t="inlineStr">
        <is>
          <t>פתיחת המרחבים והכנתם</t>
        </is>
      </c>
      <c r="E70" s="76" t="inlineStr">
        <is>
          <t>שישי — הכנות ועבודה</t>
        </is>
      </c>
    </row>
    <row r="71" ht="20" customHeight="1">
      <c r="A71" s="92" t="inlineStr">
        <is>
          <t>אחריות טכנית</t>
        </is>
      </c>
      <c r="B71" s="20" t="inlineStr">
        <is>
          <t>חשמל</t>
        </is>
      </c>
      <c r="C71" s="76" t="inlineStr">
        <is>
          <t>מוצאי שבת</t>
        </is>
      </c>
      <c r="D71" s="68" t="inlineStr">
        <is>
          <t>כיבוי פלטות, מיחמים ותנור חימום</t>
        </is>
      </c>
      <c r="E71" s="76" t="inlineStr">
        <is>
          <t>ניקיונות וארגון הקמפוס</t>
        </is>
      </c>
    </row>
    <row r="72" ht="20" customHeight="1">
      <c r="A72" s="19" t="n"/>
      <c r="B72" s="20" t="n"/>
      <c r="C72" s="76" t="n"/>
      <c r="D72" s="68" t="n"/>
      <c r="E72" s="76" t="n"/>
    </row>
    <row r="73" ht="20" customHeight="1">
      <c r="A73" s="19" t="n"/>
      <c r="B73" s="20" t="n"/>
      <c r="C73" s="76" t="n"/>
      <c r="D73" s="68" t="n"/>
      <c r="E73" s="76" t="n"/>
    </row>
    <row r="74" ht="20" customHeight="1">
      <c r="A74" s="19" t="n"/>
      <c r="B74" s="20" t="n"/>
      <c r="C74" s="76" t="n"/>
      <c r="D74" s="68" t="n"/>
      <c r="E74" s="76" t="n"/>
    </row>
    <row r="75" ht="20" customHeight="1">
      <c r="A75" s="19" t="n"/>
      <c r="B75" s="20" t="n"/>
      <c r="C75" s="76" t="n"/>
      <c r="D75" s="68" t="n"/>
      <c r="E75" s="76" t="n"/>
    </row>
    <row r="76" ht="20" customHeight="1">
      <c r="A76" s="19" t="n"/>
      <c r="B76" s="20" t="n"/>
      <c r="C76" s="76" t="n"/>
      <c r="D76" s="68" t="n"/>
      <c r="E76" s="76" t="n"/>
    </row>
    <row r="77" ht="20" customHeight="1">
      <c r="A77" s="19" t="n"/>
      <c r="B77" s="20" t="n"/>
      <c r="C77" s="76" t="n"/>
      <c r="D77" s="68" t="n"/>
      <c r="E77" s="76" t="n"/>
    </row>
    <row r="78" ht="20" customHeight="1">
      <c r="A78" s="19" t="n"/>
      <c r="B78" s="20" t="n"/>
      <c r="C78" s="76" t="n"/>
      <c r="D78" s="68" t="n"/>
      <c r="E78" s="76" t="n"/>
    </row>
    <row r="79" ht="20" customHeight="1">
      <c r="A79" s="19" t="n"/>
      <c r="B79" s="20" t="n"/>
      <c r="C79" s="76" t="n"/>
      <c r="D79" s="68" t="n"/>
      <c r="E79" s="76" t="n"/>
    </row>
    <row r="80" ht="20" customHeight="1">
      <c r="A80" s="19" t="n"/>
      <c r="B80" s="20" t="n"/>
      <c r="C80" s="76" t="n"/>
      <c r="D80" s="68" t="n"/>
      <c r="E80" s="76" t="n"/>
    </row>
    <row r="81" ht="20" customHeight="1">
      <c r="A81" s="19" t="n"/>
      <c r="B81" s="20" t="n"/>
      <c r="C81" s="76" t="n"/>
      <c r="D81" s="68" t="n"/>
      <c r="E81" s="76" t="n"/>
    </row>
    <row r="82" ht="20" customHeight="1">
      <c r="A82" s="19" t="n"/>
      <c r="B82" s="20" t="n"/>
      <c r="C82" s="76" t="n"/>
      <c r="D82" s="68" t="n"/>
      <c r="E82" s="76" t="n"/>
    </row>
    <row r="83" ht="20" customHeight="1">
      <c r="A83" s="19" t="n"/>
      <c r="B83" s="20" t="n"/>
      <c r="C83" s="76" t="n"/>
      <c r="D83" s="68" t="n"/>
      <c r="E83" s="76" t="n"/>
    </row>
    <row r="84" ht="20" customHeight="1">
      <c r="A84" s="19" t="n"/>
      <c r="B84" s="20" t="n"/>
      <c r="C84" s="76" t="n"/>
      <c r="D84" s="68" t="n"/>
      <c r="E84" s="76" t="n"/>
    </row>
    <row r="85" ht="20" customHeight="1">
      <c r="A85" s="19" t="n"/>
      <c r="B85" s="20" t="n"/>
      <c r="C85" s="76" t="n"/>
      <c r="D85" s="68" t="n"/>
      <c r="E85" s="76" t="n"/>
    </row>
    <row r="86" ht="20" customHeight="1">
      <c r="A86" s="19" t="n"/>
      <c r="B86" s="20" t="n"/>
      <c r="C86" s="76" t="n"/>
      <c r="D86" s="68" t="n"/>
      <c r="E86" s="76" t="n"/>
    </row>
    <row r="87" ht="20" customHeight="1">
      <c r="A87" s="19" t="n"/>
      <c r="B87" s="20" t="n"/>
      <c r="C87" s="76" t="n"/>
      <c r="D87" s="68" t="n"/>
      <c r="E87" s="76" t="n"/>
    </row>
    <row r="88" ht="20" customHeight="1">
      <c r="A88" s="19" t="n"/>
      <c r="B88" s="20" t="n"/>
      <c r="C88" s="76" t="n"/>
      <c r="D88" s="68" t="n"/>
      <c r="E88" s="76" t="n"/>
    </row>
    <row r="89" ht="20" customHeight="1">
      <c r="A89" s="19" t="n"/>
      <c r="B89" s="20" t="n"/>
      <c r="C89" s="76" t="n"/>
      <c r="D89" s="68" t="n"/>
      <c r="E89" s="76" t="n"/>
    </row>
    <row r="90" ht="20" customHeight="1">
      <c r="A90" s="19" t="n"/>
      <c r="B90" s="20" t="n"/>
      <c r="C90" s="76" t="n"/>
      <c r="D90" s="68" t="n"/>
      <c r="E90" s="76" t="n"/>
    </row>
    <row r="91" ht="20" customHeight="1">
      <c r="A91" s="19" t="n"/>
      <c r="B91" s="20" t="n"/>
      <c r="C91" s="76" t="n"/>
      <c r="D91" s="68" t="n"/>
      <c r="E91" s="76" t="n"/>
    </row>
    <row r="92" ht="20" customHeight="1">
      <c r="A92" s="19" t="n"/>
      <c r="B92" s="20" t="n"/>
      <c r="C92" s="76" t="n"/>
      <c r="D92" s="68" t="n"/>
      <c r="E92" s="76" t="n"/>
    </row>
    <row r="93" ht="20" customHeight="1">
      <c r="A93" s="19" t="n"/>
      <c r="B93" s="20" t="n"/>
      <c r="C93" s="76" t="n"/>
      <c r="D93" s="68" t="n"/>
      <c r="E93" s="76" t="n"/>
    </row>
    <row r="94" ht="20" customHeight="1">
      <c r="A94" s="19" t="n"/>
      <c r="B94" s="20" t="n"/>
      <c r="C94" s="76" t="n"/>
      <c r="D94" s="68" t="n"/>
      <c r="E94" s="76" t="n"/>
    </row>
    <row r="95" ht="20" customHeight="1">
      <c r="A95" s="19" t="n"/>
      <c r="B95" s="20" t="n"/>
      <c r="C95" s="76" t="n"/>
      <c r="D95" s="68" t="n"/>
      <c r="E95" s="76" t="n"/>
    </row>
    <row r="96" ht="20" customHeight="1">
      <c r="A96" s="19" t="n"/>
      <c r="B96" s="20" t="n"/>
      <c r="C96" s="76" t="n"/>
      <c r="D96" s="68" t="n"/>
      <c r="E96" s="76" t="n"/>
    </row>
    <row r="97" ht="20" customHeight="1">
      <c r="A97" s="19" t="n"/>
      <c r="B97" s="20" t="n"/>
      <c r="C97" s="76" t="n"/>
      <c r="D97" s="68" t="n"/>
      <c r="E97" s="76" t="n"/>
    </row>
    <row r="98" ht="20" customHeight="1">
      <c r="A98" s="19" t="n"/>
      <c r="B98" s="20" t="n"/>
      <c r="C98" s="76" t="n"/>
      <c r="D98" s="68" t="n"/>
      <c r="E98" s="76" t="n"/>
    </row>
    <row r="99" ht="20" customHeight="1">
      <c r="A99" s="19" t="n"/>
      <c r="B99" s="20" t="n"/>
      <c r="C99" s="76" t="n"/>
      <c r="D99" s="68" t="n"/>
      <c r="E99" s="76" t="n"/>
    </row>
    <row r="100" ht="20" customHeight="1">
      <c r="A100" s="19" t="n"/>
      <c r="B100" s="20" t="n"/>
      <c r="C100" s="76" t="n"/>
      <c r="D100" s="68" t="n"/>
      <c r="E100" s="76" t="n"/>
    </row>
    <row r="101" ht="20" customHeight="1">
      <c r="A101" s="19" t="n"/>
      <c r="B101" s="20" t="n"/>
      <c r="C101" s="76" t="n"/>
      <c r="D101" s="68" t="n"/>
      <c r="E101" s="76" t="n"/>
    </row>
    <row r="102" ht="20" customHeight="1">
      <c r="A102" s="19" t="n"/>
      <c r="B102" s="20" t="n"/>
      <c r="C102" s="76" t="n"/>
      <c r="D102" s="68" t="n"/>
      <c r="E102" s="76" t="n"/>
    </row>
    <row r="103" ht="20" customHeight="1">
      <c r="A103" s="19" t="n"/>
      <c r="B103" s="20" t="n"/>
      <c r="C103" s="76" t="n"/>
      <c r="D103" s="68" t="n"/>
      <c r="E103" s="76" t="n"/>
    </row>
    <row r="104" ht="20" customHeight="1">
      <c r="A104" s="19" t="n"/>
      <c r="B104" s="20" t="n"/>
      <c r="C104" s="76" t="n"/>
      <c r="D104" s="68" t="n"/>
      <c r="E104" s="76" t="n"/>
    </row>
    <row r="105" ht="20" customHeight="1">
      <c r="A105" s="19" t="n"/>
      <c r="B105" s="20" t="n"/>
      <c r="C105" s="76" t="n"/>
      <c r="D105" s="68" t="n"/>
      <c r="E105" s="76" t="n"/>
    </row>
    <row r="106" ht="20" customHeight="1">
      <c r="A106" s="19" t="n"/>
      <c r="B106" s="20" t="n"/>
      <c r="C106" s="76" t="n"/>
      <c r="D106" s="68" t="n"/>
      <c r="E106" s="76" t="n"/>
    </row>
    <row r="107" ht="20" customHeight="1">
      <c r="A107" s="19" t="n"/>
      <c r="B107" s="20" t="n"/>
      <c r="C107" s="76" t="n"/>
      <c r="D107" s="68" t="n"/>
      <c r="E107" s="76" t="n"/>
    </row>
    <row r="108" ht="20" customHeight="1">
      <c r="A108" s="19" t="n"/>
      <c r="B108" s="20" t="n"/>
      <c r="C108" s="76" t="n"/>
      <c r="D108" s="68" t="n"/>
      <c r="E108" s="76" t="n"/>
    </row>
    <row r="109" ht="20" customHeight="1">
      <c r="A109" s="19" t="n"/>
      <c r="B109" s="20" t="n"/>
      <c r="C109" s="76" t="n"/>
      <c r="D109" s="68" t="n"/>
      <c r="E109" s="76" t="n"/>
    </row>
    <row r="110" ht="20" customHeight="1">
      <c r="A110" s="19" t="n"/>
      <c r="B110" s="20" t="n"/>
      <c r="C110" s="76" t="n"/>
      <c r="D110" s="68" t="n"/>
      <c r="E110" s="76" t="n"/>
    </row>
    <row r="111" ht="20" customHeight="1">
      <c r="A111" s="19" t="n"/>
      <c r="B111" s="20" t="n"/>
      <c r="C111" s="76" t="n"/>
      <c r="D111" s="68" t="n"/>
      <c r="E111" s="76" t="n"/>
    </row>
    <row r="112" ht="20" customHeight="1">
      <c r="A112" s="19" t="n"/>
      <c r="B112" s="20" t="n"/>
      <c r="C112" s="76" t="n"/>
      <c r="D112" s="68" t="n"/>
      <c r="E112" s="76" t="n"/>
    </row>
    <row r="113" ht="20" customHeight="1">
      <c r="A113" s="19" t="n"/>
      <c r="B113" s="20" t="n"/>
      <c r="C113" s="76" t="n"/>
      <c r="D113" s="68" t="n"/>
      <c r="E113" s="76" t="n"/>
    </row>
    <row r="114" ht="20" customHeight="1">
      <c r="A114" s="19" t="n"/>
      <c r="B114" s="20" t="n"/>
      <c r="C114" s="76" t="n"/>
      <c r="D114" s="68" t="n"/>
      <c r="E114" s="76" t="n"/>
    </row>
    <row r="115" ht="20" customHeight="1">
      <c r="A115" s="19" t="n"/>
      <c r="B115" s="20" t="n"/>
      <c r="C115" s="76" t="n"/>
      <c r="D115" s="68" t="n"/>
      <c r="E115" s="76" t="n"/>
    </row>
    <row r="116" ht="20" customHeight="1">
      <c r="A116" s="19" t="n"/>
      <c r="B116" s="20" t="n"/>
      <c r="C116" s="76" t="n"/>
      <c r="D116" s="68" t="n"/>
      <c r="E116" s="76" t="n"/>
    </row>
    <row r="117" ht="20" customHeight="1">
      <c r="A117" s="19" t="n"/>
      <c r="B117" s="20" t="n"/>
      <c r="C117" s="76" t="n"/>
      <c r="D117" s="68" t="n"/>
      <c r="E117" s="76" t="n"/>
    </row>
    <row r="118" ht="20" customHeight="1">
      <c r="A118" s="19" t="n"/>
      <c r="B118" s="20" t="n"/>
      <c r="C118" s="76" t="n"/>
      <c r="D118" s="68" t="n"/>
      <c r="E118" s="76" t="n"/>
    </row>
    <row r="119" ht="20" customHeight="1">
      <c r="A119" s="19" t="n"/>
      <c r="B119" s="20" t="n"/>
      <c r="C119" s="76" t="n"/>
      <c r="D119" s="68" t="n"/>
      <c r="E119" s="76" t="n"/>
    </row>
    <row r="120" ht="20" customHeight="1">
      <c r="A120" s="19" t="n"/>
      <c r="B120" s="20" t="n"/>
      <c r="C120" s="76" t="n"/>
      <c r="D120" s="68" t="n"/>
      <c r="E120" s="76" t="n"/>
    </row>
    <row r="121" ht="20" customHeight="1">
      <c r="A121" s="19" t="n"/>
      <c r="B121" s="20" t="n"/>
      <c r="C121" s="76" t="n"/>
      <c r="D121" s="68" t="n"/>
      <c r="E121" s="76" t="n"/>
    </row>
    <row r="122" ht="20" customHeight="1">
      <c r="A122" s="19" t="n"/>
      <c r="B122" s="20" t="n"/>
      <c r="C122" s="76" t="n"/>
      <c r="D122" s="68" t="n"/>
      <c r="E122" s="76" t="n"/>
    </row>
    <row r="123" ht="20" customHeight="1">
      <c r="A123" s="19" t="n"/>
      <c r="B123" s="20" t="n"/>
      <c r="C123" s="76" t="n"/>
      <c r="D123" s="68" t="n"/>
      <c r="E123" s="76" t="n"/>
    </row>
    <row r="124" ht="20" customHeight="1">
      <c r="A124" s="19" t="n"/>
      <c r="B124" s="20" t="n"/>
      <c r="C124" s="76" t="n"/>
      <c r="D124" s="68" t="n"/>
      <c r="E124" s="76" t="n"/>
    </row>
    <row r="125" ht="20" customHeight="1">
      <c r="A125" s="19" t="n"/>
      <c r="B125" s="20" t="n"/>
      <c r="C125" s="76" t="n"/>
      <c r="D125" s="68" t="n"/>
      <c r="E125" s="76" t="n"/>
    </row>
    <row r="126" ht="20" customHeight="1">
      <c r="A126" s="19" t="n"/>
      <c r="B126" s="20" t="n"/>
      <c r="C126" s="76" t="n"/>
      <c r="D126" s="68" t="n"/>
      <c r="E126" s="76" t="n"/>
    </row>
    <row r="127" ht="20" customHeight="1">
      <c r="A127" s="19" t="n"/>
      <c r="B127" s="20" t="n"/>
      <c r="C127" s="76" t="n"/>
      <c r="D127" s="68" t="n"/>
      <c r="E127" s="76" t="n"/>
    </row>
    <row r="128" ht="20" customHeight="1">
      <c r="A128" s="19" t="n"/>
      <c r="B128" s="20" t="n"/>
      <c r="C128" s="76" t="n"/>
      <c r="D128" s="68" t="n"/>
      <c r="E128" s="76" t="n"/>
    </row>
    <row r="129" ht="20" customHeight="1">
      <c r="A129" s="19" t="n"/>
      <c r="B129" s="20" t="n"/>
      <c r="C129" s="76" t="n"/>
      <c r="D129" s="68" t="n"/>
      <c r="E129" s="76" t="n"/>
    </row>
    <row r="130" ht="20" customHeight="1">
      <c r="A130" s="19" t="n"/>
      <c r="B130" s="20" t="n"/>
      <c r="C130" s="76" t="n"/>
      <c r="D130" s="68" t="n"/>
      <c r="E130" s="76" t="n"/>
    </row>
    <row r="131" ht="20" customHeight="1">
      <c r="A131" s="19" t="n"/>
      <c r="B131" s="20" t="n"/>
      <c r="C131" s="76" t="n"/>
      <c r="D131" s="68" t="n"/>
      <c r="E131" s="76" t="n"/>
    </row>
    <row r="132" ht="20" customHeight="1">
      <c r="A132" s="19" t="n"/>
      <c r="B132" s="20" t="n"/>
      <c r="C132" s="76" t="n"/>
      <c r="D132" s="68" t="n"/>
      <c r="E132" s="76" t="n"/>
    </row>
    <row r="133" ht="20" customHeight="1">
      <c r="A133" s="19" t="n"/>
      <c r="B133" s="20" t="n"/>
      <c r="C133" s="76" t="n"/>
      <c r="D133" s="68" t="n"/>
      <c r="E133" s="76" t="n"/>
    </row>
    <row r="134" ht="20" customHeight="1">
      <c r="A134" s="19" t="n"/>
      <c r="B134" s="20" t="n"/>
      <c r="C134" s="76" t="n"/>
      <c r="D134" s="68" t="n"/>
      <c r="E134" s="76" t="n"/>
    </row>
    <row r="135" ht="20" customHeight="1">
      <c r="A135" s="19" t="n"/>
      <c r="B135" s="20" t="n"/>
      <c r="C135" s="76" t="n"/>
      <c r="D135" s="68" t="n"/>
      <c r="E135" s="76" t="n"/>
    </row>
    <row r="136" ht="20" customHeight="1">
      <c r="A136" s="19" t="n"/>
      <c r="B136" s="20" t="n"/>
      <c r="C136" s="76" t="n"/>
      <c r="D136" s="68" t="n"/>
      <c r="E136" s="76" t="n"/>
    </row>
    <row r="137" ht="20" customHeight="1">
      <c r="A137" s="19" t="n"/>
      <c r="B137" s="20" t="n"/>
      <c r="C137" s="76" t="n"/>
      <c r="D137" s="68" t="n"/>
      <c r="E137" s="76" t="n"/>
    </row>
    <row r="138" ht="20" customHeight="1">
      <c r="A138" s="19" t="n"/>
      <c r="B138" s="20" t="n"/>
      <c r="C138" s="76" t="n"/>
      <c r="D138" s="68" t="n"/>
      <c r="E138" s="76" t="n"/>
    </row>
    <row r="139" ht="20" customHeight="1">
      <c r="A139" s="19" t="n"/>
      <c r="B139" s="20" t="n"/>
      <c r="C139" s="76" t="n"/>
      <c r="D139" s="68" t="n"/>
      <c r="E139" s="76" t="n"/>
    </row>
    <row r="140" ht="20" customHeight="1">
      <c r="A140" s="19" t="n"/>
      <c r="B140" s="20" t="n"/>
      <c r="C140" s="76" t="n"/>
      <c r="D140" s="68" t="n"/>
      <c r="E140" s="76" t="n"/>
    </row>
    <row r="141" ht="20" customHeight="1">
      <c r="A141" s="19" t="n"/>
      <c r="B141" s="20" t="n"/>
      <c r="C141" s="76" t="n"/>
      <c r="D141" s="68" t="n"/>
      <c r="E141" s="76" t="n"/>
    </row>
    <row r="142" ht="20" customHeight="1">
      <c r="A142" s="19" t="n"/>
      <c r="B142" s="20" t="n"/>
      <c r="C142" s="76" t="n"/>
      <c r="D142" s="68" t="n"/>
      <c r="E142" s="76" t="n"/>
    </row>
    <row r="143" ht="20" customHeight="1">
      <c r="A143" s="19" t="n"/>
      <c r="B143" s="20" t="n"/>
      <c r="C143" s="76" t="n"/>
      <c r="D143" s="68" t="n"/>
      <c r="E143" s="76" t="n"/>
    </row>
    <row r="144" ht="20" customHeight="1">
      <c r="A144" s="19" t="n"/>
      <c r="B144" s="20" t="n"/>
      <c r="C144" s="76" t="n"/>
      <c r="D144" s="68" t="n"/>
      <c r="E144" s="76" t="n"/>
    </row>
    <row r="145" ht="20" customHeight="1">
      <c r="A145" s="19" t="n"/>
      <c r="B145" s="20" t="n"/>
      <c r="C145" s="76" t="n"/>
      <c r="D145" s="68" t="n"/>
      <c r="E145" s="76" t="n"/>
    </row>
    <row r="146" ht="20" customHeight="1">
      <c r="A146" s="19" t="n"/>
      <c r="B146" s="20" t="n"/>
      <c r="C146" s="76" t="n"/>
      <c r="D146" s="68" t="n"/>
      <c r="E146" s="76" t="n"/>
    </row>
    <row r="147" ht="20" customHeight="1">
      <c r="A147" s="19" t="n"/>
      <c r="B147" s="20" t="n"/>
      <c r="C147" s="76" t="n"/>
      <c r="D147" s="68" t="n"/>
      <c r="E147" s="76" t="n"/>
    </row>
    <row r="148" ht="20" customHeight="1">
      <c r="A148" s="19" t="n"/>
      <c r="B148" s="20" t="n"/>
      <c r="C148" s="76" t="n"/>
      <c r="D148" s="68" t="n"/>
      <c r="E148" s="76" t="n"/>
    </row>
    <row r="149" ht="20" customHeight="1">
      <c r="A149" s="19" t="n"/>
      <c r="B149" s="20" t="n"/>
      <c r="C149" s="76" t="n"/>
      <c r="D149" s="68" t="n"/>
      <c r="E149" s="76" t="n"/>
    </row>
    <row r="150" ht="20" customHeight="1">
      <c r="A150" s="19" t="n"/>
      <c r="B150" s="20" t="n"/>
      <c r="C150" s="76" t="n"/>
      <c r="D150" s="68" t="n"/>
      <c r="E150" s="76" t="n"/>
    </row>
    <row r="151" ht="20" customHeight="1">
      <c r="A151" s="19" t="n"/>
      <c r="B151" s="20" t="n"/>
      <c r="C151" s="76" t="n"/>
      <c r="D151" s="68" t="n"/>
      <c r="E151" s="76" t="n"/>
    </row>
    <row r="152" ht="20" customHeight="1">
      <c r="A152" s="19" t="n"/>
      <c r="B152" s="20" t="n"/>
      <c r="C152" s="76" t="n"/>
      <c r="D152" s="68" t="n"/>
      <c r="E152" s="76" t="n"/>
    </row>
    <row r="153" ht="20" customHeight="1">
      <c r="A153" s="19" t="n"/>
      <c r="B153" s="20" t="n"/>
      <c r="C153" s="76" t="n"/>
      <c r="D153" s="68" t="n"/>
      <c r="E153" s="76" t="n"/>
    </row>
    <row r="154" ht="20" customHeight="1">
      <c r="A154" s="19" t="n"/>
      <c r="B154" s="20" t="n"/>
      <c r="C154" s="76" t="n"/>
      <c r="D154" s="68" t="n"/>
      <c r="E154" s="76" t="n"/>
    </row>
    <row r="155" ht="20" customHeight="1">
      <c r="A155" s="19" t="n"/>
      <c r="B155" s="20" t="n"/>
      <c r="C155" s="76" t="n"/>
      <c r="D155" s="68" t="n"/>
      <c r="E155" s="76" t="n"/>
    </row>
    <row r="156" ht="20" customHeight="1">
      <c r="A156" s="19" t="n"/>
      <c r="B156" s="20" t="n"/>
      <c r="C156" s="76" t="n"/>
      <c r="D156" s="68" t="n"/>
      <c r="E156" s="76" t="n"/>
    </row>
    <row r="157" ht="20" customHeight="1">
      <c r="A157" s="19" t="n"/>
      <c r="B157" s="20" t="n"/>
      <c r="C157" s="76" t="n"/>
      <c r="D157" s="68" t="n"/>
      <c r="E157" s="76" t="n"/>
    </row>
    <row r="158" ht="20" customHeight="1">
      <c r="A158" s="19" t="n"/>
      <c r="B158" s="20" t="n"/>
      <c r="C158" s="76" t="n"/>
      <c r="D158" s="68" t="n"/>
      <c r="E158" s="76" t="n"/>
    </row>
    <row r="159" ht="20" customHeight="1">
      <c r="A159" s="19" t="n"/>
      <c r="B159" s="20" t="n"/>
      <c r="C159" s="76" t="n"/>
      <c r="D159" s="68" t="n"/>
      <c r="E159" s="76" t="n"/>
    </row>
    <row r="160" ht="20" customHeight="1">
      <c r="A160" s="19" t="n"/>
      <c r="B160" s="20" t="n"/>
      <c r="C160" s="76" t="n"/>
      <c r="D160" s="68" t="n"/>
      <c r="E160" s="76" t="n"/>
    </row>
    <row r="161" ht="20" customHeight="1">
      <c r="A161" s="19" t="n"/>
      <c r="B161" s="20" t="n"/>
      <c r="C161" s="76" t="n"/>
      <c r="D161" s="68" t="n"/>
      <c r="E161" s="76" t="n"/>
    </row>
    <row r="162" ht="20" customHeight="1">
      <c r="A162" s="19" t="n"/>
      <c r="B162" s="20" t="n"/>
      <c r="C162" s="76" t="n"/>
      <c r="D162" s="68" t="n"/>
      <c r="E162" s="76" t="n"/>
    </row>
    <row r="163" ht="20" customHeight="1">
      <c r="A163" s="19" t="n"/>
      <c r="B163" s="20" t="n"/>
      <c r="C163" s="76" t="n"/>
      <c r="D163" s="68" t="n"/>
      <c r="E163" s="76" t="n"/>
    </row>
    <row r="164" ht="20" customHeight="1">
      <c r="A164" s="19" t="n"/>
      <c r="B164" s="20" t="n"/>
      <c r="C164" s="76" t="n"/>
      <c r="D164" s="68" t="n"/>
      <c r="E164" s="76" t="n"/>
    </row>
    <row r="165" ht="20" customHeight="1">
      <c r="A165" s="19" t="n"/>
      <c r="B165" s="20" t="n"/>
      <c r="C165" s="76" t="n"/>
      <c r="D165" s="68" t="n"/>
      <c r="E165" s="76" t="n"/>
    </row>
    <row r="166" ht="20" customHeight="1">
      <c r="A166" s="19" t="n"/>
      <c r="B166" s="20" t="n"/>
      <c r="C166" s="76" t="n"/>
      <c r="D166" s="68" t="n"/>
      <c r="E166" s="76" t="n"/>
    </row>
    <row r="167" ht="20" customHeight="1">
      <c r="A167" s="19" t="n"/>
      <c r="B167" s="20" t="n"/>
      <c r="C167" s="76" t="n"/>
      <c r="D167" s="68" t="n"/>
      <c r="E167" s="76" t="n"/>
    </row>
    <row r="168" ht="20" customHeight="1">
      <c r="A168" s="19" t="n"/>
      <c r="B168" s="20" t="n"/>
      <c r="C168" s="76" t="n"/>
      <c r="D168" s="68" t="n"/>
      <c r="E168" s="76" t="n"/>
    </row>
    <row r="169" ht="20" customHeight="1">
      <c r="A169" s="19" t="n"/>
      <c r="B169" s="20" t="n"/>
      <c r="C169" s="76" t="n"/>
      <c r="D169" s="68" t="n"/>
      <c r="E169" s="76" t="n"/>
    </row>
    <row r="170" ht="20" customHeight="1">
      <c r="A170" s="19" t="n"/>
      <c r="B170" s="20" t="n"/>
      <c r="C170" s="76" t="n"/>
      <c r="D170" s="68" t="n"/>
      <c r="E170" s="76" t="n"/>
    </row>
    <row r="171" ht="20" customHeight="1">
      <c r="A171" s="19" t="n"/>
      <c r="B171" s="20" t="n"/>
      <c r="C171" s="76" t="n"/>
      <c r="D171" s="68" t="n"/>
      <c r="E171" s="76" t="n"/>
    </row>
    <row r="172" ht="20" customHeight="1">
      <c r="A172" s="19" t="n"/>
      <c r="B172" s="20" t="n"/>
      <c r="C172" s="76" t="n"/>
      <c r="D172" s="68" t="n"/>
      <c r="E172" s="76" t="n"/>
    </row>
    <row r="173" ht="20" customHeight="1">
      <c r="A173" s="19" t="n"/>
      <c r="B173" s="20" t="n"/>
      <c r="C173" s="76" t="n"/>
      <c r="D173" s="68" t="n"/>
      <c r="E173" s="76" t="n"/>
    </row>
    <row r="174" ht="20" customHeight="1">
      <c r="A174" s="19" t="n"/>
      <c r="B174" s="20" t="n"/>
      <c r="C174" s="76" t="n"/>
      <c r="D174" s="68" t="n"/>
      <c r="E174" s="76" t="n"/>
    </row>
    <row r="175" ht="20" customHeight="1">
      <c r="A175" s="19" t="n"/>
      <c r="B175" s="20" t="n"/>
      <c r="C175" s="76" t="n"/>
      <c r="D175" s="68" t="n"/>
      <c r="E175" s="76" t="n"/>
    </row>
    <row r="176" ht="20" customHeight="1">
      <c r="A176" s="19" t="n"/>
      <c r="B176" s="20" t="n"/>
      <c r="C176" s="76" t="n"/>
      <c r="D176" s="68" t="n"/>
      <c r="E176" s="76" t="n"/>
    </row>
    <row r="177" ht="20" customHeight="1">
      <c r="A177" s="19" t="n"/>
      <c r="B177" s="20" t="n"/>
      <c r="C177" s="76" t="n"/>
      <c r="D177" s="68" t="n"/>
      <c r="E177" s="76" t="n"/>
    </row>
    <row r="178" ht="20" customHeight="1">
      <c r="A178" s="19" t="n"/>
      <c r="B178" s="20" t="n"/>
      <c r="C178" s="76" t="n"/>
      <c r="D178" s="68" t="n"/>
      <c r="E178" s="76" t="n"/>
    </row>
    <row r="179" ht="20" customHeight="1">
      <c r="A179" s="19" t="n"/>
      <c r="B179" s="20" t="n"/>
      <c r="C179" s="76" t="n"/>
      <c r="D179" s="68" t="n"/>
      <c r="E179" s="76" t="n"/>
    </row>
    <row r="180" ht="20" customHeight="1">
      <c r="A180" s="19" t="n"/>
      <c r="B180" s="20" t="n"/>
      <c r="C180" s="76" t="n"/>
      <c r="D180" s="68" t="n"/>
      <c r="E180" s="76" t="n"/>
    </row>
    <row r="181" ht="20" customHeight="1">
      <c r="A181" s="19" t="n"/>
      <c r="B181" s="20" t="n"/>
      <c r="C181" s="76" t="n"/>
      <c r="D181" s="68" t="n"/>
      <c r="E181" s="76" t="n"/>
    </row>
    <row r="182" ht="20" customHeight="1">
      <c r="A182" s="19" t="n"/>
      <c r="B182" s="20" t="n"/>
      <c r="C182" s="76" t="n"/>
      <c r="D182" s="68" t="n"/>
      <c r="E182" s="76" t="n"/>
    </row>
    <row r="183" ht="20" customHeight="1">
      <c r="A183" s="19" t="n"/>
      <c r="B183" s="20" t="n"/>
      <c r="C183" s="76" t="n"/>
      <c r="D183" s="68" t="n"/>
      <c r="E183" s="76" t="n"/>
    </row>
    <row r="184" ht="20" customHeight="1">
      <c r="A184" s="19" t="n"/>
      <c r="B184" s="20" t="n"/>
      <c r="C184" s="76" t="n"/>
      <c r="D184" s="68" t="n"/>
      <c r="E184" s="76" t="n"/>
    </row>
    <row r="185" ht="20" customHeight="1">
      <c r="A185" s="19" t="n"/>
      <c r="B185" s="20" t="n"/>
      <c r="C185" s="76" t="n"/>
      <c r="D185" s="68" t="n"/>
      <c r="E185" s="76" t="n"/>
    </row>
    <row r="186" ht="20" customHeight="1">
      <c r="A186" s="19" t="n"/>
      <c r="B186" s="20" t="n"/>
      <c r="C186" s="76" t="n"/>
      <c r="D186" s="68" t="n"/>
      <c r="E186" s="76" t="n"/>
    </row>
    <row r="187" ht="20" customHeight="1">
      <c r="A187" s="19" t="n"/>
      <c r="B187" s="20" t="n"/>
      <c r="C187" s="76" t="n"/>
      <c r="D187" s="68" t="n"/>
      <c r="E187" s="76" t="n"/>
    </row>
    <row r="188" ht="20" customHeight="1">
      <c r="A188" s="19" t="n"/>
      <c r="B188" s="20" t="n"/>
      <c r="C188" s="76" t="n"/>
      <c r="D188" s="68" t="n"/>
      <c r="E188" s="76" t="n"/>
    </row>
    <row r="189" ht="20" customHeight="1">
      <c r="A189" s="19" t="n"/>
      <c r="B189" s="20" t="n"/>
      <c r="C189" s="76" t="n"/>
      <c r="D189" s="68" t="n"/>
      <c r="E189" s="76" t="n"/>
    </row>
    <row r="190" ht="20" customHeight="1">
      <c r="A190" s="19" t="n"/>
      <c r="B190" s="20" t="n"/>
      <c r="C190" s="76" t="n"/>
      <c r="D190" s="68" t="n"/>
      <c r="E190" s="76" t="n"/>
    </row>
    <row r="191" ht="20" customHeight="1">
      <c r="A191" s="19" t="n"/>
      <c r="B191" s="20" t="n"/>
      <c r="C191" s="76" t="n"/>
      <c r="D191" s="68" t="n"/>
      <c r="E191" s="76" t="n"/>
    </row>
    <row r="192" ht="20" customHeight="1">
      <c r="A192" s="19" t="n"/>
      <c r="B192" s="20" t="n"/>
      <c r="C192" s="76" t="n"/>
      <c r="D192" s="68" t="n"/>
      <c r="E192" s="76" t="n"/>
    </row>
    <row r="193" ht="20" customHeight="1">
      <c r="A193" s="19" t="n"/>
      <c r="B193" s="20" t="n"/>
      <c r="C193" s="76" t="n"/>
      <c r="D193" s="68" t="n"/>
      <c r="E193" s="76" t="n"/>
    </row>
    <row r="194" ht="20" customHeight="1">
      <c r="A194" s="19" t="n"/>
      <c r="B194" s="20" t="n"/>
      <c r="C194" s="76" t="n"/>
      <c r="D194" s="68" t="n"/>
      <c r="E194" s="76" t="n"/>
    </row>
    <row r="195" ht="20" customHeight="1">
      <c r="A195" s="19" t="n"/>
      <c r="B195" s="20" t="n"/>
      <c r="C195" s="76" t="n"/>
      <c r="D195" s="68" t="n"/>
      <c r="E195" s="76" t="n"/>
    </row>
    <row r="196" ht="20" customHeight="1">
      <c r="A196" s="19" t="n"/>
      <c r="B196" s="20" t="n"/>
      <c r="C196" s="76" t="n"/>
      <c r="D196" s="68" t="n"/>
      <c r="E196" s="76" t="n"/>
    </row>
    <row r="197" ht="20" customHeight="1">
      <c r="A197" s="19" t="n"/>
      <c r="B197" s="20" t="n"/>
      <c r="C197" s="76" t="n"/>
      <c r="D197" s="68" t="n"/>
      <c r="E197" s="76" t="n"/>
    </row>
    <row r="198" ht="20" customHeight="1">
      <c r="A198" s="19" t="n"/>
      <c r="B198" s="20" t="n"/>
      <c r="C198" s="76" t="n"/>
      <c r="D198" s="68" t="n"/>
      <c r="E198" s="76" t="n"/>
    </row>
    <row r="199" ht="20" customHeight="1">
      <c r="A199" s="19" t="n"/>
      <c r="B199" s="20" t="n"/>
      <c r="C199" s="76" t="n"/>
      <c r="D199" s="68" t="n"/>
      <c r="E199" s="76" t="n"/>
    </row>
    <row r="200" ht="20" customHeight="1">
      <c r="A200" s="19" t="n"/>
      <c r="B200" s="20" t="n"/>
      <c r="C200" s="76" t="n"/>
      <c r="D200" s="68" t="n"/>
      <c r="E200" s="76" t="n"/>
    </row>
    <row r="201" ht="20" customHeight="1">
      <c r="A201" s="19" t="n"/>
      <c r="B201" s="20" t="n"/>
      <c r="C201" s="76" t="n"/>
      <c r="D201" s="68" t="n"/>
      <c r="E201" s="76" t="n"/>
    </row>
    <row r="202" ht="20" customHeight="1">
      <c r="A202" s="19" t="n"/>
      <c r="B202" s="20" t="n"/>
      <c r="C202" s="76" t="n"/>
      <c r="D202" s="68" t="n"/>
      <c r="E202" s="76" t="n"/>
    </row>
    <row r="203" ht="20" customHeight="1">
      <c r="A203" s="19" t="n"/>
      <c r="B203" s="20" t="n"/>
      <c r="C203" s="76" t="n"/>
      <c r="D203" s="68" t="n"/>
      <c r="E203" s="76" t="n"/>
    </row>
    <row r="204" ht="20" customHeight="1">
      <c r="A204" s="19" t="n"/>
      <c r="B204" s="20" t="n"/>
      <c r="C204" s="76" t="n"/>
      <c r="D204" s="68" t="n"/>
      <c r="E204" s="76" t="n"/>
    </row>
    <row r="205" ht="20" customHeight="1">
      <c r="A205" s="19" t="n"/>
      <c r="B205" s="20" t="n"/>
      <c r="C205" s="76" t="n"/>
      <c r="D205" s="68" t="n"/>
      <c r="E205" s="76" t="n"/>
    </row>
    <row r="206" ht="20" customHeight="1">
      <c r="A206" s="19" t="n"/>
      <c r="B206" s="20" t="n"/>
      <c r="C206" s="76" t="n"/>
      <c r="D206" s="68" t="n"/>
      <c r="E206" s="76" t="n"/>
    </row>
    <row r="207" ht="20" customHeight="1">
      <c r="A207" s="19" t="n"/>
      <c r="B207" s="20" t="n"/>
      <c r="C207" s="76" t="n"/>
      <c r="D207" s="68" t="n"/>
      <c r="E207" s="76" t="n"/>
    </row>
    <row r="208" ht="20" customHeight="1">
      <c r="A208" s="19" t="n"/>
      <c r="B208" s="20" t="n"/>
      <c r="C208" s="76" t="n"/>
      <c r="D208" s="68" t="n"/>
      <c r="E208" s="76" t="n"/>
    </row>
    <row r="209" ht="20" customHeight="1">
      <c r="A209" s="19" t="n"/>
      <c r="B209" s="20" t="n"/>
      <c r="C209" s="76" t="n"/>
      <c r="D209" s="68" t="n"/>
      <c r="E209" s="76" t="n"/>
    </row>
    <row r="210" ht="20" customHeight="1">
      <c r="A210" s="19" t="n"/>
      <c r="B210" s="20" t="n"/>
      <c r="C210" s="76" t="n"/>
      <c r="D210" s="68" t="n"/>
      <c r="E210" s="76" t="n"/>
    </row>
    <row r="211" ht="20" customHeight="1">
      <c r="A211" s="19" t="n"/>
      <c r="B211" s="20" t="n"/>
      <c r="C211" s="76" t="n"/>
      <c r="D211" s="68" t="n"/>
      <c r="E211" s="76" t="n"/>
    </row>
    <row r="212" ht="20" customHeight="1">
      <c r="A212" s="19" t="n"/>
      <c r="B212" s="20" t="n"/>
      <c r="C212" s="76" t="n"/>
      <c r="D212" s="68" t="n"/>
      <c r="E212" s="76" t="n"/>
    </row>
    <row r="213" ht="20" customHeight="1">
      <c r="A213" s="19" t="n"/>
      <c r="B213" s="20" t="n"/>
      <c r="C213" s="76" t="n"/>
      <c r="D213" s="68" t="n"/>
      <c r="E213" s="76" t="n"/>
    </row>
    <row r="214" ht="20" customHeight="1">
      <c r="A214" s="19" t="n"/>
      <c r="B214" s="20" t="n"/>
      <c r="C214" s="76" t="n"/>
      <c r="D214" s="68" t="n"/>
      <c r="E214" s="76" t="n"/>
    </row>
    <row r="215" ht="20" customHeight="1">
      <c r="A215" s="19" t="n"/>
      <c r="B215" s="20" t="n"/>
      <c r="C215" s="76" t="n"/>
      <c r="D215" s="68" t="n"/>
      <c r="E215" s="76" t="n"/>
    </row>
    <row r="216" ht="20" customHeight="1">
      <c r="A216" s="19" t="n"/>
      <c r="B216" s="20" t="n"/>
      <c r="C216" s="76" t="n"/>
      <c r="D216" s="68" t="n"/>
      <c r="E216" s="76" t="n"/>
    </row>
    <row r="217" ht="20" customHeight="1">
      <c r="A217" s="19" t="n"/>
      <c r="B217" s="20" t="n"/>
      <c r="C217" s="76" t="n"/>
      <c r="D217" s="68" t="n"/>
      <c r="E217" s="76" t="n"/>
    </row>
    <row r="218" ht="20" customHeight="1">
      <c r="A218" s="19" t="n"/>
      <c r="B218" s="20" t="n"/>
      <c r="C218" s="76" t="n"/>
      <c r="D218" s="68" t="n"/>
      <c r="E218" s="76" t="n"/>
    </row>
    <row r="219" ht="20" customHeight="1">
      <c r="A219" s="19" t="n"/>
      <c r="B219" s="20" t="n"/>
      <c r="C219" s="76" t="n"/>
      <c r="D219" s="68" t="n"/>
      <c r="E219" s="76" t="n"/>
    </row>
    <row r="220" ht="20" customHeight="1">
      <c r="A220" s="19" t="n"/>
      <c r="B220" s="20" t="n"/>
      <c r="C220" s="76" t="n"/>
      <c r="D220" s="68" t="n"/>
      <c r="E220" s="76" t="n"/>
    </row>
    <row r="221" ht="20" customHeight="1">
      <c r="A221" s="19" t="n"/>
      <c r="B221" s="20" t="n"/>
      <c r="C221" s="76" t="n"/>
      <c r="D221" s="68" t="n"/>
      <c r="E221" s="76" t="n"/>
    </row>
    <row r="222" ht="20" customHeight="1">
      <c r="A222" s="19" t="n"/>
      <c r="B222" s="20" t="n"/>
      <c r="C222" s="76" t="n"/>
      <c r="D222" s="68" t="n"/>
      <c r="E222" s="76" t="n"/>
    </row>
    <row r="223" ht="20" customHeight="1">
      <c r="A223" s="19" t="n"/>
      <c r="B223" s="20" t="n"/>
      <c r="C223" s="76" t="n"/>
      <c r="D223" s="68" t="n"/>
      <c r="E223" s="76" t="n"/>
    </row>
    <row r="224" ht="20" customHeight="1">
      <c r="A224" s="19" t="n"/>
      <c r="B224" s="20" t="n"/>
      <c r="C224" s="76" t="n"/>
      <c r="D224" s="68" t="n"/>
      <c r="E224" s="76" t="n"/>
    </row>
    <row r="225" ht="20" customHeight="1">
      <c r="A225" s="19" t="n"/>
      <c r="B225" s="20" t="n"/>
      <c r="C225" s="76" t="n"/>
      <c r="D225" s="68" t="n"/>
      <c r="E225" s="76" t="n"/>
    </row>
    <row r="226" ht="20" customHeight="1">
      <c r="A226" s="19" t="n"/>
      <c r="B226" s="20" t="n"/>
      <c r="C226" s="76" t="n"/>
      <c r="D226" s="68" t="n"/>
      <c r="E226" s="76" t="n"/>
    </row>
    <row r="227" ht="20" customHeight="1">
      <c r="A227" s="19" t="n"/>
      <c r="B227" s="20" t="n"/>
      <c r="C227" s="76" t="n"/>
      <c r="D227" s="68" t="n"/>
      <c r="E227" s="76" t="n"/>
    </row>
    <row r="228" ht="20" customHeight="1">
      <c r="A228" s="19" t="n"/>
      <c r="B228" s="20" t="n"/>
      <c r="C228" s="76" t="n"/>
      <c r="D228" s="68" t="n"/>
      <c r="E228" s="76" t="n"/>
    </row>
    <row r="229" ht="20" customHeight="1">
      <c r="A229" s="19" t="n"/>
      <c r="B229" s="20" t="n"/>
      <c r="C229" s="76" t="n"/>
      <c r="D229" s="68" t="n"/>
      <c r="E229" s="76" t="n"/>
    </row>
    <row r="230" ht="20" customHeight="1">
      <c r="A230" s="19" t="n"/>
      <c r="B230" s="20" t="n"/>
      <c r="C230" s="76" t="n"/>
      <c r="D230" s="68" t="n"/>
      <c r="E230" s="76" t="n"/>
    </row>
    <row r="231" ht="20" customHeight="1">
      <c r="A231" s="19" t="n"/>
      <c r="B231" s="20" t="n"/>
      <c r="C231" s="76" t="n"/>
      <c r="D231" s="68" t="n"/>
      <c r="E231" s="76" t="n"/>
    </row>
    <row r="232" ht="20" customHeight="1">
      <c r="A232" s="19" t="n"/>
      <c r="B232" s="20" t="n"/>
      <c r="C232" s="76" t="n"/>
      <c r="D232" s="68" t="n"/>
      <c r="E232" s="76" t="n"/>
    </row>
    <row r="233" ht="20" customHeight="1">
      <c r="A233" s="19" t="n"/>
      <c r="B233" s="20" t="n"/>
      <c r="C233" s="76" t="n"/>
      <c r="D233" s="68" t="n"/>
      <c r="E233" s="76" t="n"/>
    </row>
    <row r="234" ht="20" customHeight="1">
      <c r="A234" s="19" t="n"/>
      <c r="B234" s="20" t="n"/>
      <c r="C234" s="76" t="n"/>
      <c r="D234" s="68" t="n"/>
      <c r="E234" s="76" t="n"/>
    </row>
    <row r="235" ht="20" customHeight="1">
      <c r="A235" s="19" t="n"/>
      <c r="B235" s="20" t="n"/>
      <c r="C235" s="76" t="n"/>
      <c r="D235" s="68" t="n"/>
      <c r="E235" s="76" t="n"/>
    </row>
    <row r="236" ht="20" customHeight="1">
      <c r="A236" s="19" t="n"/>
      <c r="B236" s="20" t="n"/>
      <c r="C236" s="76" t="n"/>
      <c r="D236" s="68" t="n"/>
      <c r="E236" s="76" t="n"/>
    </row>
    <row r="237" ht="20" customHeight="1">
      <c r="A237" s="19" t="n"/>
      <c r="B237" s="20" t="n"/>
      <c r="C237" s="76" t="n"/>
      <c r="D237" s="68" t="n"/>
      <c r="E237" s="76" t="n"/>
    </row>
    <row r="238" ht="20" customHeight="1">
      <c r="A238" s="19" t="n"/>
      <c r="B238" s="20" t="n"/>
      <c r="C238" s="76" t="n"/>
      <c r="D238" s="68" t="n"/>
      <c r="E238" s="76" t="n"/>
    </row>
    <row r="239" ht="20" customHeight="1">
      <c r="A239" s="19" t="n"/>
      <c r="B239" s="20" t="n"/>
      <c r="C239" s="76" t="n"/>
      <c r="D239" s="68" t="n"/>
      <c r="E239" s="76" t="n"/>
    </row>
    <row r="240" ht="20" customHeight="1">
      <c r="A240" s="19" t="n"/>
      <c r="B240" s="20" t="n"/>
      <c r="C240" s="76" t="n"/>
      <c r="D240" s="68" t="n"/>
      <c r="E240" s="76" t="n"/>
    </row>
    <row r="241" ht="20" customHeight="1">
      <c r="A241" s="19" t="n"/>
      <c r="B241" s="20" t="n"/>
      <c r="C241" s="76" t="n"/>
      <c r="D241" s="68" t="n"/>
      <c r="E241" s="76" t="n"/>
    </row>
    <row r="242" ht="20" customHeight="1">
      <c r="A242" s="19" t="n"/>
      <c r="B242" s="20" t="n"/>
      <c r="C242" s="76" t="n"/>
      <c r="D242" s="68" t="n"/>
      <c r="E242" s="76" t="n"/>
    </row>
    <row r="243" ht="20" customHeight="1">
      <c r="A243" s="19" t="n"/>
      <c r="B243" s="20" t="n"/>
      <c r="C243" s="76" t="n"/>
      <c r="D243" s="68" t="n"/>
      <c r="E243" s="76" t="n"/>
    </row>
    <row r="244" ht="20" customHeight="1">
      <c r="A244" s="19" t="n"/>
      <c r="B244" s="20" t="n"/>
      <c r="C244" s="76" t="n"/>
      <c r="D244" s="68" t="n"/>
      <c r="E244" s="76" t="n"/>
    </row>
    <row r="245" ht="20" customHeight="1">
      <c r="A245" s="19" t="n"/>
      <c r="B245" s="20" t="n"/>
      <c r="C245" s="76" t="n"/>
      <c r="D245" s="68" t="n"/>
      <c r="E245" s="76" t="n"/>
    </row>
    <row r="246" ht="20" customHeight="1">
      <c r="A246" s="19" t="n"/>
      <c r="B246" s="20" t="n"/>
      <c r="C246" s="76" t="n"/>
      <c r="D246" s="68" t="n"/>
      <c r="E246" s="76" t="n"/>
    </row>
    <row r="247" ht="20" customHeight="1">
      <c r="A247" s="19" t="n"/>
      <c r="B247" s="20" t="n"/>
      <c r="C247" s="76" t="n"/>
      <c r="D247" s="68" t="n"/>
      <c r="E247" s="76" t="n"/>
    </row>
    <row r="248" ht="20" customHeight="1">
      <c r="A248" s="19" t="n"/>
      <c r="B248" s="20" t="n"/>
      <c r="C248" s="76" t="n"/>
      <c r="D248" s="68" t="n"/>
      <c r="E248" s="76" t="n"/>
    </row>
    <row r="249" ht="20" customHeight="1">
      <c r="A249" s="19" t="n"/>
      <c r="B249" s="20" t="n"/>
      <c r="C249" s="76" t="n"/>
      <c r="D249" s="68" t="n"/>
      <c r="E249" s="76" t="n"/>
    </row>
    <row r="250" ht="20" customHeight="1">
      <c r="A250" s="19" t="n"/>
      <c r="B250" s="20" t="n"/>
      <c r="C250" s="76" t="n"/>
      <c r="D250" s="68" t="n"/>
      <c r="E250" s="76" t="n"/>
    </row>
    <row r="251" ht="20" customHeight="1">
      <c r="A251" s="19" t="n"/>
      <c r="B251" s="20" t="n"/>
      <c r="C251" s="76" t="n"/>
      <c r="D251" s="68" t="n"/>
      <c r="E251" s="76" t="n"/>
    </row>
    <row r="252" ht="20" customHeight="1">
      <c r="A252" s="19" t="n"/>
      <c r="B252" s="20" t="n"/>
      <c r="C252" s="76" t="n"/>
      <c r="D252" s="68" t="n"/>
      <c r="E252" s="76" t="n"/>
    </row>
    <row r="254" ht="28" customHeight="1">
      <c r="A254" s="24" t="inlineStr">
        <is>
          <t>זו רשימת ההיצע לגיליון «שיבוץ». מותר ורצוי להוסיף, למחוק ולתקן — הרשימה הנגללת והקטגוריה האוטומטית מתעדכנות לבד. משימות ניקיון מופיעות בנפרד לכל מרחב, כדי לבחור בכל שבת אילו מרחבים מנקים ומתי. עמודת «עוגן» היא ברירת המחדל לשיוך המשימה בלו"ז הצל.</t>
        </is>
      </c>
    </row>
  </sheetData>
  <mergeCells count="2">
    <mergeCell ref="A1:E1"/>
    <mergeCell ref="A254:D254"/>
  </mergeCells>
  <dataValidations count="3">
    <dataValidation sqref="A3:A252" showDropDown="0" showInputMessage="0" showErrorMessage="0" allowBlank="1" type="list">
      <formula1>"אפייה ובישול,ניקיון וסידור,תורנות ארוחה,אחריות טכנית"</formula1>
    </dataValidation>
    <dataValidation sqref="C3:C252" showDropDown="0" showInputMessage="0" showErrorMessage="0" allowBlank="1" type="list">
      <formula1>"שישי,שבת,מוצאי שבת,חמישי,משתנה"</formula1>
    </dataValidation>
    <dataValidation sqref="E3:E2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2" customWidth="1" min="4" max="4"/>
    <col width="40" customWidth="1" min="5" max="5"/>
    <col hidden="1" width="14" customWidth="1" min="6" max="6"/>
  </cols>
  <sheetData>
    <row r="1" ht="36" customHeight="1">
      <c r="A1" s="5" t="inlineStr">
        <is>
          <t>מתכונים</t>
        </is>
      </c>
    </row>
    <row r="2" ht="24" customHeight="1">
      <c r="A2" s="16" t="inlineStr">
        <is>
          <t>מנה</t>
        </is>
      </c>
      <c r="B2" s="16" t="inlineStr">
        <is>
          <t>מרכיב</t>
        </is>
      </c>
      <c r="C2" s="16" t="inlineStr">
        <is>
          <t>כמות ליחידה אחת</t>
        </is>
      </c>
      <c r="D2" s="16" t="inlineStr">
        <is>
          <t>יחידה</t>
        </is>
      </c>
      <c r="E2" s="16" t="inlineStr">
        <is>
          <t>הערה</t>
        </is>
      </c>
      <c r="F2" s="16" t="inlineStr">
        <is>
          <t>כמות בפועל</t>
        </is>
      </c>
    </row>
    <row r="3" ht="20" customHeight="1">
      <c r="A3" s="80" t="n"/>
      <c r="B3" s="86" t="n"/>
      <c r="C3" s="69" t="n"/>
      <c r="D3" s="83">
        <f>IF($B3="","",IFERROR(VLOOKUP($B3,'מצרכים'!$A$3:$B$102,2,FALSE),""))</f>
        <v/>
      </c>
      <c r="E3" s="70" t="n"/>
      <c r="F3" s="85">
        <f>IF($A3="","",IFERROR($C3*VLOOKUP($A3,'תפריט השבת'!$A$4:$B$43,2,FALSE),0))</f>
        <v/>
      </c>
    </row>
    <row r="4" ht="20" customHeight="1">
      <c r="A4" s="80" t="n"/>
      <c r="B4" s="86" t="n"/>
      <c r="C4" s="69" t="n"/>
      <c r="D4" s="83">
        <f>IF($B4="","",IFERROR(VLOOKUP($B4,'מצרכים'!$A$3:$B$102,2,FALSE),""))</f>
        <v/>
      </c>
      <c r="E4" s="70" t="n"/>
      <c r="F4" s="85">
        <f>IF($A4="","",IFERROR($C4*VLOOKUP($A4,'תפריט השבת'!$A$4:$B$43,2,FALSE),0))</f>
        <v/>
      </c>
    </row>
    <row r="5" ht="20" customHeight="1">
      <c r="A5" s="80" t="n"/>
      <c r="B5" s="86" t="n"/>
      <c r="C5" s="69" t="n"/>
      <c r="D5" s="83">
        <f>IF($B5="","",IFERROR(VLOOKUP($B5,'מצרכים'!$A$3:$B$102,2,FALSE),""))</f>
        <v/>
      </c>
      <c r="E5" s="70" t="n"/>
      <c r="F5" s="85">
        <f>IF($A5="","",IFERROR($C5*VLOOKUP($A5,'תפריט השבת'!$A$4:$B$43,2,FALSE),0))</f>
        <v/>
      </c>
    </row>
    <row r="6" ht="20" customHeight="1">
      <c r="A6" s="80" t="n"/>
      <c r="B6" s="86" t="n"/>
      <c r="C6" s="69" t="n"/>
      <c r="D6" s="83">
        <f>IF($B6="","",IFERROR(VLOOKUP($B6,'מצרכים'!$A$3:$B$102,2,FALSE),""))</f>
        <v/>
      </c>
      <c r="E6" s="70" t="n"/>
      <c r="F6" s="85">
        <f>IF($A6="","",IFERROR($C6*VLOOKUP($A6,'תפריט השבת'!$A$4:$B$43,2,FALSE),0))</f>
        <v/>
      </c>
    </row>
    <row r="7" ht="20" customHeight="1">
      <c r="A7" s="80" t="n"/>
      <c r="B7" s="86" t="n"/>
      <c r="C7" s="69" t="n"/>
      <c r="D7" s="83">
        <f>IF($B7="","",IFERROR(VLOOKUP($B7,'מצרכים'!$A$3:$B$102,2,FALSE),""))</f>
        <v/>
      </c>
      <c r="E7" s="70" t="n"/>
      <c r="F7" s="85">
        <f>IF($A7="","",IFERROR($C7*VLOOKUP($A7,'תפריט השבת'!$A$4:$B$43,2,FALSE),0))</f>
        <v/>
      </c>
    </row>
    <row r="8" ht="20" customHeight="1">
      <c r="A8" s="80" t="n"/>
      <c r="B8" s="86" t="n"/>
      <c r="C8" s="69" t="n"/>
      <c r="D8" s="83">
        <f>IF($B8="","",IFERROR(VLOOKUP($B8,'מצרכים'!$A$3:$B$102,2,FALSE),""))</f>
        <v/>
      </c>
      <c r="E8" s="70" t="n"/>
      <c r="F8" s="85">
        <f>IF($A8="","",IFERROR($C8*VLOOKUP($A8,'תפריט השבת'!$A$4:$B$43,2,FALSE),0))</f>
        <v/>
      </c>
    </row>
    <row r="9" ht="20" customHeight="1">
      <c r="A9" s="80" t="n"/>
      <c r="B9" s="86" t="n"/>
      <c r="C9" s="69" t="n"/>
      <c r="D9" s="83">
        <f>IF($B9="","",IFERROR(VLOOKUP($B9,'מצרכים'!$A$3:$B$102,2,FALSE),""))</f>
        <v/>
      </c>
      <c r="E9" s="70" t="n"/>
      <c r="F9" s="85">
        <f>IF($A9="","",IFERROR($C9*VLOOKUP($A9,'תפריט השבת'!$A$4:$B$43,2,FALSE),0))</f>
        <v/>
      </c>
    </row>
    <row r="10" ht="20" customHeight="1">
      <c r="A10" s="80" t="n"/>
      <c r="B10" s="86" t="n"/>
      <c r="C10" s="69" t="n"/>
      <c r="D10" s="83">
        <f>IF($B10="","",IFERROR(VLOOKUP($B10,'מצרכים'!$A$3:$B$102,2,FALSE),""))</f>
        <v/>
      </c>
      <c r="E10" s="70" t="n"/>
      <c r="F10" s="85">
        <f>IF($A10="","",IFERROR($C10*VLOOKUP($A10,'תפריט השבת'!$A$4:$B$43,2,FALSE),0))</f>
        <v/>
      </c>
    </row>
    <row r="11" ht="20" customHeight="1">
      <c r="A11" s="80" t="n"/>
      <c r="B11" s="86" t="n"/>
      <c r="C11" s="69" t="n"/>
      <c r="D11" s="83">
        <f>IF($B11="","",IFERROR(VLOOKUP($B11,'מצרכים'!$A$3:$B$102,2,FALSE),""))</f>
        <v/>
      </c>
      <c r="E11" s="70" t="n"/>
      <c r="F11" s="85">
        <f>IF($A11="","",IFERROR($C11*VLOOKUP($A11,'תפריט השבת'!$A$4:$B$43,2,FALSE),0))</f>
        <v/>
      </c>
    </row>
    <row r="12" ht="20" customHeight="1">
      <c r="A12" s="80" t="n"/>
      <c r="B12" s="86" t="n"/>
      <c r="C12" s="69" t="n"/>
      <c r="D12" s="83">
        <f>IF($B12="","",IFERROR(VLOOKUP($B12,'מצרכים'!$A$3:$B$102,2,FALSE),""))</f>
        <v/>
      </c>
      <c r="E12" s="70" t="n"/>
      <c r="F12" s="85">
        <f>IF($A12="","",IFERROR($C12*VLOOKUP($A12,'תפריט השבת'!$A$4:$B$43,2,FALSE),0))</f>
        <v/>
      </c>
    </row>
    <row r="13" ht="20" customHeight="1">
      <c r="A13" s="80" t="n"/>
      <c r="B13" s="86" t="n"/>
      <c r="C13" s="69" t="n"/>
      <c r="D13" s="83">
        <f>IF($B13="","",IFERROR(VLOOKUP($B13,'מצרכים'!$A$3:$B$102,2,FALSE),""))</f>
        <v/>
      </c>
      <c r="E13" s="70" t="n"/>
      <c r="F13" s="85">
        <f>IF($A13="","",IFERROR($C13*VLOOKUP($A13,'תפריט השבת'!$A$4:$B$43,2,FALSE),0))</f>
        <v/>
      </c>
    </row>
    <row r="14" ht="20" customHeight="1">
      <c r="A14" s="80" t="n"/>
      <c r="B14" s="86" t="n"/>
      <c r="C14" s="69" t="n"/>
      <c r="D14" s="83">
        <f>IF($B14="","",IFERROR(VLOOKUP($B14,'מצרכים'!$A$3:$B$102,2,FALSE),""))</f>
        <v/>
      </c>
      <c r="E14" s="70" t="n"/>
      <c r="F14" s="85">
        <f>IF($A14="","",IFERROR($C14*VLOOKUP($A14,'תפריט השבת'!$A$4:$B$43,2,FALSE),0))</f>
        <v/>
      </c>
    </row>
    <row r="15" ht="20" customHeight="1">
      <c r="A15" s="80" t="n"/>
      <c r="B15" s="86" t="n"/>
      <c r="C15" s="69" t="n"/>
      <c r="D15" s="83">
        <f>IF($B15="","",IFERROR(VLOOKUP($B15,'מצרכים'!$A$3:$B$102,2,FALSE),""))</f>
        <v/>
      </c>
      <c r="E15" s="70" t="n"/>
      <c r="F15" s="85">
        <f>IF($A15="","",IFERROR($C15*VLOOKUP($A15,'תפריט השבת'!$A$4:$B$43,2,FALSE),0))</f>
        <v/>
      </c>
    </row>
    <row r="16" ht="20" customHeight="1">
      <c r="A16" s="80" t="n"/>
      <c r="B16" s="86" t="n"/>
      <c r="C16" s="69" t="n"/>
      <c r="D16" s="83">
        <f>IF($B16="","",IFERROR(VLOOKUP($B16,'מצרכים'!$A$3:$B$102,2,FALSE),""))</f>
        <v/>
      </c>
      <c r="E16" s="70" t="n"/>
      <c r="F16" s="85">
        <f>IF($A16="","",IFERROR($C16*VLOOKUP($A16,'תפריט השבת'!$A$4:$B$43,2,FALSE),0))</f>
        <v/>
      </c>
    </row>
    <row r="17" ht="20" customHeight="1">
      <c r="A17" s="80" t="n"/>
      <c r="B17" s="86" t="n"/>
      <c r="C17" s="69" t="n"/>
      <c r="D17" s="83">
        <f>IF($B17="","",IFERROR(VLOOKUP($B17,'מצרכים'!$A$3:$B$102,2,FALSE),""))</f>
        <v/>
      </c>
      <c r="E17" s="70" t="n"/>
      <c r="F17" s="85">
        <f>IF($A17="","",IFERROR($C17*VLOOKUP($A17,'תפריט השבת'!$A$4:$B$43,2,FALSE),0))</f>
        <v/>
      </c>
    </row>
    <row r="18" ht="20" customHeight="1">
      <c r="A18" s="80" t="n"/>
      <c r="B18" s="86" t="n"/>
      <c r="C18" s="69" t="n"/>
      <c r="D18" s="83">
        <f>IF($B18="","",IFERROR(VLOOKUP($B18,'מצרכים'!$A$3:$B$102,2,FALSE),""))</f>
        <v/>
      </c>
      <c r="E18" s="70" t="n"/>
      <c r="F18" s="85">
        <f>IF($A18="","",IFERROR($C18*VLOOKUP($A18,'תפריט השבת'!$A$4:$B$43,2,FALSE),0))</f>
        <v/>
      </c>
    </row>
    <row r="19" ht="20" customHeight="1">
      <c r="A19" s="80" t="n"/>
      <c r="B19" s="86" t="n"/>
      <c r="C19" s="69" t="n"/>
      <c r="D19" s="83">
        <f>IF($B19="","",IFERROR(VLOOKUP($B19,'מצרכים'!$A$3:$B$102,2,FALSE),""))</f>
        <v/>
      </c>
      <c r="E19" s="70" t="n"/>
      <c r="F19" s="85">
        <f>IF($A19="","",IFERROR($C19*VLOOKUP($A19,'תפריט השבת'!$A$4:$B$43,2,FALSE),0))</f>
        <v/>
      </c>
    </row>
    <row r="20" ht="20" customHeight="1">
      <c r="A20" s="80" t="n"/>
      <c r="B20" s="86" t="n"/>
      <c r="C20" s="69" t="n"/>
      <c r="D20" s="83">
        <f>IF($B20="","",IFERROR(VLOOKUP($B20,'מצרכים'!$A$3:$B$102,2,FALSE),""))</f>
        <v/>
      </c>
      <c r="E20" s="70" t="n"/>
      <c r="F20" s="85">
        <f>IF($A20="","",IFERROR($C20*VLOOKUP($A20,'תפריט השבת'!$A$4:$B$43,2,FALSE),0))</f>
        <v/>
      </c>
    </row>
    <row r="21" ht="20" customHeight="1">
      <c r="A21" s="80" t="n"/>
      <c r="B21" s="86" t="n"/>
      <c r="C21" s="69" t="n"/>
      <c r="D21" s="83">
        <f>IF($B21="","",IFERROR(VLOOKUP($B21,'מצרכים'!$A$3:$B$102,2,FALSE),""))</f>
        <v/>
      </c>
      <c r="E21" s="70" t="n"/>
      <c r="F21" s="85">
        <f>IF($A21="","",IFERROR($C21*VLOOKUP($A21,'תפריט השבת'!$A$4:$B$43,2,FALSE),0))</f>
        <v/>
      </c>
    </row>
    <row r="22" ht="20" customHeight="1">
      <c r="A22" s="80" t="n"/>
      <c r="B22" s="86" t="n"/>
      <c r="C22" s="69" t="n"/>
      <c r="D22" s="83">
        <f>IF($B22="","",IFERROR(VLOOKUP($B22,'מצרכים'!$A$3:$B$102,2,FALSE),""))</f>
        <v/>
      </c>
      <c r="E22" s="70" t="n"/>
      <c r="F22" s="85">
        <f>IF($A22="","",IFERROR($C22*VLOOKUP($A22,'תפריט השבת'!$A$4:$B$43,2,FALSE),0))</f>
        <v/>
      </c>
    </row>
    <row r="23" ht="20" customHeight="1">
      <c r="A23" s="80" t="n"/>
      <c r="B23" s="86" t="n"/>
      <c r="C23" s="69" t="n"/>
      <c r="D23" s="83">
        <f>IF($B23="","",IFERROR(VLOOKUP($B23,'מצרכים'!$A$3:$B$102,2,FALSE),""))</f>
        <v/>
      </c>
      <c r="E23" s="70" t="n"/>
      <c r="F23" s="85">
        <f>IF($A23="","",IFERROR($C23*VLOOKUP($A23,'תפריט השבת'!$A$4:$B$43,2,FALSE),0))</f>
        <v/>
      </c>
    </row>
    <row r="24" ht="20" customHeight="1">
      <c r="A24" s="80" t="n"/>
      <c r="B24" s="86" t="n"/>
      <c r="C24" s="69" t="n"/>
      <c r="D24" s="83">
        <f>IF($B24="","",IFERROR(VLOOKUP($B24,'מצרכים'!$A$3:$B$102,2,FALSE),""))</f>
        <v/>
      </c>
      <c r="E24" s="70" t="n"/>
      <c r="F24" s="85">
        <f>IF($A24="","",IFERROR($C24*VLOOKUP($A24,'תפריט השבת'!$A$4:$B$43,2,FALSE),0))</f>
        <v/>
      </c>
    </row>
    <row r="25" ht="20" customHeight="1">
      <c r="A25" s="80" t="n"/>
      <c r="B25" s="86" t="n"/>
      <c r="C25" s="69" t="n"/>
      <c r="D25" s="83">
        <f>IF($B25="","",IFERROR(VLOOKUP($B25,'מצרכים'!$A$3:$B$102,2,FALSE),""))</f>
        <v/>
      </c>
      <c r="E25" s="70" t="n"/>
      <c r="F25" s="85">
        <f>IF($A25="","",IFERROR($C25*VLOOKUP($A25,'תפריט השבת'!$A$4:$B$43,2,FALSE),0))</f>
        <v/>
      </c>
    </row>
    <row r="26" ht="20" customHeight="1">
      <c r="A26" s="80" t="n"/>
      <c r="B26" s="86" t="n"/>
      <c r="C26" s="69" t="n"/>
      <c r="D26" s="83">
        <f>IF($B26="","",IFERROR(VLOOKUP($B26,'מצרכים'!$A$3:$B$102,2,FALSE),""))</f>
        <v/>
      </c>
      <c r="E26" s="70" t="n"/>
      <c r="F26" s="85">
        <f>IF($A26="","",IFERROR($C26*VLOOKUP($A26,'תפריט השבת'!$A$4:$B$43,2,FALSE),0))</f>
        <v/>
      </c>
    </row>
    <row r="27" ht="20" customHeight="1">
      <c r="A27" s="80" t="n"/>
      <c r="B27" s="86" t="n"/>
      <c r="C27" s="69" t="n"/>
      <c r="D27" s="83">
        <f>IF($B27="","",IFERROR(VLOOKUP($B27,'מצרכים'!$A$3:$B$102,2,FALSE),""))</f>
        <v/>
      </c>
      <c r="E27" s="70" t="n"/>
      <c r="F27" s="85">
        <f>IF($A27="","",IFERROR($C27*VLOOKUP($A27,'תפריט השבת'!$A$4:$B$43,2,FALSE),0))</f>
        <v/>
      </c>
    </row>
    <row r="28" ht="20" customHeight="1">
      <c r="A28" s="80" t="n"/>
      <c r="B28" s="86" t="n"/>
      <c r="C28" s="69" t="n"/>
      <c r="D28" s="83">
        <f>IF($B28="","",IFERROR(VLOOKUP($B28,'מצרכים'!$A$3:$B$102,2,FALSE),""))</f>
        <v/>
      </c>
      <c r="E28" s="70" t="n"/>
      <c r="F28" s="85">
        <f>IF($A28="","",IFERROR($C28*VLOOKUP($A28,'תפריט השבת'!$A$4:$B$43,2,FALSE),0))</f>
        <v/>
      </c>
    </row>
    <row r="29" ht="20" customHeight="1">
      <c r="A29" s="80" t="n"/>
      <c r="B29" s="86" t="n"/>
      <c r="C29" s="69" t="n"/>
      <c r="D29" s="83">
        <f>IF($B29="","",IFERROR(VLOOKUP($B29,'מצרכים'!$A$3:$B$102,2,FALSE),""))</f>
        <v/>
      </c>
      <c r="E29" s="70" t="n"/>
      <c r="F29" s="85">
        <f>IF($A29="","",IFERROR($C29*VLOOKUP($A29,'תפריט השבת'!$A$4:$B$43,2,FALSE),0))</f>
        <v/>
      </c>
    </row>
    <row r="30" ht="20" customHeight="1">
      <c r="A30" s="80" t="n"/>
      <c r="B30" s="86" t="n"/>
      <c r="C30" s="69" t="n"/>
      <c r="D30" s="83">
        <f>IF($B30="","",IFERROR(VLOOKUP($B30,'מצרכים'!$A$3:$B$102,2,FALSE),""))</f>
        <v/>
      </c>
      <c r="E30" s="70" t="n"/>
      <c r="F30" s="85">
        <f>IF($A30="","",IFERROR($C30*VLOOKUP($A30,'תפריט השבת'!$A$4:$B$43,2,FALSE),0))</f>
        <v/>
      </c>
    </row>
    <row r="31" ht="20" customHeight="1">
      <c r="A31" s="80" t="n"/>
      <c r="B31" s="86" t="n"/>
      <c r="C31" s="69" t="n"/>
      <c r="D31" s="83">
        <f>IF($B31="","",IFERROR(VLOOKUP($B31,'מצרכים'!$A$3:$B$102,2,FALSE),""))</f>
        <v/>
      </c>
      <c r="E31" s="70" t="n"/>
      <c r="F31" s="85">
        <f>IF($A31="","",IFERROR($C31*VLOOKUP($A31,'תפריט השבת'!$A$4:$B$43,2,FALSE),0))</f>
        <v/>
      </c>
    </row>
    <row r="32" ht="20" customHeight="1">
      <c r="A32" s="80" t="n"/>
      <c r="B32" s="86" t="n"/>
      <c r="C32" s="69" t="n"/>
      <c r="D32" s="83">
        <f>IF($B32="","",IFERROR(VLOOKUP($B32,'מצרכים'!$A$3:$B$102,2,FALSE),""))</f>
        <v/>
      </c>
      <c r="E32" s="70" t="n"/>
      <c r="F32" s="85">
        <f>IF($A32="","",IFERROR($C32*VLOOKUP($A32,'תפריט השבת'!$A$4:$B$43,2,FALSE),0))</f>
        <v/>
      </c>
    </row>
    <row r="33" ht="20" customHeight="1">
      <c r="A33" s="80" t="n"/>
      <c r="B33" s="86" t="n"/>
      <c r="C33" s="69" t="n"/>
      <c r="D33" s="83">
        <f>IF($B33="","",IFERROR(VLOOKUP($B33,'מצרכים'!$A$3:$B$102,2,FALSE),""))</f>
        <v/>
      </c>
      <c r="E33" s="70" t="n"/>
      <c r="F33" s="85">
        <f>IF($A33="","",IFERROR($C33*VLOOKUP($A33,'תפריט השבת'!$A$4:$B$43,2,FALSE),0))</f>
        <v/>
      </c>
    </row>
    <row r="34" ht="20" customHeight="1">
      <c r="A34" s="80" t="n"/>
      <c r="B34" s="86" t="n"/>
      <c r="C34" s="69" t="n"/>
      <c r="D34" s="83">
        <f>IF($B34="","",IFERROR(VLOOKUP($B34,'מצרכים'!$A$3:$B$102,2,FALSE),""))</f>
        <v/>
      </c>
      <c r="E34" s="70" t="n"/>
      <c r="F34" s="85">
        <f>IF($A34="","",IFERROR($C34*VLOOKUP($A34,'תפריט השבת'!$A$4:$B$43,2,FALSE),0))</f>
        <v/>
      </c>
    </row>
    <row r="35" ht="20" customHeight="1">
      <c r="A35" s="80" t="n"/>
      <c r="B35" s="86" t="n"/>
      <c r="C35" s="69" t="n"/>
      <c r="D35" s="83">
        <f>IF($B35="","",IFERROR(VLOOKUP($B35,'מצרכים'!$A$3:$B$102,2,FALSE),""))</f>
        <v/>
      </c>
      <c r="E35" s="70" t="n"/>
      <c r="F35" s="85">
        <f>IF($A35="","",IFERROR($C35*VLOOKUP($A35,'תפריט השבת'!$A$4:$B$43,2,FALSE),0))</f>
        <v/>
      </c>
    </row>
    <row r="36" ht="20" customHeight="1">
      <c r="A36" s="80" t="n"/>
      <c r="B36" s="86" t="n"/>
      <c r="C36" s="69" t="n"/>
      <c r="D36" s="83">
        <f>IF($B36="","",IFERROR(VLOOKUP($B36,'מצרכים'!$A$3:$B$102,2,FALSE),""))</f>
        <v/>
      </c>
      <c r="E36" s="70" t="n"/>
      <c r="F36" s="85">
        <f>IF($A36="","",IFERROR($C36*VLOOKUP($A36,'תפריט השבת'!$A$4:$B$43,2,FALSE),0))</f>
        <v/>
      </c>
    </row>
    <row r="37" ht="20" customHeight="1">
      <c r="A37" s="80" t="n"/>
      <c r="B37" s="86" t="n"/>
      <c r="C37" s="69" t="n"/>
      <c r="D37" s="83">
        <f>IF($B37="","",IFERROR(VLOOKUP($B37,'מצרכים'!$A$3:$B$102,2,FALSE),""))</f>
        <v/>
      </c>
      <c r="E37" s="70" t="n"/>
      <c r="F37" s="85">
        <f>IF($A37="","",IFERROR($C37*VLOOKUP($A37,'תפריט השבת'!$A$4:$B$43,2,FALSE),0))</f>
        <v/>
      </c>
    </row>
    <row r="38" ht="20" customHeight="1">
      <c r="A38" s="80" t="n"/>
      <c r="B38" s="86" t="n"/>
      <c r="C38" s="69" t="n"/>
      <c r="D38" s="83">
        <f>IF($B38="","",IFERROR(VLOOKUP($B38,'מצרכים'!$A$3:$B$102,2,FALSE),""))</f>
        <v/>
      </c>
      <c r="E38" s="70" t="n"/>
      <c r="F38" s="85">
        <f>IF($A38="","",IFERROR($C38*VLOOKUP($A38,'תפריט השבת'!$A$4:$B$43,2,FALSE),0))</f>
        <v/>
      </c>
    </row>
    <row r="39" ht="20" customHeight="1">
      <c r="A39" s="80" t="n"/>
      <c r="B39" s="86" t="n"/>
      <c r="C39" s="69" t="n"/>
      <c r="D39" s="83">
        <f>IF($B39="","",IFERROR(VLOOKUP($B39,'מצרכים'!$A$3:$B$102,2,FALSE),""))</f>
        <v/>
      </c>
      <c r="E39" s="70" t="n"/>
      <c r="F39" s="85">
        <f>IF($A39="","",IFERROR($C39*VLOOKUP($A39,'תפריט השבת'!$A$4:$B$43,2,FALSE),0))</f>
        <v/>
      </c>
    </row>
    <row r="40" ht="20" customHeight="1">
      <c r="A40" s="80" t="n"/>
      <c r="B40" s="86" t="n"/>
      <c r="C40" s="69" t="n"/>
      <c r="D40" s="83">
        <f>IF($B40="","",IFERROR(VLOOKUP($B40,'מצרכים'!$A$3:$B$102,2,FALSE),""))</f>
        <v/>
      </c>
      <c r="E40" s="70" t="n"/>
      <c r="F40" s="85">
        <f>IF($A40="","",IFERROR($C40*VLOOKUP($A40,'תפריט השבת'!$A$4:$B$43,2,FALSE),0))</f>
        <v/>
      </c>
    </row>
    <row r="41" ht="20" customHeight="1">
      <c r="A41" s="80" t="n"/>
      <c r="B41" s="86" t="n"/>
      <c r="C41" s="69" t="n"/>
      <c r="D41" s="83">
        <f>IF($B41="","",IFERROR(VLOOKUP($B41,'מצרכים'!$A$3:$B$102,2,FALSE),""))</f>
        <v/>
      </c>
      <c r="E41" s="70" t="n"/>
      <c r="F41" s="85">
        <f>IF($A41="","",IFERROR($C41*VLOOKUP($A41,'תפריט השבת'!$A$4:$B$43,2,FALSE),0))</f>
        <v/>
      </c>
    </row>
    <row r="42" ht="20" customHeight="1">
      <c r="A42" s="80" t="n"/>
      <c r="B42" s="86" t="n"/>
      <c r="C42" s="69" t="n"/>
      <c r="D42" s="83">
        <f>IF($B42="","",IFERROR(VLOOKUP($B42,'מצרכים'!$A$3:$B$102,2,FALSE),""))</f>
        <v/>
      </c>
      <c r="E42" s="70" t="n"/>
      <c r="F42" s="85">
        <f>IF($A42="","",IFERROR($C42*VLOOKUP($A42,'תפריט השבת'!$A$4:$B$43,2,FALSE),0))</f>
        <v/>
      </c>
    </row>
    <row r="43" ht="20" customHeight="1">
      <c r="A43" s="80" t="n"/>
      <c r="B43" s="86" t="n"/>
      <c r="C43" s="69" t="n"/>
      <c r="D43" s="83">
        <f>IF($B43="","",IFERROR(VLOOKUP($B43,'מצרכים'!$A$3:$B$102,2,FALSE),""))</f>
        <v/>
      </c>
      <c r="E43" s="70" t="n"/>
      <c r="F43" s="85">
        <f>IF($A43="","",IFERROR($C43*VLOOKUP($A43,'תפריט השבת'!$A$4:$B$43,2,FALSE),0))</f>
        <v/>
      </c>
    </row>
    <row r="44" ht="20" customHeight="1">
      <c r="A44" s="80" t="n"/>
      <c r="B44" s="86" t="n"/>
      <c r="C44" s="69" t="n"/>
      <c r="D44" s="83">
        <f>IF($B44="","",IFERROR(VLOOKUP($B44,'מצרכים'!$A$3:$B$102,2,FALSE),""))</f>
        <v/>
      </c>
      <c r="E44" s="70" t="n"/>
      <c r="F44" s="85">
        <f>IF($A44="","",IFERROR($C44*VLOOKUP($A44,'תפריט השבת'!$A$4:$B$43,2,FALSE),0))</f>
        <v/>
      </c>
    </row>
    <row r="45" ht="20" customHeight="1">
      <c r="A45" s="80" t="n"/>
      <c r="B45" s="86" t="n"/>
      <c r="C45" s="69" t="n"/>
      <c r="D45" s="83">
        <f>IF($B45="","",IFERROR(VLOOKUP($B45,'מצרכים'!$A$3:$B$102,2,FALSE),""))</f>
        <v/>
      </c>
      <c r="E45" s="70" t="n"/>
      <c r="F45" s="85">
        <f>IF($A45="","",IFERROR($C45*VLOOKUP($A45,'תפריט השבת'!$A$4:$B$43,2,FALSE),0))</f>
        <v/>
      </c>
    </row>
    <row r="46" ht="20" customHeight="1">
      <c r="A46" s="80" t="n"/>
      <c r="B46" s="86" t="n"/>
      <c r="C46" s="69" t="n"/>
      <c r="D46" s="83">
        <f>IF($B46="","",IFERROR(VLOOKUP($B46,'מצרכים'!$A$3:$B$102,2,FALSE),""))</f>
        <v/>
      </c>
      <c r="E46" s="70" t="n"/>
      <c r="F46" s="85">
        <f>IF($A46="","",IFERROR($C46*VLOOKUP($A46,'תפריט השבת'!$A$4:$B$43,2,FALSE),0))</f>
        <v/>
      </c>
    </row>
    <row r="47" ht="20" customHeight="1">
      <c r="A47" s="80" t="n"/>
      <c r="B47" s="86" t="n"/>
      <c r="C47" s="69" t="n"/>
      <c r="D47" s="83">
        <f>IF($B47="","",IFERROR(VLOOKUP($B47,'מצרכים'!$A$3:$B$102,2,FALSE),""))</f>
        <v/>
      </c>
      <c r="E47" s="70" t="n"/>
      <c r="F47" s="85">
        <f>IF($A47="","",IFERROR($C47*VLOOKUP($A47,'תפריט השבת'!$A$4:$B$43,2,FALSE),0))</f>
        <v/>
      </c>
    </row>
    <row r="48" ht="20" customHeight="1">
      <c r="A48" s="80" t="n"/>
      <c r="B48" s="86" t="n"/>
      <c r="C48" s="69" t="n"/>
      <c r="D48" s="83">
        <f>IF($B48="","",IFERROR(VLOOKUP($B48,'מצרכים'!$A$3:$B$102,2,FALSE),""))</f>
        <v/>
      </c>
      <c r="E48" s="70" t="n"/>
      <c r="F48" s="85">
        <f>IF($A48="","",IFERROR($C48*VLOOKUP($A48,'תפריט השבת'!$A$4:$B$43,2,FALSE),0))</f>
        <v/>
      </c>
    </row>
    <row r="49" ht="20" customHeight="1">
      <c r="A49" s="80" t="n"/>
      <c r="B49" s="86" t="n"/>
      <c r="C49" s="69" t="n"/>
      <c r="D49" s="83">
        <f>IF($B49="","",IFERROR(VLOOKUP($B49,'מצרכים'!$A$3:$B$102,2,FALSE),""))</f>
        <v/>
      </c>
      <c r="E49" s="70" t="n"/>
      <c r="F49" s="85">
        <f>IF($A49="","",IFERROR($C49*VLOOKUP($A49,'תפריט השבת'!$A$4:$B$43,2,FALSE),0))</f>
        <v/>
      </c>
    </row>
    <row r="50" ht="20" customHeight="1">
      <c r="A50" s="80" t="n"/>
      <c r="B50" s="86" t="n"/>
      <c r="C50" s="69" t="n"/>
      <c r="D50" s="83">
        <f>IF($B50="","",IFERROR(VLOOKUP($B50,'מצרכים'!$A$3:$B$102,2,FALSE),""))</f>
        <v/>
      </c>
      <c r="E50" s="70" t="n"/>
      <c r="F50" s="85">
        <f>IF($A50="","",IFERROR($C50*VLOOKUP($A50,'תפריט השבת'!$A$4:$B$43,2,FALSE),0))</f>
        <v/>
      </c>
    </row>
    <row r="51" ht="20" customHeight="1">
      <c r="A51" s="80" t="n"/>
      <c r="B51" s="86" t="n"/>
      <c r="C51" s="69" t="n"/>
      <c r="D51" s="83">
        <f>IF($B51="","",IFERROR(VLOOKUP($B51,'מצרכים'!$A$3:$B$102,2,FALSE),""))</f>
        <v/>
      </c>
      <c r="E51" s="70" t="n"/>
      <c r="F51" s="85">
        <f>IF($A51="","",IFERROR($C51*VLOOKUP($A51,'תפריט השבת'!$A$4:$B$43,2,FALSE),0))</f>
        <v/>
      </c>
    </row>
    <row r="52" ht="20" customHeight="1">
      <c r="A52" s="80" t="n"/>
      <c r="B52" s="86" t="n"/>
      <c r="C52" s="69" t="n"/>
      <c r="D52" s="83">
        <f>IF($B52="","",IFERROR(VLOOKUP($B52,'מצרכים'!$A$3:$B$102,2,FALSE),""))</f>
        <v/>
      </c>
      <c r="E52" s="70" t="n"/>
      <c r="F52" s="85">
        <f>IF($A52="","",IFERROR($C52*VLOOKUP($A52,'תפריט השבת'!$A$4:$B$43,2,FALSE),0))</f>
        <v/>
      </c>
    </row>
    <row r="53" ht="20" customHeight="1">
      <c r="A53" s="80" t="n"/>
      <c r="B53" s="86" t="n"/>
      <c r="C53" s="69" t="n"/>
      <c r="D53" s="83">
        <f>IF($B53="","",IFERROR(VLOOKUP($B53,'מצרכים'!$A$3:$B$102,2,FALSE),""))</f>
        <v/>
      </c>
      <c r="E53" s="70" t="n"/>
      <c r="F53" s="85">
        <f>IF($A53="","",IFERROR($C53*VLOOKUP($A53,'תפריט השבת'!$A$4:$B$43,2,FALSE),0))</f>
        <v/>
      </c>
    </row>
    <row r="54" ht="20" customHeight="1">
      <c r="A54" s="80" t="n"/>
      <c r="B54" s="86" t="n"/>
      <c r="C54" s="69" t="n"/>
      <c r="D54" s="83">
        <f>IF($B54="","",IFERROR(VLOOKUP($B54,'מצרכים'!$A$3:$B$102,2,FALSE),""))</f>
        <v/>
      </c>
      <c r="E54" s="70" t="n"/>
      <c r="F54" s="85">
        <f>IF($A54="","",IFERROR($C54*VLOOKUP($A54,'תפריט השבת'!$A$4:$B$43,2,FALSE),0))</f>
        <v/>
      </c>
    </row>
    <row r="55" ht="20" customHeight="1">
      <c r="A55" s="80" t="n"/>
      <c r="B55" s="86" t="n"/>
      <c r="C55" s="69" t="n"/>
      <c r="D55" s="83">
        <f>IF($B55="","",IFERROR(VLOOKUP($B55,'מצרכים'!$A$3:$B$102,2,FALSE),""))</f>
        <v/>
      </c>
      <c r="E55" s="70" t="n"/>
      <c r="F55" s="85">
        <f>IF($A55="","",IFERROR($C55*VLOOKUP($A55,'תפריט השבת'!$A$4:$B$43,2,FALSE),0))</f>
        <v/>
      </c>
    </row>
    <row r="56" ht="20" customHeight="1">
      <c r="A56" s="80" t="n"/>
      <c r="B56" s="86" t="n"/>
      <c r="C56" s="69" t="n"/>
      <c r="D56" s="83">
        <f>IF($B56="","",IFERROR(VLOOKUP($B56,'מצרכים'!$A$3:$B$102,2,FALSE),""))</f>
        <v/>
      </c>
      <c r="E56" s="70" t="n"/>
      <c r="F56" s="85">
        <f>IF($A56="","",IFERROR($C56*VLOOKUP($A56,'תפריט השבת'!$A$4:$B$43,2,FALSE),0))</f>
        <v/>
      </c>
    </row>
    <row r="57" ht="20" customHeight="1">
      <c r="A57" s="80" t="n"/>
      <c r="B57" s="86" t="n"/>
      <c r="C57" s="69" t="n"/>
      <c r="D57" s="83">
        <f>IF($B57="","",IFERROR(VLOOKUP($B57,'מצרכים'!$A$3:$B$102,2,FALSE),""))</f>
        <v/>
      </c>
      <c r="E57" s="70" t="n"/>
      <c r="F57" s="85">
        <f>IF($A57="","",IFERROR($C57*VLOOKUP($A57,'תפריט השבת'!$A$4:$B$43,2,FALSE),0))</f>
        <v/>
      </c>
    </row>
    <row r="58" ht="20" customHeight="1">
      <c r="A58" s="80" t="n"/>
      <c r="B58" s="86" t="n"/>
      <c r="C58" s="69" t="n"/>
      <c r="D58" s="83">
        <f>IF($B58="","",IFERROR(VLOOKUP($B58,'מצרכים'!$A$3:$B$102,2,FALSE),""))</f>
        <v/>
      </c>
      <c r="E58" s="70" t="n"/>
      <c r="F58" s="85">
        <f>IF($A58="","",IFERROR($C58*VLOOKUP($A58,'תפריט השבת'!$A$4:$B$43,2,FALSE),0))</f>
        <v/>
      </c>
    </row>
    <row r="59" ht="20" customHeight="1">
      <c r="A59" s="80" t="n"/>
      <c r="B59" s="86" t="n"/>
      <c r="C59" s="69" t="n"/>
      <c r="D59" s="83">
        <f>IF($B59="","",IFERROR(VLOOKUP($B59,'מצרכים'!$A$3:$B$102,2,FALSE),""))</f>
        <v/>
      </c>
      <c r="E59" s="70" t="n"/>
      <c r="F59" s="85">
        <f>IF($A59="","",IFERROR($C59*VLOOKUP($A59,'תפריט השבת'!$A$4:$B$43,2,FALSE),0))</f>
        <v/>
      </c>
    </row>
    <row r="60" ht="20" customHeight="1">
      <c r="A60" s="80" t="n"/>
      <c r="B60" s="86" t="n"/>
      <c r="C60" s="69" t="n"/>
      <c r="D60" s="83">
        <f>IF($B60="","",IFERROR(VLOOKUP($B60,'מצרכים'!$A$3:$B$102,2,FALSE),""))</f>
        <v/>
      </c>
      <c r="E60" s="70" t="n"/>
      <c r="F60" s="85">
        <f>IF($A60="","",IFERROR($C60*VLOOKUP($A60,'תפריט השבת'!$A$4:$B$43,2,FALSE),0))</f>
        <v/>
      </c>
    </row>
    <row r="61" ht="20" customHeight="1">
      <c r="A61" s="80" t="n"/>
      <c r="B61" s="86" t="n"/>
      <c r="C61" s="69" t="n"/>
      <c r="D61" s="83">
        <f>IF($B61="","",IFERROR(VLOOKUP($B61,'מצרכים'!$A$3:$B$102,2,FALSE),""))</f>
        <v/>
      </c>
      <c r="E61" s="70" t="n"/>
      <c r="F61" s="85">
        <f>IF($A61="","",IFERROR($C61*VLOOKUP($A61,'תפריט השבת'!$A$4:$B$43,2,FALSE),0))</f>
        <v/>
      </c>
    </row>
    <row r="62" ht="20" customHeight="1">
      <c r="A62" s="80" t="n"/>
      <c r="B62" s="86" t="n"/>
      <c r="C62" s="69" t="n"/>
      <c r="D62" s="83">
        <f>IF($B62="","",IFERROR(VLOOKUP($B62,'מצרכים'!$A$3:$B$102,2,FALSE),""))</f>
        <v/>
      </c>
      <c r="E62" s="70" t="n"/>
      <c r="F62" s="85">
        <f>IF($A62="","",IFERROR($C62*VLOOKUP($A62,'תפריט השבת'!$A$4:$B$43,2,FALSE),0))</f>
        <v/>
      </c>
    </row>
    <row r="63" ht="20" customHeight="1">
      <c r="A63" s="80" t="n"/>
      <c r="B63" s="86" t="n"/>
      <c r="C63" s="69" t="n"/>
      <c r="D63" s="83">
        <f>IF($B63="","",IFERROR(VLOOKUP($B63,'מצרכים'!$A$3:$B$102,2,FALSE),""))</f>
        <v/>
      </c>
      <c r="E63" s="70" t="n"/>
      <c r="F63" s="85">
        <f>IF($A63="","",IFERROR($C63*VLOOKUP($A63,'תפריט השבת'!$A$4:$B$43,2,FALSE),0))</f>
        <v/>
      </c>
    </row>
    <row r="64" ht="20" customHeight="1">
      <c r="A64" s="80" t="n"/>
      <c r="B64" s="86" t="n"/>
      <c r="C64" s="69" t="n"/>
      <c r="D64" s="83">
        <f>IF($B64="","",IFERROR(VLOOKUP($B64,'מצרכים'!$A$3:$B$102,2,FALSE),""))</f>
        <v/>
      </c>
      <c r="E64" s="70" t="n"/>
      <c r="F64" s="85">
        <f>IF($A64="","",IFERROR($C64*VLOOKUP($A64,'תפריט השבת'!$A$4:$B$43,2,FALSE),0))</f>
        <v/>
      </c>
    </row>
    <row r="65" ht="20" customHeight="1">
      <c r="A65" s="80" t="n"/>
      <c r="B65" s="86" t="n"/>
      <c r="C65" s="69" t="n"/>
      <c r="D65" s="83">
        <f>IF($B65="","",IFERROR(VLOOKUP($B65,'מצרכים'!$A$3:$B$102,2,FALSE),""))</f>
        <v/>
      </c>
      <c r="E65" s="70" t="n"/>
      <c r="F65" s="85">
        <f>IF($A65="","",IFERROR($C65*VLOOKUP($A65,'תפריט השבת'!$A$4:$B$43,2,FALSE),0))</f>
        <v/>
      </c>
    </row>
    <row r="66" ht="20" customHeight="1">
      <c r="A66" s="80" t="n"/>
      <c r="B66" s="86" t="n"/>
      <c r="C66" s="69" t="n"/>
      <c r="D66" s="83">
        <f>IF($B66="","",IFERROR(VLOOKUP($B66,'מצרכים'!$A$3:$B$102,2,FALSE),""))</f>
        <v/>
      </c>
      <c r="E66" s="70" t="n"/>
      <c r="F66" s="85">
        <f>IF($A66="","",IFERROR($C66*VLOOKUP($A66,'תפריט השבת'!$A$4:$B$43,2,FALSE),0))</f>
        <v/>
      </c>
    </row>
    <row r="67" ht="20" customHeight="1">
      <c r="A67" s="80" t="n"/>
      <c r="B67" s="86" t="n"/>
      <c r="C67" s="69" t="n"/>
      <c r="D67" s="83">
        <f>IF($B67="","",IFERROR(VLOOKUP($B67,'מצרכים'!$A$3:$B$102,2,FALSE),""))</f>
        <v/>
      </c>
      <c r="E67" s="70" t="n"/>
      <c r="F67" s="85">
        <f>IF($A67="","",IFERROR($C67*VLOOKUP($A67,'תפריט השבת'!$A$4:$B$43,2,FALSE),0))</f>
        <v/>
      </c>
    </row>
    <row r="68" ht="20" customHeight="1">
      <c r="A68" s="80" t="n"/>
      <c r="B68" s="86" t="n"/>
      <c r="C68" s="69" t="n"/>
      <c r="D68" s="83">
        <f>IF($B68="","",IFERROR(VLOOKUP($B68,'מצרכים'!$A$3:$B$102,2,FALSE),""))</f>
        <v/>
      </c>
      <c r="E68" s="70" t="n"/>
      <c r="F68" s="85">
        <f>IF($A68="","",IFERROR($C68*VLOOKUP($A68,'תפריט השבת'!$A$4:$B$43,2,FALSE),0))</f>
        <v/>
      </c>
    </row>
    <row r="69" ht="20" customHeight="1">
      <c r="A69" s="80" t="n"/>
      <c r="B69" s="86" t="n"/>
      <c r="C69" s="69" t="n"/>
      <c r="D69" s="83">
        <f>IF($B69="","",IFERROR(VLOOKUP($B69,'מצרכים'!$A$3:$B$102,2,FALSE),""))</f>
        <v/>
      </c>
      <c r="E69" s="70" t="n"/>
      <c r="F69" s="85">
        <f>IF($A69="","",IFERROR($C69*VLOOKUP($A69,'תפריט השבת'!$A$4:$B$43,2,FALSE),0))</f>
        <v/>
      </c>
    </row>
    <row r="70" ht="20" customHeight="1">
      <c r="A70" s="80" t="n"/>
      <c r="B70" s="86" t="n"/>
      <c r="C70" s="69" t="n"/>
      <c r="D70" s="83">
        <f>IF($B70="","",IFERROR(VLOOKUP($B70,'מצרכים'!$A$3:$B$102,2,FALSE),""))</f>
        <v/>
      </c>
      <c r="E70" s="70" t="n"/>
      <c r="F70" s="85">
        <f>IF($A70="","",IFERROR($C70*VLOOKUP($A70,'תפריט השבת'!$A$4:$B$43,2,FALSE),0))</f>
        <v/>
      </c>
    </row>
    <row r="71" ht="20" customHeight="1">
      <c r="A71" s="80" t="n"/>
      <c r="B71" s="86" t="n"/>
      <c r="C71" s="69" t="n"/>
      <c r="D71" s="83">
        <f>IF($B71="","",IFERROR(VLOOKUP($B71,'מצרכים'!$A$3:$B$102,2,FALSE),""))</f>
        <v/>
      </c>
      <c r="E71" s="70" t="n"/>
      <c r="F71" s="85">
        <f>IF($A71="","",IFERROR($C71*VLOOKUP($A71,'תפריט השבת'!$A$4:$B$43,2,FALSE),0))</f>
        <v/>
      </c>
    </row>
    <row r="72" ht="20" customHeight="1">
      <c r="A72" s="80" t="n"/>
      <c r="B72" s="86" t="n"/>
      <c r="C72" s="69" t="n"/>
      <c r="D72" s="83">
        <f>IF($B72="","",IFERROR(VLOOKUP($B72,'מצרכים'!$A$3:$B$102,2,FALSE),""))</f>
        <v/>
      </c>
      <c r="E72" s="70" t="n"/>
      <c r="F72" s="85">
        <f>IF($A72="","",IFERROR($C72*VLOOKUP($A72,'תפריט השבת'!$A$4:$B$43,2,FALSE),0))</f>
        <v/>
      </c>
    </row>
    <row r="73" ht="20" customHeight="1">
      <c r="A73" s="80" t="n"/>
      <c r="B73" s="86" t="n"/>
      <c r="C73" s="69" t="n"/>
      <c r="D73" s="83">
        <f>IF($B73="","",IFERROR(VLOOKUP($B73,'מצרכים'!$A$3:$B$102,2,FALSE),""))</f>
        <v/>
      </c>
      <c r="E73" s="70" t="n"/>
      <c r="F73" s="85">
        <f>IF($A73="","",IFERROR($C73*VLOOKUP($A73,'תפריט השבת'!$A$4:$B$43,2,FALSE),0))</f>
        <v/>
      </c>
    </row>
    <row r="74" ht="20" customHeight="1">
      <c r="A74" s="80" t="n"/>
      <c r="B74" s="86" t="n"/>
      <c r="C74" s="69" t="n"/>
      <c r="D74" s="83">
        <f>IF($B74="","",IFERROR(VLOOKUP($B74,'מצרכים'!$A$3:$B$102,2,FALSE),""))</f>
        <v/>
      </c>
      <c r="E74" s="70" t="n"/>
      <c r="F74" s="85">
        <f>IF($A74="","",IFERROR($C74*VLOOKUP($A74,'תפריט השבת'!$A$4:$B$43,2,FALSE),0))</f>
        <v/>
      </c>
    </row>
    <row r="75" ht="20" customHeight="1">
      <c r="A75" s="80" t="n"/>
      <c r="B75" s="86" t="n"/>
      <c r="C75" s="69" t="n"/>
      <c r="D75" s="83">
        <f>IF($B75="","",IFERROR(VLOOKUP($B75,'מצרכים'!$A$3:$B$102,2,FALSE),""))</f>
        <v/>
      </c>
      <c r="E75" s="70" t="n"/>
      <c r="F75" s="85">
        <f>IF($A75="","",IFERROR($C75*VLOOKUP($A75,'תפריט השבת'!$A$4:$B$43,2,FALSE),0))</f>
        <v/>
      </c>
    </row>
    <row r="76" ht="20" customHeight="1">
      <c r="A76" s="80" t="n"/>
      <c r="B76" s="86" t="n"/>
      <c r="C76" s="69" t="n"/>
      <c r="D76" s="83">
        <f>IF($B76="","",IFERROR(VLOOKUP($B76,'מצרכים'!$A$3:$B$102,2,FALSE),""))</f>
        <v/>
      </c>
      <c r="E76" s="70" t="n"/>
      <c r="F76" s="85">
        <f>IF($A76="","",IFERROR($C76*VLOOKUP($A76,'תפריט השבת'!$A$4:$B$43,2,FALSE),0))</f>
        <v/>
      </c>
    </row>
    <row r="77" ht="20" customHeight="1">
      <c r="A77" s="80" t="n"/>
      <c r="B77" s="86" t="n"/>
      <c r="C77" s="69" t="n"/>
      <c r="D77" s="83">
        <f>IF($B77="","",IFERROR(VLOOKUP($B77,'מצרכים'!$A$3:$B$102,2,FALSE),""))</f>
        <v/>
      </c>
      <c r="E77" s="70" t="n"/>
      <c r="F77" s="85">
        <f>IF($A77="","",IFERROR($C77*VLOOKUP($A77,'תפריט השבת'!$A$4:$B$43,2,FALSE),0))</f>
        <v/>
      </c>
    </row>
    <row r="78" ht="20" customHeight="1">
      <c r="A78" s="80" t="n"/>
      <c r="B78" s="86" t="n"/>
      <c r="C78" s="69" t="n"/>
      <c r="D78" s="83">
        <f>IF($B78="","",IFERROR(VLOOKUP($B78,'מצרכים'!$A$3:$B$102,2,FALSE),""))</f>
        <v/>
      </c>
      <c r="E78" s="70" t="n"/>
      <c r="F78" s="85">
        <f>IF($A78="","",IFERROR($C78*VLOOKUP($A78,'תפריט השבת'!$A$4:$B$43,2,FALSE),0))</f>
        <v/>
      </c>
    </row>
    <row r="79" ht="20" customHeight="1">
      <c r="A79" s="80" t="n"/>
      <c r="B79" s="86" t="n"/>
      <c r="C79" s="69" t="n"/>
      <c r="D79" s="83">
        <f>IF($B79="","",IFERROR(VLOOKUP($B79,'מצרכים'!$A$3:$B$102,2,FALSE),""))</f>
        <v/>
      </c>
      <c r="E79" s="70" t="n"/>
      <c r="F79" s="85">
        <f>IF($A79="","",IFERROR($C79*VLOOKUP($A79,'תפריט השבת'!$A$4:$B$43,2,FALSE),0))</f>
        <v/>
      </c>
    </row>
    <row r="80" ht="20" customHeight="1">
      <c r="A80" s="80" t="n"/>
      <c r="B80" s="86" t="n"/>
      <c r="C80" s="69" t="n"/>
      <c r="D80" s="83">
        <f>IF($B80="","",IFERROR(VLOOKUP($B80,'מצרכים'!$A$3:$B$102,2,FALSE),""))</f>
        <v/>
      </c>
      <c r="E80" s="70" t="n"/>
      <c r="F80" s="85">
        <f>IF($A80="","",IFERROR($C80*VLOOKUP($A80,'תפריט השבת'!$A$4:$B$43,2,FALSE),0))</f>
        <v/>
      </c>
    </row>
    <row r="81" ht="20" customHeight="1">
      <c r="A81" s="80" t="n"/>
      <c r="B81" s="86" t="n"/>
      <c r="C81" s="69" t="n"/>
      <c r="D81" s="83">
        <f>IF($B81="","",IFERROR(VLOOKUP($B81,'מצרכים'!$A$3:$B$102,2,FALSE),""))</f>
        <v/>
      </c>
      <c r="E81" s="70" t="n"/>
      <c r="F81" s="85">
        <f>IF($A81="","",IFERROR($C81*VLOOKUP($A81,'תפריט השבת'!$A$4:$B$43,2,FALSE),0))</f>
        <v/>
      </c>
    </row>
    <row r="82" ht="20" customHeight="1">
      <c r="A82" s="80" t="n"/>
      <c r="B82" s="86" t="n"/>
      <c r="C82" s="69" t="n"/>
      <c r="D82" s="83">
        <f>IF($B82="","",IFERROR(VLOOKUP($B82,'מצרכים'!$A$3:$B$102,2,FALSE),""))</f>
        <v/>
      </c>
      <c r="E82" s="70" t="n"/>
      <c r="F82" s="85">
        <f>IF($A82="","",IFERROR($C82*VLOOKUP($A82,'תפריט השבת'!$A$4:$B$43,2,FALSE),0))</f>
        <v/>
      </c>
    </row>
    <row r="83" ht="20" customHeight="1">
      <c r="A83" s="80" t="n"/>
      <c r="B83" s="86" t="n"/>
      <c r="C83" s="69" t="n"/>
      <c r="D83" s="83">
        <f>IF($B83="","",IFERROR(VLOOKUP($B83,'מצרכים'!$A$3:$B$102,2,FALSE),""))</f>
        <v/>
      </c>
      <c r="E83" s="70" t="n"/>
      <c r="F83" s="85">
        <f>IF($A83="","",IFERROR($C83*VLOOKUP($A83,'תפריט השבת'!$A$4:$B$43,2,FALSE),0))</f>
        <v/>
      </c>
    </row>
    <row r="84" ht="20" customHeight="1">
      <c r="A84" s="80" t="n"/>
      <c r="B84" s="86" t="n"/>
      <c r="C84" s="69" t="n"/>
      <c r="D84" s="83">
        <f>IF($B84="","",IFERROR(VLOOKUP($B84,'מצרכים'!$A$3:$B$102,2,FALSE),""))</f>
        <v/>
      </c>
      <c r="E84" s="70" t="n"/>
      <c r="F84" s="85">
        <f>IF($A84="","",IFERROR($C84*VLOOKUP($A84,'תפריט השבת'!$A$4:$B$43,2,FALSE),0))</f>
        <v/>
      </c>
    </row>
    <row r="85" ht="20" customHeight="1">
      <c r="A85" s="80" t="n"/>
      <c r="B85" s="86" t="n"/>
      <c r="C85" s="69" t="n"/>
      <c r="D85" s="83">
        <f>IF($B85="","",IFERROR(VLOOKUP($B85,'מצרכים'!$A$3:$B$102,2,FALSE),""))</f>
        <v/>
      </c>
      <c r="E85" s="70" t="n"/>
      <c r="F85" s="85">
        <f>IF($A85="","",IFERROR($C85*VLOOKUP($A85,'תפריט השבת'!$A$4:$B$43,2,FALSE),0))</f>
        <v/>
      </c>
    </row>
    <row r="86" ht="20" customHeight="1">
      <c r="A86" s="80" t="n"/>
      <c r="B86" s="86" t="n"/>
      <c r="C86" s="69" t="n"/>
      <c r="D86" s="83">
        <f>IF($B86="","",IFERROR(VLOOKUP($B86,'מצרכים'!$A$3:$B$102,2,FALSE),""))</f>
        <v/>
      </c>
      <c r="E86" s="70" t="n"/>
      <c r="F86" s="85">
        <f>IF($A86="","",IFERROR($C86*VLOOKUP($A86,'תפריט השבת'!$A$4:$B$43,2,FALSE),0))</f>
        <v/>
      </c>
    </row>
    <row r="87" ht="20" customHeight="1">
      <c r="A87" s="80" t="n"/>
      <c r="B87" s="86" t="n"/>
      <c r="C87" s="69" t="n"/>
      <c r="D87" s="83">
        <f>IF($B87="","",IFERROR(VLOOKUP($B87,'מצרכים'!$A$3:$B$102,2,FALSE),""))</f>
        <v/>
      </c>
      <c r="E87" s="70" t="n"/>
      <c r="F87" s="85">
        <f>IF($A87="","",IFERROR($C87*VLOOKUP($A87,'תפריט השבת'!$A$4:$B$43,2,FALSE),0))</f>
        <v/>
      </c>
    </row>
    <row r="88" ht="20" customHeight="1">
      <c r="A88" s="80" t="n"/>
      <c r="B88" s="86" t="n"/>
      <c r="C88" s="69" t="n"/>
      <c r="D88" s="83">
        <f>IF($B88="","",IFERROR(VLOOKUP($B88,'מצרכים'!$A$3:$B$102,2,FALSE),""))</f>
        <v/>
      </c>
      <c r="E88" s="70" t="n"/>
      <c r="F88" s="85">
        <f>IF($A88="","",IFERROR($C88*VLOOKUP($A88,'תפריט השבת'!$A$4:$B$43,2,FALSE),0))</f>
        <v/>
      </c>
    </row>
    <row r="89" ht="20" customHeight="1">
      <c r="A89" s="80" t="n"/>
      <c r="B89" s="86" t="n"/>
      <c r="C89" s="69" t="n"/>
      <c r="D89" s="83">
        <f>IF($B89="","",IFERROR(VLOOKUP($B89,'מצרכים'!$A$3:$B$102,2,FALSE),""))</f>
        <v/>
      </c>
      <c r="E89" s="70" t="n"/>
      <c r="F89" s="85">
        <f>IF($A89="","",IFERROR($C89*VLOOKUP($A89,'תפריט השבת'!$A$4:$B$43,2,FALSE),0))</f>
        <v/>
      </c>
    </row>
    <row r="90" ht="20" customHeight="1">
      <c r="A90" s="80" t="n"/>
      <c r="B90" s="86" t="n"/>
      <c r="C90" s="69" t="n"/>
      <c r="D90" s="83">
        <f>IF($B90="","",IFERROR(VLOOKUP($B90,'מצרכים'!$A$3:$B$102,2,FALSE),""))</f>
        <v/>
      </c>
      <c r="E90" s="70" t="n"/>
      <c r="F90" s="85">
        <f>IF($A90="","",IFERROR($C90*VLOOKUP($A90,'תפריט השבת'!$A$4:$B$43,2,FALSE),0))</f>
        <v/>
      </c>
    </row>
    <row r="91" ht="20" customHeight="1">
      <c r="A91" s="80" t="n"/>
      <c r="B91" s="86" t="n"/>
      <c r="C91" s="69" t="n"/>
      <c r="D91" s="83">
        <f>IF($B91="","",IFERROR(VLOOKUP($B91,'מצרכים'!$A$3:$B$102,2,FALSE),""))</f>
        <v/>
      </c>
      <c r="E91" s="70" t="n"/>
      <c r="F91" s="85">
        <f>IF($A91="","",IFERROR($C91*VLOOKUP($A91,'תפריט השבת'!$A$4:$B$43,2,FALSE),0))</f>
        <v/>
      </c>
    </row>
    <row r="92" ht="20" customHeight="1">
      <c r="A92" s="80" t="n"/>
      <c r="B92" s="86" t="n"/>
      <c r="C92" s="69" t="n"/>
      <c r="D92" s="83">
        <f>IF($B92="","",IFERROR(VLOOKUP($B92,'מצרכים'!$A$3:$B$102,2,FALSE),""))</f>
        <v/>
      </c>
      <c r="E92" s="70" t="n"/>
      <c r="F92" s="85">
        <f>IF($A92="","",IFERROR($C92*VLOOKUP($A92,'תפריט השבת'!$A$4:$B$43,2,FALSE),0))</f>
        <v/>
      </c>
    </row>
    <row r="93" ht="20" customHeight="1">
      <c r="A93" s="80" t="n"/>
      <c r="B93" s="86" t="n"/>
      <c r="C93" s="69" t="n"/>
      <c r="D93" s="83">
        <f>IF($B93="","",IFERROR(VLOOKUP($B93,'מצרכים'!$A$3:$B$102,2,FALSE),""))</f>
        <v/>
      </c>
      <c r="E93" s="70" t="n"/>
      <c r="F93" s="85">
        <f>IF($A93="","",IFERROR($C93*VLOOKUP($A93,'תפריט השבת'!$A$4:$B$43,2,FALSE),0))</f>
        <v/>
      </c>
    </row>
    <row r="94" ht="20" customHeight="1">
      <c r="A94" s="80" t="n"/>
      <c r="B94" s="86" t="n"/>
      <c r="C94" s="69" t="n"/>
      <c r="D94" s="83">
        <f>IF($B94="","",IFERROR(VLOOKUP($B94,'מצרכים'!$A$3:$B$102,2,FALSE),""))</f>
        <v/>
      </c>
      <c r="E94" s="70" t="n"/>
      <c r="F94" s="85">
        <f>IF($A94="","",IFERROR($C94*VLOOKUP($A94,'תפריט השבת'!$A$4:$B$43,2,FALSE),0))</f>
        <v/>
      </c>
    </row>
    <row r="95" ht="20" customHeight="1">
      <c r="A95" s="80" t="n"/>
      <c r="B95" s="86" t="n"/>
      <c r="C95" s="69" t="n"/>
      <c r="D95" s="83">
        <f>IF($B95="","",IFERROR(VLOOKUP($B95,'מצרכים'!$A$3:$B$102,2,FALSE),""))</f>
        <v/>
      </c>
      <c r="E95" s="70" t="n"/>
      <c r="F95" s="85">
        <f>IF($A95="","",IFERROR($C95*VLOOKUP($A95,'תפריט השבת'!$A$4:$B$43,2,FALSE),0))</f>
        <v/>
      </c>
    </row>
    <row r="96" ht="20" customHeight="1">
      <c r="A96" s="80" t="n"/>
      <c r="B96" s="86" t="n"/>
      <c r="C96" s="69" t="n"/>
      <c r="D96" s="83">
        <f>IF($B96="","",IFERROR(VLOOKUP($B96,'מצרכים'!$A$3:$B$102,2,FALSE),""))</f>
        <v/>
      </c>
      <c r="E96" s="70" t="n"/>
      <c r="F96" s="85">
        <f>IF($A96="","",IFERROR($C96*VLOOKUP($A96,'תפריט השבת'!$A$4:$B$43,2,FALSE),0))</f>
        <v/>
      </c>
    </row>
    <row r="97" ht="20" customHeight="1">
      <c r="A97" s="80" t="n"/>
      <c r="B97" s="86" t="n"/>
      <c r="C97" s="69" t="n"/>
      <c r="D97" s="83">
        <f>IF($B97="","",IFERROR(VLOOKUP($B97,'מצרכים'!$A$3:$B$102,2,FALSE),""))</f>
        <v/>
      </c>
      <c r="E97" s="70" t="n"/>
      <c r="F97" s="85">
        <f>IF($A97="","",IFERROR($C97*VLOOKUP($A97,'תפריט השבת'!$A$4:$B$43,2,FALSE),0))</f>
        <v/>
      </c>
    </row>
    <row r="98" ht="20" customHeight="1">
      <c r="A98" s="80" t="n"/>
      <c r="B98" s="86" t="n"/>
      <c r="C98" s="69" t="n"/>
      <c r="D98" s="83">
        <f>IF($B98="","",IFERROR(VLOOKUP($B98,'מצרכים'!$A$3:$B$102,2,FALSE),""))</f>
        <v/>
      </c>
      <c r="E98" s="70" t="n"/>
      <c r="F98" s="85">
        <f>IF($A98="","",IFERROR($C98*VLOOKUP($A98,'תפריט השבת'!$A$4:$B$43,2,FALSE),0))</f>
        <v/>
      </c>
    </row>
    <row r="99" ht="20" customHeight="1">
      <c r="A99" s="80" t="n"/>
      <c r="B99" s="86" t="n"/>
      <c r="C99" s="69" t="n"/>
      <c r="D99" s="83">
        <f>IF($B99="","",IFERROR(VLOOKUP($B99,'מצרכים'!$A$3:$B$102,2,FALSE),""))</f>
        <v/>
      </c>
      <c r="E99" s="70" t="n"/>
      <c r="F99" s="85">
        <f>IF($A99="","",IFERROR($C99*VLOOKUP($A99,'תפריט השבת'!$A$4:$B$43,2,FALSE),0))</f>
        <v/>
      </c>
    </row>
    <row r="100" ht="20" customHeight="1">
      <c r="A100" s="80" t="n"/>
      <c r="B100" s="86" t="n"/>
      <c r="C100" s="69" t="n"/>
      <c r="D100" s="83">
        <f>IF($B100="","",IFERROR(VLOOKUP($B100,'מצרכים'!$A$3:$B$102,2,FALSE),""))</f>
        <v/>
      </c>
      <c r="E100" s="70" t="n"/>
      <c r="F100" s="85">
        <f>IF($A100="","",IFERROR($C100*VLOOKUP($A100,'תפריט השבת'!$A$4:$B$43,2,FALSE),0))</f>
        <v/>
      </c>
    </row>
    <row r="101" ht="20" customHeight="1">
      <c r="A101" s="80" t="n"/>
      <c r="B101" s="86" t="n"/>
      <c r="C101" s="69" t="n"/>
      <c r="D101" s="83">
        <f>IF($B101="","",IFERROR(VLOOKUP($B101,'מצרכים'!$A$3:$B$102,2,FALSE),""))</f>
        <v/>
      </c>
      <c r="E101" s="70" t="n"/>
      <c r="F101" s="85">
        <f>IF($A101="","",IFERROR($C101*VLOOKUP($A101,'תפריט השבת'!$A$4:$B$43,2,FALSE),0))</f>
        <v/>
      </c>
    </row>
    <row r="102" ht="20" customHeight="1">
      <c r="A102" s="80" t="n"/>
      <c r="B102" s="86" t="n"/>
      <c r="C102" s="69" t="n"/>
      <c r="D102" s="83">
        <f>IF($B102="","",IFERROR(VLOOKUP($B102,'מצרכים'!$A$3:$B$102,2,FALSE),""))</f>
        <v/>
      </c>
      <c r="E102" s="70" t="n"/>
      <c r="F102" s="85">
        <f>IF($A102="","",IFERROR($C102*VLOOKUP($A102,'תפריט השבת'!$A$4:$B$43,2,FALSE),0))</f>
        <v/>
      </c>
    </row>
    <row r="103" ht="20" customHeight="1">
      <c r="A103" s="80" t="n"/>
      <c r="B103" s="86" t="n"/>
      <c r="C103" s="69" t="n"/>
      <c r="D103" s="83">
        <f>IF($B103="","",IFERROR(VLOOKUP($B103,'מצרכים'!$A$3:$B$102,2,FALSE),""))</f>
        <v/>
      </c>
      <c r="E103" s="70" t="n"/>
      <c r="F103" s="85">
        <f>IF($A103="","",IFERROR($C103*VLOOKUP($A103,'תפריט השבת'!$A$4:$B$43,2,FALSE),0))</f>
        <v/>
      </c>
    </row>
    <row r="104" ht="20" customHeight="1">
      <c r="A104" s="80" t="n"/>
      <c r="B104" s="86" t="n"/>
      <c r="C104" s="69" t="n"/>
      <c r="D104" s="83">
        <f>IF($B104="","",IFERROR(VLOOKUP($B104,'מצרכים'!$A$3:$B$102,2,FALSE),""))</f>
        <v/>
      </c>
      <c r="E104" s="70" t="n"/>
      <c r="F104" s="85">
        <f>IF($A104="","",IFERROR($C104*VLOOKUP($A104,'תפריט השבת'!$A$4:$B$43,2,FALSE),0))</f>
        <v/>
      </c>
    </row>
    <row r="105" ht="20" customHeight="1">
      <c r="A105" s="80" t="n"/>
      <c r="B105" s="86" t="n"/>
      <c r="C105" s="69" t="n"/>
      <c r="D105" s="83">
        <f>IF($B105="","",IFERROR(VLOOKUP($B105,'מצרכים'!$A$3:$B$102,2,FALSE),""))</f>
        <v/>
      </c>
      <c r="E105" s="70" t="n"/>
      <c r="F105" s="85">
        <f>IF($A105="","",IFERROR($C105*VLOOKUP($A105,'תפריט השבת'!$A$4:$B$43,2,FALSE),0))</f>
        <v/>
      </c>
    </row>
    <row r="106" ht="20" customHeight="1">
      <c r="A106" s="80" t="n"/>
      <c r="B106" s="86" t="n"/>
      <c r="C106" s="69" t="n"/>
      <c r="D106" s="83">
        <f>IF($B106="","",IFERROR(VLOOKUP($B106,'מצרכים'!$A$3:$B$102,2,FALSE),""))</f>
        <v/>
      </c>
      <c r="E106" s="70" t="n"/>
      <c r="F106" s="85">
        <f>IF($A106="","",IFERROR($C106*VLOOKUP($A106,'תפריט השבת'!$A$4:$B$43,2,FALSE),0))</f>
        <v/>
      </c>
    </row>
    <row r="107" ht="20" customHeight="1">
      <c r="A107" s="80" t="n"/>
      <c r="B107" s="86" t="n"/>
      <c r="C107" s="69" t="n"/>
      <c r="D107" s="83">
        <f>IF($B107="","",IFERROR(VLOOKUP($B107,'מצרכים'!$A$3:$B$102,2,FALSE),""))</f>
        <v/>
      </c>
      <c r="E107" s="70" t="n"/>
      <c r="F107" s="85">
        <f>IF($A107="","",IFERROR($C107*VLOOKUP($A107,'תפריט השבת'!$A$4:$B$43,2,FALSE),0))</f>
        <v/>
      </c>
    </row>
    <row r="108" ht="20" customHeight="1">
      <c r="A108" s="80" t="n"/>
      <c r="B108" s="86" t="n"/>
      <c r="C108" s="69" t="n"/>
      <c r="D108" s="83">
        <f>IF($B108="","",IFERROR(VLOOKUP($B108,'מצרכים'!$A$3:$B$102,2,FALSE),""))</f>
        <v/>
      </c>
      <c r="E108" s="70" t="n"/>
      <c r="F108" s="85">
        <f>IF($A108="","",IFERROR($C108*VLOOKUP($A108,'תפריט השבת'!$A$4:$B$43,2,FALSE),0))</f>
        <v/>
      </c>
    </row>
    <row r="109" ht="20" customHeight="1">
      <c r="A109" s="80" t="n"/>
      <c r="B109" s="86" t="n"/>
      <c r="C109" s="69" t="n"/>
      <c r="D109" s="83">
        <f>IF($B109="","",IFERROR(VLOOKUP($B109,'מצרכים'!$A$3:$B$102,2,FALSE),""))</f>
        <v/>
      </c>
      <c r="E109" s="70" t="n"/>
      <c r="F109" s="85">
        <f>IF($A109="","",IFERROR($C109*VLOOKUP($A109,'תפריט השבת'!$A$4:$B$43,2,FALSE),0))</f>
        <v/>
      </c>
    </row>
    <row r="110" ht="20" customHeight="1">
      <c r="A110" s="80" t="n"/>
      <c r="B110" s="86" t="n"/>
      <c r="C110" s="69" t="n"/>
      <c r="D110" s="83">
        <f>IF($B110="","",IFERROR(VLOOKUP($B110,'מצרכים'!$A$3:$B$102,2,FALSE),""))</f>
        <v/>
      </c>
      <c r="E110" s="70" t="n"/>
      <c r="F110" s="85">
        <f>IF($A110="","",IFERROR($C110*VLOOKUP($A110,'תפריט השבת'!$A$4:$B$43,2,FALSE),0))</f>
        <v/>
      </c>
    </row>
    <row r="111" ht="20" customHeight="1">
      <c r="A111" s="80" t="n"/>
      <c r="B111" s="86" t="n"/>
      <c r="C111" s="69" t="n"/>
      <c r="D111" s="83">
        <f>IF($B111="","",IFERROR(VLOOKUP($B111,'מצרכים'!$A$3:$B$102,2,FALSE),""))</f>
        <v/>
      </c>
      <c r="E111" s="70" t="n"/>
      <c r="F111" s="85">
        <f>IF($A111="","",IFERROR($C111*VLOOKUP($A111,'תפריט השבת'!$A$4:$B$43,2,FALSE),0))</f>
        <v/>
      </c>
    </row>
    <row r="112" ht="20" customHeight="1">
      <c r="A112" s="80" t="n"/>
      <c r="B112" s="86" t="n"/>
      <c r="C112" s="69" t="n"/>
      <c r="D112" s="83">
        <f>IF($B112="","",IFERROR(VLOOKUP($B112,'מצרכים'!$A$3:$B$102,2,FALSE),""))</f>
        <v/>
      </c>
      <c r="E112" s="70" t="n"/>
      <c r="F112" s="85">
        <f>IF($A112="","",IFERROR($C112*VLOOKUP($A112,'תפריט השבת'!$A$4:$B$43,2,FALSE),0))</f>
        <v/>
      </c>
    </row>
    <row r="113" ht="20" customHeight="1">
      <c r="A113" s="80" t="n"/>
      <c r="B113" s="86" t="n"/>
      <c r="C113" s="69" t="n"/>
      <c r="D113" s="83">
        <f>IF($B113="","",IFERROR(VLOOKUP($B113,'מצרכים'!$A$3:$B$102,2,FALSE),""))</f>
        <v/>
      </c>
      <c r="E113" s="70" t="n"/>
      <c r="F113" s="85">
        <f>IF($A113="","",IFERROR($C113*VLOOKUP($A113,'תפריט השבת'!$A$4:$B$43,2,FALSE),0))</f>
        <v/>
      </c>
    </row>
    <row r="114" ht="20" customHeight="1">
      <c r="A114" s="80" t="n"/>
      <c r="B114" s="86" t="n"/>
      <c r="C114" s="69" t="n"/>
      <c r="D114" s="83">
        <f>IF($B114="","",IFERROR(VLOOKUP($B114,'מצרכים'!$A$3:$B$102,2,FALSE),""))</f>
        <v/>
      </c>
      <c r="E114" s="70" t="n"/>
      <c r="F114" s="85">
        <f>IF($A114="","",IFERROR($C114*VLOOKUP($A114,'תפריט השבת'!$A$4:$B$43,2,FALSE),0))</f>
        <v/>
      </c>
    </row>
    <row r="115" ht="20" customHeight="1">
      <c r="A115" s="80" t="n"/>
      <c r="B115" s="86" t="n"/>
      <c r="C115" s="69" t="n"/>
      <c r="D115" s="83">
        <f>IF($B115="","",IFERROR(VLOOKUP($B115,'מצרכים'!$A$3:$B$102,2,FALSE),""))</f>
        <v/>
      </c>
      <c r="E115" s="70" t="n"/>
      <c r="F115" s="85">
        <f>IF($A115="","",IFERROR($C115*VLOOKUP($A115,'תפריט השבת'!$A$4:$B$43,2,FALSE),0))</f>
        <v/>
      </c>
    </row>
    <row r="116" ht="20" customHeight="1">
      <c r="A116" s="80" t="n"/>
      <c r="B116" s="86" t="n"/>
      <c r="C116" s="69" t="n"/>
      <c r="D116" s="83">
        <f>IF($B116="","",IFERROR(VLOOKUP($B116,'מצרכים'!$A$3:$B$102,2,FALSE),""))</f>
        <v/>
      </c>
      <c r="E116" s="70" t="n"/>
      <c r="F116" s="85">
        <f>IF($A116="","",IFERROR($C116*VLOOKUP($A116,'תפריט השבת'!$A$4:$B$43,2,FALSE),0))</f>
        <v/>
      </c>
    </row>
    <row r="117" ht="20" customHeight="1">
      <c r="A117" s="80" t="n"/>
      <c r="B117" s="86" t="n"/>
      <c r="C117" s="69" t="n"/>
      <c r="D117" s="83">
        <f>IF($B117="","",IFERROR(VLOOKUP($B117,'מצרכים'!$A$3:$B$102,2,FALSE),""))</f>
        <v/>
      </c>
      <c r="E117" s="70" t="n"/>
      <c r="F117" s="85">
        <f>IF($A117="","",IFERROR($C117*VLOOKUP($A117,'תפריט השבת'!$A$4:$B$43,2,FALSE),0))</f>
        <v/>
      </c>
    </row>
    <row r="118" ht="20" customHeight="1">
      <c r="A118" s="80" t="n"/>
      <c r="B118" s="86" t="n"/>
      <c r="C118" s="69" t="n"/>
      <c r="D118" s="83">
        <f>IF($B118="","",IFERROR(VLOOKUP($B118,'מצרכים'!$A$3:$B$102,2,FALSE),""))</f>
        <v/>
      </c>
      <c r="E118" s="70" t="n"/>
      <c r="F118" s="85">
        <f>IF($A118="","",IFERROR($C118*VLOOKUP($A118,'תפריט השבת'!$A$4:$B$43,2,FALSE),0))</f>
        <v/>
      </c>
    </row>
    <row r="119" ht="20" customHeight="1">
      <c r="A119" s="80" t="n"/>
      <c r="B119" s="86" t="n"/>
      <c r="C119" s="69" t="n"/>
      <c r="D119" s="83">
        <f>IF($B119="","",IFERROR(VLOOKUP($B119,'מצרכים'!$A$3:$B$102,2,FALSE),""))</f>
        <v/>
      </c>
      <c r="E119" s="70" t="n"/>
      <c r="F119" s="85">
        <f>IF($A119="","",IFERROR($C119*VLOOKUP($A119,'תפריט השבת'!$A$4:$B$43,2,FALSE),0))</f>
        <v/>
      </c>
    </row>
    <row r="120" ht="20" customHeight="1">
      <c r="A120" s="80" t="n"/>
      <c r="B120" s="86" t="n"/>
      <c r="C120" s="69" t="n"/>
      <c r="D120" s="83">
        <f>IF($B120="","",IFERROR(VLOOKUP($B120,'מצרכים'!$A$3:$B$102,2,FALSE),""))</f>
        <v/>
      </c>
      <c r="E120" s="70" t="n"/>
      <c r="F120" s="85">
        <f>IF($A120="","",IFERROR($C120*VLOOKUP($A120,'תפריט השבת'!$A$4:$B$43,2,FALSE),0))</f>
        <v/>
      </c>
    </row>
    <row r="121" ht="20" customHeight="1">
      <c r="A121" s="80" t="n"/>
      <c r="B121" s="86" t="n"/>
      <c r="C121" s="69" t="n"/>
      <c r="D121" s="83">
        <f>IF($B121="","",IFERROR(VLOOKUP($B121,'מצרכים'!$A$3:$B$102,2,FALSE),""))</f>
        <v/>
      </c>
      <c r="E121" s="70" t="n"/>
      <c r="F121" s="85">
        <f>IF($A121="","",IFERROR($C121*VLOOKUP($A121,'תפריט השבת'!$A$4:$B$43,2,FALSE),0))</f>
        <v/>
      </c>
    </row>
    <row r="122" ht="20" customHeight="1">
      <c r="A122" s="80" t="n"/>
      <c r="B122" s="86" t="n"/>
      <c r="C122" s="69" t="n"/>
      <c r="D122" s="83">
        <f>IF($B122="","",IFERROR(VLOOKUP($B122,'מצרכים'!$A$3:$B$102,2,FALSE),""))</f>
        <v/>
      </c>
      <c r="E122" s="70" t="n"/>
      <c r="F122" s="85">
        <f>IF($A122="","",IFERROR($C122*VLOOKUP($A122,'תפריט השבת'!$A$4:$B$43,2,FALSE),0))</f>
        <v/>
      </c>
    </row>
    <row r="123" ht="20" customHeight="1">
      <c r="A123" s="80" t="n"/>
      <c r="B123" s="86" t="n"/>
      <c r="C123" s="69" t="n"/>
      <c r="D123" s="83">
        <f>IF($B123="","",IFERROR(VLOOKUP($B123,'מצרכים'!$A$3:$B$102,2,FALSE),""))</f>
        <v/>
      </c>
      <c r="E123" s="70" t="n"/>
      <c r="F123" s="85">
        <f>IF($A123="","",IFERROR($C123*VLOOKUP($A123,'תפריט השבת'!$A$4:$B$43,2,FALSE),0))</f>
        <v/>
      </c>
    </row>
    <row r="124" ht="20" customHeight="1">
      <c r="A124" s="80" t="n"/>
      <c r="B124" s="86" t="n"/>
      <c r="C124" s="69" t="n"/>
      <c r="D124" s="83">
        <f>IF($B124="","",IFERROR(VLOOKUP($B124,'מצרכים'!$A$3:$B$102,2,FALSE),""))</f>
        <v/>
      </c>
      <c r="E124" s="70" t="n"/>
      <c r="F124" s="85">
        <f>IF($A124="","",IFERROR($C124*VLOOKUP($A124,'תפריט השבת'!$A$4:$B$43,2,FALSE),0))</f>
        <v/>
      </c>
    </row>
    <row r="125" ht="20" customHeight="1">
      <c r="A125" s="80" t="n"/>
      <c r="B125" s="86" t="n"/>
      <c r="C125" s="69" t="n"/>
      <c r="D125" s="83">
        <f>IF($B125="","",IFERROR(VLOOKUP($B125,'מצרכים'!$A$3:$B$102,2,FALSE),""))</f>
        <v/>
      </c>
      <c r="E125" s="70" t="n"/>
      <c r="F125" s="85">
        <f>IF($A125="","",IFERROR($C125*VLOOKUP($A125,'תפריט השבת'!$A$4:$B$43,2,FALSE),0))</f>
        <v/>
      </c>
    </row>
    <row r="126" ht="20" customHeight="1">
      <c r="A126" s="80" t="n"/>
      <c r="B126" s="86" t="n"/>
      <c r="C126" s="69" t="n"/>
      <c r="D126" s="83">
        <f>IF($B126="","",IFERROR(VLOOKUP($B126,'מצרכים'!$A$3:$B$102,2,FALSE),""))</f>
        <v/>
      </c>
      <c r="E126" s="70" t="n"/>
      <c r="F126" s="85">
        <f>IF($A126="","",IFERROR($C126*VLOOKUP($A126,'תפריט השבת'!$A$4:$B$43,2,FALSE),0))</f>
        <v/>
      </c>
    </row>
    <row r="127" ht="20" customHeight="1">
      <c r="A127" s="80" t="n"/>
      <c r="B127" s="86" t="n"/>
      <c r="C127" s="69" t="n"/>
      <c r="D127" s="83">
        <f>IF($B127="","",IFERROR(VLOOKUP($B127,'מצרכים'!$A$3:$B$102,2,FALSE),""))</f>
        <v/>
      </c>
      <c r="E127" s="70" t="n"/>
      <c r="F127" s="85">
        <f>IF($A127="","",IFERROR($C127*VLOOKUP($A127,'תפריט השבת'!$A$4:$B$43,2,FALSE),0))</f>
        <v/>
      </c>
    </row>
    <row r="128" ht="20" customHeight="1">
      <c r="A128" s="80" t="n"/>
      <c r="B128" s="86" t="n"/>
      <c r="C128" s="69" t="n"/>
      <c r="D128" s="83">
        <f>IF($B128="","",IFERROR(VLOOKUP($B128,'מצרכים'!$A$3:$B$102,2,FALSE),""))</f>
        <v/>
      </c>
      <c r="E128" s="70" t="n"/>
      <c r="F128" s="85">
        <f>IF($A128="","",IFERROR($C128*VLOOKUP($A128,'תפריט השבת'!$A$4:$B$43,2,FALSE),0))</f>
        <v/>
      </c>
    </row>
    <row r="129" ht="20" customHeight="1">
      <c r="A129" s="80" t="n"/>
      <c r="B129" s="86" t="n"/>
      <c r="C129" s="69" t="n"/>
      <c r="D129" s="83">
        <f>IF($B129="","",IFERROR(VLOOKUP($B129,'מצרכים'!$A$3:$B$102,2,FALSE),""))</f>
        <v/>
      </c>
      <c r="E129" s="70" t="n"/>
      <c r="F129" s="85">
        <f>IF($A129="","",IFERROR($C129*VLOOKUP($A129,'תפריט השבת'!$A$4:$B$43,2,FALSE),0))</f>
        <v/>
      </c>
    </row>
    <row r="130" ht="20" customHeight="1">
      <c r="A130" s="80" t="n"/>
      <c r="B130" s="86" t="n"/>
      <c r="C130" s="69" t="n"/>
      <c r="D130" s="83">
        <f>IF($B130="","",IFERROR(VLOOKUP($B130,'מצרכים'!$A$3:$B$102,2,FALSE),""))</f>
        <v/>
      </c>
      <c r="E130" s="70" t="n"/>
      <c r="F130" s="85">
        <f>IF($A130="","",IFERROR($C130*VLOOKUP($A130,'תפריט השבת'!$A$4:$B$43,2,FALSE),0))</f>
        <v/>
      </c>
    </row>
    <row r="131" ht="20" customHeight="1">
      <c r="A131" s="80" t="n"/>
      <c r="B131" s="86" t="n"/>
      <c r="C131" s="69" t="n"/>
      <c r="D131" s="83">
        <f>IF($B131="","",IFERROR(VLOOKUP($B131,'מצרכים'!$A$3:$B$102,2,FALSE),""))</f>
        <v/>
      </c>
      <c r="E131" s="70" t="n"/>
      <c r="F131" s="85">
        <f>IF($A131="","",IFERROR($C131*VLOOKUP($A131,'תפריט השבת'!$A$4:$B$43,2,FALSE),0))</f>
        <v/>
      </c>
    </row>
    <row r="132" ht="20" customHeight="1">
      <c r="A132" s="80" t="n"/>
      <c r="B132" s="86" t="n"/>
      <c r="C132" s="69" t="n"/>
      <c r="D132" s="83">
        <f>IF($B132="","",IFERROR(VLOOKUP($B132,'מצרכים'!$A$3:$B$102,2,FALSE),""))</f>
        <v/>
      </c>
      <c r="E132" s="70" t="n"/>
      <c r="F132" s="85">
        <f>IF($A132="","",IFERROR($C132*VLOOKUP($A132,'תפריט השבת'!$A$4:$B$43,2,FALSE),0))</f>
        <v/>
      </c>
    </row>
    <row r="133" ht="20" customHeight="1">
      <c r="A133" s="80" t="n"/>
      <c r="B133" s="86" t="n"/>
      <c r="C133" s="69" t="n"/>
      <c r="D133" s="83">
        <f>IF($B133="","",IFERROR(VLOOKUP($B133,'מצרכים'!$A$3:$B$102,2,FALSE),""))</f>
        <v/>
      </c>
      <c r="E133" s="70" t="n"/>
      <c r="F133" s="85">
        <f>IF($A133="","",IFERROR($C133*VLOOKUP($A133,'תפריט השבת'!$A$4:$B$43,2,FALSE),0))</f>
        <v/>
      </c>
    </row>
    <row r="134" ht="20" customHeight="1">
      <c r="A134" s="80" t="n"/>
      <c r="B134" s="86" t="n"/>
      <c r="C134" s="69" t="n"/>
      <c r="D134" s="83">
        <f>IF($B134="","",IFERROR(VLOOKUP($B134,'מצרכים'!$A$3:$B$102,2,FALSE),""))</f>
        <v/>
      </c>
      <c r="E134" s="70" t="n"/>
      <c r="F134" s="85">
        <f>IF($A134="","",IFERROR($C134*VLOOKUP($A134,'תפריט השבת'!$A$4:$B$43,2,FALSE),0))</f>
        <v/>
      </c>
    </row>
    <row r="135" ht="20" customHeight="1">
      <c r="A135" s="80" t="n"/>
      <c r="B135" s="86" t="n"/>
      <c r="C135" s="69" t="n"/>
      <c r="D135" s="83">
        <f>IF($B135="","",IFERROR(VLOOKUP($B135,'מצרכים'!$A$3:$B$102,2,FALSE),""))</f>
        <v/>
      </c>
      <c r="E135" s="70" t="n"/>
      <c r="F135" s="85">
        <f>IF($A135="","",IFERROR($C135*VLOOKUP($A135,'תפריט השבת'!$A$4:$B$43,2,FALSE),0))</f>
        <v/>
      </c>
    </row>
    <row r="136" ht="20" customHeight="1">
      <c r="A136" s="80" t="n"/>
      <c r="B136" s="86" t="n"/>
      <c r="C136" s="69" t="n"/>
      <c r="D136" s="83">
        <f>IF($B136="","",IFERROR(VLOOKUP($B136,'מצרכים'!$A$3:$B$102,2,FALSE),""))</f>
        <v/>
      </c>
      <c r="E136" s="70" t="n"/>
      <c r="F136" s="85">
        <f>IF($A136="","",IFERROR($C136*VLOOKUP($A136,'תפריט השבת'!$A$4:$B$43,2,FALSE),0))</f>
        <v/>
      </c>
    </row>
    <row r="137" ht="20" customHeight="1">
      <c r="A137" s="80" t="n"/>
      <c r="B137" s="86" t="n"/>
      <c r="C137" s="69" t="n"/>
      <c r="D137" s="83">
        <f>IF($B137="","",IFERROR(VLOOKUP($B137,'מצרכים'!$A$3:$B$102,2,FALSE),""))</f>
        <v/>
      </c>
      <c r="E137" s="70" t="n"/>
      <c r="F137" s="85">
        <f>IF($A137="","",IFERROR($C137*VLOOKUP($A137,'תפריט השבת'!$A$4:$B$43,2,FALSE),0))</f>
        <v/>
      </c>
    </row>
    <row r="138" ht="20" customHeight="1">
      <c r="A138" s="80" t="n"/>
      <c r="B138" s="86" t="n"/>
      <c r="C138" s="69" t="n"/>
      <c r="D138" s="83">
        <f>IF($B138="","",IFERROR(VLOOKUP($B138,'מצרכים'!$A$3:$B$102,2,FALSE),""))</f>
        <v/>
      </c>
      <c r="E138" s="70" t="n"/>
      <c r="F138" s="85">
        <f>IF($A138="","",IFERROR($C138*VLOOKUP($A138,'תפריט השבת'!$A$4:$B$43,2,FALSE),0))</f>
        <v/>
      </c>
    </row>
    <row r="139" ht="20" customHeight="1">
      <c r="A139" s="80" t="n"/>
      <c r="B139" s="86" t="n"/>
      <c r="C139" s="69" t="n"/>
      <c r="D139" s="83">
        <f>IF($B139="","",IFERROR(VLOOKUP($B139,'מצרכים'!$A$3:$B$102,2,FALSE),""))</f>
        <v/>
      </c>
      <c r="E139" s="70" t="n"/>
      <c r="F139" s="85">
        <f>IF($A139="","",IFERROR($C139*VLOOKUP($A139,'תפריט השבת'!$A$4:$B$43,2,FALSE),0))</f>
        <v/>
      </c>
    </row>
    <row r="140" ht="20" customHeight="1">
      <c r="A140" s="80" t="n"/>
      <c r="B140" s="86" t="n"/>
      <c r="C140" s="69" t="n"/>
      <c r="D140" s="83">
        <f>IF($B140="","",IFERROR(VLOOKUP($B140,'מצרכים'!$A$3:$B$102,2,FALSE),""))</f>
        <v/>
      </c>
      <c r="E140" s="70" t="n"/>
      <c r="F140" s="85">
        <f>IF($A140="","",IFERROR($C140*VLOOKUP($A140,'תפריט השבת'!$A$4:$B$43,2,FALSE),0))</f>
        <v/>
      </c>
    </row>
    <row r="141" ht="20" customHeight="1">
      <c r="A141" s="80" t="n"/>
      <c r="B141" s="86" t="n"/>
      <c r="C141" s="69" t="n"/>
      <c r="D141" s="83">
        <f>IF($B141="","",IFERROR(VLOOKUP($B141,'מצרכים'!$A$3:$B$102,2,FALSE),""))</f>
        <v/>
      </c>
      <c r="E141" s="70" t="n"/>
      <c r="F141" s="85">
        <f>IF($A141="","",IFERROR($C141*VLOOKUP($A141,'תפריט השבת'!$A$4:$B$43,2,FALSE),0))</f>
        <v/>
      </c>
    </row>
    <row r="142" ht="20" customHeight="1">
      <c r="A142" s="80" t="n"/>
      <c r="B142" s="86" t="n"/>
      <c r="C142" s="69" t="n"/>
      <c r="D142" s="83">
        <f>IF($B142="","",IFERROR(VLOOKUP($B142,'מצרכים'!$A$3:$B$102,2,FALSE),""))</f>
        <v/>
      </c>
      <c r="E142" s="70" t="n"/>
      <c r="F142" s="85">
        <f>IF($A142="","",IFERROR($C142*VLOOKUP($A142,'תפריט השבת'!$A$4:$B$43,2,FALSE),0))</f>
        <v/>
      </c>
    </row>
    <row r="143" ht="20" customHeight="1">
      <c r="A143" s="80" t="n"/>
      <c r="B143" s="86" t="n"/>
      <c r="C143" s="69" t="n"/>
      <c r="D143" s="83">
        <f>IF($B143="","",IFERROR(VLOOKUP($B143,'מצרכים'!$A$3:$B$102,2,FALSE),""))</f>
        <v/>
      </c>
      <c r="E143" s="70" t="n"/>
      <c r="F143" s="85">
        <f>IF($A143="","",IFERROR($C143*VLOOKUP($A143,'תפריט השבת'!$A$4:$B$43,2,FALSE),0))</f>
        <v/>
      </c>
    </row>
    <row r="144" ht="20" customHeight="1">
      <c r="A144" s="80" t="n"/>
      <c r="B144" s="86" t="n"/>
      <c r="C144" s="69" t="n"/>
      <c r="D144" s="83">
        <f>IF($B144="","",IFERROR(VLOOKUP($B144,'מצרכים'!$A$3:$B$102,2,FALSE),""))</f>
        <v/>
      </c>
      <c r="E144" s="70" t="n"/>
      <c r="F144" s="85">
        <f>IF($A144="","",IFERROR($C144*VLOOKUP($A144,'תפריט השבת'!$A$4:$B$43,2,FALSE),0))</f>
        <v/>
      </c>
    </row>
    <row r="145" ht="20" customHeight="1">
      <c r="A145" s="80" t="n"/>
      <c r="B145" s="86" t="n"/>
      <c r="C145" s="69" t="n"/>
      <c r="D145" s="83">
        <f>IF($B145="","",IFERROR(VLOOKUP($B145,'מצרכים'!$A$3:$B$102,2,FALSE),""))</f>
        <v/>
      </c>
      <c r="E145" s="70" t="n"/>
      <c r="F145" s="85">
        <f>IF($A145="","",IFERROR($C145*VLOOKUP($A145,'תפריט השבת'!$A$4:$B$43,2,FALSE),0))</f>
        <v/>
      </c>
    </row>
    <row r="146" ht="20" customHeight="1">
      <c r="A146" s="80" t="n"/>
      <c r="B146" s="86" t="n"/>
      <c r="C146" s="69" t="n"/>
      <c r="D146" s="83">
        <f>IF($B146="","",IFERROR(VLOOKUP($B146,'מצרכים'!$A$3:$B$102,2,FALSE),""))</f>
        <v/>
      </c>
      <c r="E146" s="70" t="n"/>
      <c r="F146" s="85">
        <f>IF($A146="","",IFERROR($C146*VLOOKUP($A146,'תפריט השבת'!$A$4:$B$43,2,FALSE),0))</f>
        <v/>
      </c>
    </row>
    <row r="147" ht="20" customHeight="1">
      <c r="A147" s="80" t="n"/>
      <c r="B147" s="86" t="n"/>
      <c r="C147" s="69" t="n"/>
      <c r="D147" s="83">
        <f>IF($B147="","",IFERROR(VLOOKUP($B147,'מצרכים'!$A$3:$B$102,2,FALSE),""))</f>
        <v/>
      </c>
      <c r="E147" s="70" t="n"/>
      <c r="F147" s="85">
        <f>IF($A147="","",IFERROR($C147*VLOOKUP($A147,'תפריט השבת'!$A$4:$B$43,2,FALSE),0))</f>
        <v/>
      </c>
    </row>
    <row r="148" ht="20" customHeight="1">
      <c r="A148" s="80" t="n"/>
      <c r="B148" s="86" t="n"/>
      <c r="C148" s="69" t="n"/>
      <c r="D148" s="83">
        <f>IF($B148="","",IFERROR(VLOOKUP($B148,'מצרכים'!$A$3:$B$102,2,FALSE),""))</f>
        <v/>
      </c>
      <c r="E148" s="70" t="n"/>
      <c r="F148" s="85">
        <f>IF($A148="","",IFERROR($C148*VLOOKUP($A148,'תפריט השבת'!$A$4:$B$43,2,FALSE),0))</f>
        <v/>
      </c>
    </row>
    <row r="149" ht="20" customHeight="1">
      <c r="A149" s="80" t="n"/>
      <c r="B149" s="86" t="n"/>
      <c r="C149" s="69" t="n"/>
      <c r="D149" s="83">
        <f>IF($B149="","",IFERROR(VLOOKUP($B149,'מצרכים'!$A$3:$B$102,2,FALSE),""))</f>
        <v/>
      </c>
      <c r="E149" s="70" t="n"/>
      <c r="F149" s="85">
        <f>IF($A149="","",IFERROR($C149*VLOOKUP($A149,'תפריט השבת'!$A$4:$B$43,2,FALSE),0))</f>
        <v/>
      </c>
    </row>
    <row r="150" ht="20" customHeight="1">
      <c r="A150" s="80" t="n"/>
      <c r="B150" s="86" t="n"/>
      <c r="C150" s="69" t="n"/>
      <c r="D150" s="83">
        <f>IF($B150="","",IFERROR(VLOOKUP($B150,'מצרכים'!$A$3:$B$102,2,FALSE),""))</f>
        <v/>
      </c>
      <c r="E150" s="70" t="n"/>
      <c r="F150" s="85">
        <f>IF($A150="","",IFERROR($C150*VLOOKUP($A150,'תפריט השבת'!$A$4:$B$43,2,FALSE),0))</f>
        <v/>
      </c>
    </row>
    <row r="151" ht="20" customHeight="1">
      <c r="A151" s="80" t="n"/>
      <c r="B151" s="86" t="n"/>
      <c r="C151" s="69" t="n"/>
      <c r="D151" s="83">
        <f>IF($B151="","",IFERROR(VLOOKUP($B151,'מצרכים'!$A$3:$B$102,2,FALSE),""))</f>
        <v/>
      </c>
      <c r="E151" s="70" t="n"/>
      <c r="F151" s="85">
        <f>IF($A151="","",IFERROR($C151*VLOOKUP($A151,'תפריט השבת'!$A$4:$B$43,2,FALSE),0))</f>
        <v/>
      </c>
    </row>
    <row r="152" ht="20" customHeight="1">
      <c r="A152" s="80" t="n"/>
      <c r="B152" s="86" t="n"/>
      <c r="C152" s="69" t="n"/>
      <c r="D152" s="83">
        <f>IF($B152="","",IFERROR(VLOOKUP($B152,'מצרכים'!$A$3:$B$102,2,FALSE),""))</f>
        <v/>
      </c>
      <c r="E152" s="70" t="n"/>
      <c r="F152" s="85">
        <f>IF($A152="","",IFERROR($C152*VLOOKUP($A152,'תפריט השבת'!$A$4:$B$43,2,FALSE),0))</f>
        <v/>
      </c>
    </row>
    <row r="153" ht="20" customHeight="1">
      <c r="A153" s="80" t="n"/>
      <c r="B153" s="86" t="n"/>
      <c r="C153" s="69" t="n"/>
      <c r="D153" s="83">
        <f>IF($B153="","",IFERROR(VLOOKUP($B153,'מצרכים'!$A$3:$B$102,2,FALSE),""))</f>
        <v/>
      </c>
      <c r="E153" s="70" t="n"/>
      <c r="F153" s="85">
        <f>IF($A153="","",IFERROR($C153*VLOOKUP($A153,'תפריט השבת'!$A$4:$B$43,2,FALSE),0))</f>
        <v/>
      </c>
    </row>
    <row r="154" ht="20" customHeight="1">
      <c r="A154" s="80" t="n"/>
      <c r="B154" s="86" t="n"/>
      <c r="C154" s="69" t="n"/>
      <c r="D154" s="83">
        <f>IF($B154="","",IFERROR(VLOOKUP($B154,'מצרכים'!$A$3:$B$102,2,FALSE),""))</f>
        <v/>
      </c>
      <c r="E154" s="70" t="n"/>
      <c r="F154" s="85">
        <f>IF($A154="","",IFERROR($C154*VLOOKUP($A154,'תפריט השבת'!$A$4:$B$43,2,FALSE),0))</f>
        <v/>
      </c>
    </row>
    <row r="155" ht="20" customHeight="1">
      <c r="A155" s="80" t="n"/>
      <c r="B155" s="86" t="n"/>
      <c r="C155" s="69" t="n"/>
      <c r="D155" s="83">
        <f>IF($B155="","",IFERROR(VLOOKUP($B155,'מצרכים'!$A$3:$B$102,2,FALSE),""))</f>
        <v/>
      </c>
      <c r="E155" s="70" t="n"/>
      <c r="F155" s="85">
        <f>IF($A155="","",IFERROR($C155*VLOOKUP($A155,'תפריט השבת'!$A$4:$B$43,2,FALSE),0))</f>
        <v/>
      </c>
    </row>
    <row r="156" ht="20" customHeight="1">
      <c r="A156" s="80" t="n"/>
      <c r="B156" s="86" t="n"/>
      <c r="C156" s="69" t="n"/>
      <c r="D156" s="83">
        <f>IF($B156="","",IFERROR(VLOOKUP($B156,'מצרכים'!$A$3:$B$102,2,FALSE),""))</f>
        <v/>
      </c>
      <c r="E156" s="70" t="n"/>
      <c r="F156" s="85">
        <f>IF($A156="","",IFERROR($C156*VLOOKUP($A156,'תפריט השבת'!$A$4:$B$43,2,FALSE),0))</f>
        <v/>
      </c>
    </row>
    <row r="157" ht="20" customHeight="1">
      <c r="A157" s="80" t="n"/>
      <c r="B157" s="86" t="n"/>
      <c r="C157" s="69" t="n"/>
      <c r="D157" s="83">
        <f>IF($B157="","",IFERROR(VLOOKUP($B157,'מצרכים'!$A$3:$B$102,2,FALSE),""))</f>
        <v/>
      </c>
      <c r="E157" s="70" t="n"/>
      <c r="F157" s="85">
        <f>IF($A157="","",IFERROR($C157*VLOOKUP($A157,'תפריט השבת'!$A$4:$B$43,2,FALSE),0))</f>
        <v/>
      </c>
    </row>
    <row r="158" ht="20" customHeight="1">
      <c r="A158" s="80" t="n"/>
      <c r="B158" s="86" t="n"/>
      <c r="C158" s="69" t="n"/>
      <c r="D158" s="83">
        <f>IF($B158="","",IFERROR(VLOOKUP($B158,'מצרכים'!$A$3:$B$102,2,FALSE),""))</f>
        <v/>
      </c>
      <c r="E158" s="70" t="n"/>
      <c r="F158" s="85">
        <f>IF($A158="","",IFERROR($C158*VLOOKUP($A158,'תפריט השבת'!$A$4:$B$43,2,FALSE),0))</f>
        <v/>
      </c>
    </row>
    <row r="159" ht="20" customHeight="1">
      <c r="A159" s="80" t="n"/>
      <c r="B159" s="86" t="n"/>
      <c r="C159" s="69" t="n"/>
      <c r="D159" s="83">
        <f>IF($B159="","",IFERROR(VLOOKUP($B159,'מצרכים'!$A$3:$B$102,2,FALSE),""))</f>
        <v/>
      </c>
      <c r="E159" s="70" t="n"/>
      <c r="F159" s="85">
        <f>IF($A159="","",IFERROR($C159*VLOOKUP($A159,'תפריט השבת'!$A$4:$B$43,2,FALSE),0))</f>
        <v/>
      </c>
    </row>
    <row r="160" ht="20" customHeight="1">
      <c r="A160" s="80" t="n"/>
      <c r="B160" s="86" t="n"/>
      <c r="C160" s="69" t="n"/>
      <c r="D160" s="83">
        <f>IF($B160="","",IFERROR(VLOOKUP($B160,'מצרכים'!$A$3:$B$102,2,FALSE),""))</f>
        <v/>
      </c>
      <c r="E160" s="70" t="n"/>
      <c r="F160" s="85">
        <f>IF($A160="","",IFERROR($C160*VLOOKUP($A160,'תפריט השבת'!$A$4:$B$43,2,FALSE),0))</f>
        <v/>
      </c>
    </row>
    <row r="161" ht="20" customHeight="1">
      <c r="A161" s="80" t="n"/>
      <c r="B161" s="86" t="n"/>
      <c r="C161" s="69" t="n"/>
      <c r="D161" s="83">
        <f>IF($B161="","",IFERROR(VLOOKUP($B161,'מצרכים'!$A$3:$B$102,2,FALSE),""))</f>
        <v/>
      </c>
      <c r="E161" s="70" t="n"/>
      <c r="F161" s="85">
        <f>IF($A161="","",IFERROR($C161*VLOOKUP($A161,'תפריט השבת'!$A$4:$B$43,2,FALSE),0))</f>
        <v/>
      </c>
    </row>
    <row r="162" ht="20" customHeight="1">
      <c r="A162" s="80" t="n"/>
      <c r="B162" s="86" t="n"/>
      <c r="C162" s="69" t="n"/>
      <c r="D162" s="83">
        <f>IF($B162="","",IFERROR(VLOOKUP($B162,'מצרכים'!$A$3:$B$102,2,FALSE),""))</f>
        <v/>
      </c>
      <c r="E162" s="70" t="n"/>
      <c r="F162" s="85">
        <f>IF($A162="","",IFERROR($C162*VLOOKUP($A162,'תפריט השבת'!$A$4:$B$43,2,FALSE),0))</f>
        <v/>
      </c>
    </row>
    <row r="163" ht="20" customHeight="1">
      <c r="A163" s="80" t="n"/>
      <c r="B163" s="86" t="n"/>
      <c r="C163" s="69" t="n"/>
      <c r="D163" s="83">
        <f>IF($B163="","",IFERROR(VLOOKUP($B163,'מצרכים'!$A$3:$B$102,2,FALSE),""))</f>
        <v/>
      </c>
      <c r="E163" s="70" t="n"/>
      <c r="F163" s="85">
        <f>IF($A163="","",IFERROR($C163*VLOOKUP($A163,'תפריט השבת'!$A$4:$B$43,2,FALSE),0))</f>
        <v/>
      </c>
    </row>
    <row r="164" ht="20" customHeight="1">
      <c r="A164" s="80" t="n"/>
      <c r="B164" s="86" t="n"/>
      <c r="C164" s="69" t="n"/>
      <c r="D164" s="83">
        <f>IF($B164="","",IFERROR(VLOOKUP($B164,'מצרכים'!$A$3:$B$102,2,FALSE),""))</f>
        <v/>
      </c>
      <c r="E164" s="70" t="n"/>
      <c r="F164" s="85">
        <f>IF($A164="","",IFERROR($C164*VLOOKUP($A164,'תפריט השבת'!$A$4:$B$43,2,FALSE),0))</f>
        <v/>
      </c>
    </row>
    <row r="165" ht="20" customHeight="1">
      <c r="A165" s="80" t="n"/>
      <c r="B165" s="86" t="n"/>
      <c r="C165" s="69" t="n"/>
      <c r="D165" s="83">
        <f>IF($B165="","",IFERROR(VLOOKUP($B165,'מצרכים'!$A$3:$B$102,2,FALSE),""))</f>
        <v/>
      </c>
      <c r="E165" s="70" t="n"/>
      <c r="F165" s="85">
        <f>IF($A165="","",IFERROR($C165*VLOOKUP($A165,'תפריט השבת'!$A$4:$B$43,2,FALSE),0))</f>
        <v/>
      </c>
    </row>
    <row r="166" ht="20" customHeight="1">
      <c r="A166" s="80" t="n"/>
      <c r="B166" s="86" t="n"/>
      <c r="C166" s="69" t="n"/>
      <c r="D166" s="83">
        <f>IF($B166="","",IFERROR(VLOOKUP($B166,'מצרכים'!$A$3:$B$102,2,FALSE),""))</f>
        <v/>
      </c>
      <c r="E166" s="70" t="n"/>
      <c r="F166" s="85">
        <f>IF($A166="","",IFERROR($C166*VLOOKUP($A166,'תפריט השבת'!$A$4:$B$43,2,FALSE),0))</f>
        <v/>
      </c>
    </row>
    <row r="167" ht="20" customHeight="1">
      <c r="A167" s="80" t="n"/>
      <c r="B167" s="86" t="n"/>
      <c r="C167" s="69" t="n"/>
      <c r="D167" s="83">
        <f>IF($B167="","",IFERROR(VLOOKUP($B167,'מצרכים'!$A$3:$B$102,2,FALSE),""))</f>
        <v/>
      </c>
      <c r="E167" s="70" t="n"/>
      <c r="F167" s="85">
        <f>IF($A167="","",IFERROR($C167*VLOOKUP($A167,'תפריט השבת'!$A$4:$B$43,2,FALSE),0))</f>
        <v/>
      </c>
    </row>
    <row r="168" ht="20" customHeight="1">
      <c r="A168" s="80" t="n"/>
      <c r="B168" s="86" t="n"/>
      <c r="C168" s="69" t="n"/>
      <c r="D168" s="83">
        <f>IF($B168="","",IFERROR(VLOOKUP($B168,'מצרכים'!$A$3:$B$102,2,FALSE),""))</f>
        <v/>
      </c>
      <c r="E168" s="70" t="n"/>
      <c r="F168" s="85">
        <f>IF($A168="","",IFERROR($C168*VLOOKUP($A168,'תפריט השבת'!$A$4:$B$43,2,FALSE),0))</f>
        <v/>
      </c>
    </row>
    <row r="169" ht="20" customHeight="1">
      <c r="A169" s="80" t="n"/>
      <c r="B169" s="86" t="n"/>
      <c r="C169" s="69" t="n"/>
      <c r="D169" s="83">
        <f>IF($B169="","",IFERROR(VLOOKUP($B169,'מצרכים'!$A$3:$B$102,2,FALSE),""))</f>
        <v/>
      </c>
      <c r="E169" s="70" t="n"/>
      <c r="F169" s="85">
        <f>IF($A169="","",IFERROR($C169*VLOOKUP($A169,'תפריט השבת'!$A$4:$B$43,2,FALSE),0))</f>
        <v/>
      </c>
    </row>
    <row r="170" ht="20" customHeight="1">
      <c r="A170" s="80" t="n"/>
      <c r="B170" s="86" t="n"/>
      <c r="C170" s="69" t="n"/>
      <c r="D170" s="83">
        <f>IF($B170="","",IFERROR(VLOOKUP($B170,'מצרכים'!$A$3:$B$102,2,FALSE),""))</f>
        <v/>
      </c>
      <c r="E170" s="70" t="n"/>
      <c r="F170" s="85">
        <f>IF($A170="","",IFERROR($C170*VLOOKUP($A170,'תפריט השבת'!$A$4:$B$43,2,FALSE),0))</f>
        <v/>
      </c>
    </row>
    <row r="171" ht="20" customHeight="1">
      <c r="A171" s="80" t="n"/>
      <c r="B171" s="86" t="n"/>
      <c r="C171" s="69" t="n"/>
      <c r="D171" s="83">
        <f>IF($B171="","",IFERROR(VLOOKUP($B171,'מצרכים'!$A$3:$B$102,2,FALSE),""))</f>
        <v/>
      </c>
      <c r="E171" s="70" t="n"/>
      <c r="F171" s="85">
        <f>IF($A171="","",IFERROR($C171*VLOOKUP($A171,'תפריט השבת'!$A$4:$B$43,2,FALSE),0))</f>
        <v/>
      </c>
    </row>
    <row r="172" ht="20" customHeight="1">
      <c r="A172" s="80" t="n"/>
      <c r="B172" s="86" t="n"/>
      <c r="C172" s="69" t="n"/>
      <c r="D172" s="83">
        <f>IF($B172="","",IFERROR(VLOOKUP($B172,'מצרכים'!$A$3:$B$102,2,FALSE),""))</f>
        <v/>
      </c>
      <c r="E172" s="70" t="n"/>
      <c r="F172" s="85">
        <f>IF($A172="","",IFERROR($C172*VLOOKUP($A172,'תפריט השבת'!$A$4:$B$43,2,FALSE),0))</f>
        <v/>
      </c>
    </row>
    <row r="173" ht="20" customHeight="1">
      <c r="A173" s="80" t="n"/>
      <c r="B173" s="86" t="n"/>
      <c r="C173" s="69" t="n"/>
      <c r="D173" s="83">
        <f>IF($B173="","",IFERROR(VLOOKUP($B173,'מצרכים'!$A$3:$B$102,2,FALSE),""))</f>
        <v/>
      </c>
      <c r="E173" s="70" t="n"/>
      <c r="F173" s="85">
        <f>IF($A173="","",IFERROR($C173*VLOOKUP($A173,'תפריט השבת'!$A$4:$B$43,2,FALSE),0))</f>
        <v/>
      </c>
    </row>
    <row r="174" ht="20" customHeight="1">
      <c r="A174" s="80" t="n"/>
      <c r="B174" s="86" t="n"/>
      <c r="C174" s="69" t="n"/>
      <c r="D174" s="83">
        <f>IF($B174="","",IFERROR(VLOOKUP($B174,'מצרכים'!$A$3:$B$102,2,FALSE),""))</f>
        <v/>
      </c>
      <c r="E174" s="70" t="n"/>
      <c r="F174" s="85">
        <f>IF($A174="","",IFERROR($C174*VLOOKUP($A174,'תפריט השבת'!$A$4:$B$43,2,FALSE),0))</f>
        <v/>
      </c>
    </row>
    <row r="175" ht="20" customHeight="1">
      <c r="A175" s="80" t="n"/>
      <c r="B175" s="86" t="n"/>
      <c r="C175" s="69" t="n"/>
      <c r="D175" s="83">
        <f>IF($B175="","",IFERROR(VLOOKUP($B175,'מצרכים'!$A$3:$B$102,2,FALSE),""))</f>
        <v/>
      </c>
      <c r="E175" s="70" t="n"/>
      <c r="F175" s="85">
        <f>IF($A175="","",IFERROR($C175*VLOOKUP($A175,'תפריט השבת'!$A$4:$B$43,2,FALSE),0))</f>
        <v/>
      </c>
    </row>
    <row r="176" ht="20" customHeight="1">
      <c r="A176" s="80" t="n"/>
      <c r="B176" s="86" t="n"/>
      <c r="C176" s="69" t="n"/>
      <c r="D176" s="83">
        <f>IF($B176="","",IFERROR(VLOOKUP($B176,'מצרכים'!$A$3:$B$102,2,FALSE),""))</f>
        <v/>
      </c>
      <c r="E176" s="70" t="n"/>
      <c r="F176" s="85">
        <f>IF($A176="","",IFERROR($C176*VLOOKUP($A176,'תפריט השבת'!$A$4:$B$43,2,FALSE),0))</f>
        <v/>
      </c>
    </row>
    <row r="177" ht="20" customHeight="1">
      <c r="A177" s="80" t="n"/>
      <c r="B177" s="86" t="n"/>
      <c r="C177" s="69" t="n"/>
      <c r="D177" s="83">
        <f>IF($B177="","",IFERROR(VLOOKUP($B177,'מצרכים'!$A$3:$B$102,2,FALSE),""))</f>
        <v/>
      </c>
      <c r="E177" s="70" t="n"/>
      <c r="F177" s="85">
        <f>IF($A177="","",IFERROR($C177*VLOOKUP($A177,'תפריט השבת'!$A$4:$B$43,2,FALSE),0))</f>
        <v/>
      </c>
    </row>
    <row r="178" ht="20" customHeight="1">
      <c r="A178" s="80" t="n"/>
      <c r="B178" s="86" t="n"/>
      <c r="C178" s="69" t="n"/>
      <c r="D178" s="83">
        <f>IF($B178="","",IFERROR(VLOOKUP($B178,'מצרכים'!$A$3:$B$102,2,FALSE),""))</f>
        <v/>
      </c>
      <c r="E178" s="70" t="n"/>
      <c r="F178" s="85">
        <f>IF($A178="","",IFERROR($C178*VLOOKUP($A178,'תפריט השבת'!$A$4:$B$43,2,FALSE),0))</f>
        <v/>
      </c>
    </row>
    <row r="179" ht="20" customHeight="1">
      <c r="A179" s="80" t="n"/>
      <c r="B179" s="86" t="n"/>
      <c r="C179" s="69" t="n"/>
      <c r="D179" s="83">
        <f>IF($B179="","",IFERROR(VLOOKUP($B179,'מצרכים'!$A$3:$B$102,2,FALSE),""))</f>
        <v/>
      </c>
      <c r="E179" s="70" t="n"/>
      <c r="F179" s="85">
        <f>IF($A179="","",IFERROR($C179*VLOOKUP($A179,'תפריט השבת'!$A$4:$B$43,2,FALSE),0))</f>
        <v/>
      </c>
    </row>
    <row r="180" ht="20" customHeight="1">
      <c r="A180" s="80" t="n"/>
      <c r="B180" s="86" t="n"/>
      <c r="C180" s="69" t="n"/>
      <c r="D180" s="83">
        <f>IF($B180="","",IFERROR(VLOOKUP($B180,'מצרכים'!$A$3:$B$102,2,FALSE),""))</f>
        <v/>
      </c>
      <c r="E180" s="70" t="n"/>
      <c r="F180" s="85">
        <f>IF($A180="","",IFERROR($C180*VLOOKUP($A180,'תפריט השבת'!$A$4:$B$43,2,FALSE),0))</f>
        <v/>
      </c>
    </row>
    <row r="181" ht="20" customHeight="1">
      <c r="A181" s="80" t="n"/>
      <c r="B181" s="86" t="n"/>
      <c r="C181" s="69" t="n"/>
      <c r="D181" s="83">
        <f>IF($B181="","",IFERROR(VLOOKUP($B181,'מצרכים'!$A$3:$B$102,2,FALSE),""))</f>
        <v/>
      </c>
      <c r="E181" s="70" t="n"/>
      <c r="F181" s="85">
        <f>IF($A181="","",IFERROR($C181*VLOOKUP($A181,'תפריט השבת'!$A$4:$B$43,2,FALSE),0))</f>
        <v/>
      </c>
    </row>
    <row r="182" ht="20" customHeight="1">
      <c r="A182" s="80" t="n"/>
      <c r="B182" s="86" t="n"/>
      <c r="C182" s="69" t="n"/>
      <c r="D182" s="83">
        <f>IF($B182="","",IFERROR(VLOOKUP($B182,'מצרכים'!$A$3:$B$102,2,FALSE),""))</f>
        <v/>
      </c>
      <c r="E182" s="70" t="n"/>
      <c r="F182" s="85">
        <f>IF($A182="","",IFERROR($C182*VLOOKUP($A182,'תפריט השבת'!$A$4:$B$43,2,FALSE),0))</f>
        <v/>
      </c>
    </row>
    <row r="183" ht="20" customHeight="1">
      <c r="A183" s="80" t="n"/>
      <c r="B183" s="86" t="n"/>
      <c r="C183" s="69" t="n"/>
      <c r="D183" s="83">
        <f>IF($B183="","",IFERROR(VLOOKUP($B183,'מצרכים'!$A$3:$B$102,2,FALSE),""))</f>
        <v/>
      </c>
      <c r="E183" s="70" t="n"/>
      <c r="F183" s="85">
        <f>IF($A183="","",IFERROR($C183*VLOOKUP($A183,'תפריט השבת'!$A$4:$B$43,2,FALSE),0))</f>
        <v/>
      </c>
    </row>
    <row r="184" ht="20" customHeight="1">
      <c r="A184" s="80" t="n"/>
      <c r="B184" s="86" t="n"/>
      <c r="C184" s="69" t="n"/>
      <c r="D184" s="83">
        <f>IF($B184="","",IFERROR(VLOOKUP($B184,'מצרכים'!$A$3:$B$102,2,FALSE),""))</f>
        <v/>
      </c>
      <c r="E184" s="70" t="n"/>
      <c r="F184" s="85">
        <f>IF($A184="","",IFERROR($C184*VLOOKUP($A184,'תפריט השבת'!$A$4:$B$43,2,FALSE),0))</f>
        <v/>
      </c>
    </row>
    <row r="185" ht="20" customHeight="1">
      <c r="A185" s="80" t="n"/>
      <c r="B185" s="86" t="n"/>
      <c r="C185" s="69" t="n"/>
      <c r="D185" s="83">
        <f>IF($B185="","",IFERROR(VLOOKUP($B185,'מצרכים'!$A$3:$B$102,2,FALSE),""))</f>
        <v/>
      </c>
      <c r="E185" s="70" t="n"/>
      <c r="F185" s="85">
        <f>IF($A185="","",IFERROR($C185*VLOOKUP($A185,'תפריט השבת'!$A$4:$B$43,2,FALSE),0))</f>
        <v/>
      </c>
    </row>
    <row r="186" ht="20" customHeight="1">
      <c r="A186" s="80" t="n"/>
      <c r="B186" s="86" t="n"/>
      <c r="C186" s="69" t="n"/>
      <c r="D186" s="83">
        <f>IF($B186="","",IFERROR(VLOOKUP($B186,'מצרכים'!$A$3:$B$102,2,FALSE),""))</f>
        <v/>
      </c>
      <c r="E186" s="70" t="n"/>
      <c r="F186" s="85">
        <f>IF($A186="","",IFERROR($C186*VLOOKUP($A186,'תפריט השבת'!$A$4:$B$43,2,FALSE),0))</f>
        <v/>
      </c>
    </row>
    <row r="187" ht="20" customHeight="1">
      <c r="A187" s="80" t="n"/>
      <c r="B187" s="86" t="n"/>
      <c r="C187" s="69" t="n"/>
      <c r="D187" s="83">
        <f>IF($B187="","",IFERROR(VLOOKUP($B187,'מצרכים'!$A$3:$B$102,2,FALSE),""))</f>
        <v/>
      </c>
      <c r="E187" s="70" t="n"/>
      <c r="F187" s="85">
        <f>IF($A187="","",IFERROR($C187*VLOOKUP($A187,'תפריט השבת'!$A$4:$B$43,2,FALSE),0))</f>
        <v/>
      </c>
    </row>
    <row r="188" ht="20" customHeight="1">
      <c r="A188" s="80" t="n"/>
      <c r="B188" s="86" t="n"/>
      <c r="C188" s="69" t="n"/>
      <c r="D188" s="83">
        <f>IF($B188="","",IFERROR(VLOOKUP($B188,'מצרכים'!$A$3:$B$102,2,FALSE),""))</f>
        <v/>
      </c>
      <c r="E188" s="70" t="n"/>
      <c r="F188" s="85">
        <f>IF($A188="","",IFERROR($C188*VLOOKUP($A188,'תפריט השבת'!$A$4:$B$43,2,FALSE),0))</f>
        <v/>
      </c>
    </row>
    <row r="189" ht="20" customHeight="1">
      <c r="A189" s="80" t="n"/>
      <c r="B189" s="86" t="n"/>
      <c r="C189" s="69" t="n"/>
      <c r="D189" s="83">
        <f>IF($B189="","",IFERROR(VLOOKUP($B189,'מצרכים'!$A$3:$B$102,2,FALSE),""))</f>
        <v/>
      </c>
      <c r="E189" s="70" t="n"/>
      <c r="F189" s="85">
        <f>IF($A189="","",IFERROR($C189*VLOOKUP($A189,'תפריט השבת'!$A$4:$B$43,2,FALSE),0))</f>
        <v/>
      </c>
    </row>
    <row r="190" ht="20" customHeight="1">
      <c r="A190" s="80" t="n"/>
      <c r="B190" s="86" t="n"/>
      <c r="C190" s="69" t="n"/>
      <c r="D190" s="83">
        <f>IF($B190="","",IFERROR(VLOOKUP($B190,'מצרכים'!$A$3:$B$102,2,FALSE),""))</f>
        <v/>
      </c>
      <c r="E190" s="70" t="n"/>
      <c r="F190" s="85">
        <f>IF($A190="","",IFERROR($C190*VLOOKUP($A190,'תפריט השבת'!$A$4:$B$43,2,FALSE),0))</f>
        <v/>
      </c>
    </row>
    <row r="191" ht="20" customHeight="1">
      <c r="A191" s="80" t="n"/>
      <c r="B191" s="86" t="n"/>
      <c r="C191" s="69" t="n"/>
      <c r="D191" s="83">
        <f>IF($B191="","",IFERROR(VLOOKUP($B191,'מצרכים'!$A$3:$B$102,2,FALSE),""))</f>
        <v/>
      </c>
      <c r="E191" s="70" t="n"/>
      <c r="F191" s="85">
        <f>IF($A191="","",IFERROR($C191*VLOOKUP($A191,'תפריט השבת'!$A$4:$B$43,2,FALSE),0))</f>
        <v/>
      </c>
    </row>
    <row r="192" ht="20" customHeight="1">
      <c r="A192" s="80" t="n"/>
      <c r="B192" s="86" t="n"/>
      <c r="C192" s="69" t="n"/>
      <c r="D192" s="83">
        <f>IF($B192="","",IFERROR(VLOOKUP($B192,'מצרכים'!$A$3:$B$102,2,FALSE),""))</f>
        <v/>
      </c>
      <c r="E192" s="70" t="n"/>
      <c r="F192" s="85">
        <f>IF($A192="","",IFERROR($C192*VLOOKUP($A192,'תפריט השבת'!$A$4:$B$43,2,FALSE),0))</f>
        <v/>
      </c>
    </row>
    <row r="193" ht="20" customHeight="1">
      <c r="A193" s="80" t="n"/>
      <c r="B193" s="86" t="n"/>
      <c r="C193" s="69" t="n"/>
      <c r="D193" s="83">
        <f>IF($B193="","",IFERROR(VLOOKUP($B193,'מצרכים'!$A$3:$B$102,2,FALSE),""))</f>
        <v/>
      </c>
      <c r="E193" s="70" t="n"/>
      <c r="F193" s="85">
        <f>IF($A193="","",IFERROR($C193*VLOOKUP($A193,'תפריט השבת'!$A$4:$B$43,2,FALSE),0))</f>
        <v/>
      </c>
    </row>
    <row r="194" ht="20" customHeight="1">
      <c r="A194" s="80" t="n"/>
      <c r="B194" s="86" t="n"/>
      <c r="C194" s="69" t="n"/>
      <c r="D194" s="83">
        <f>IF($B194="","",IFERROR(VLOOKUP($B194,'מצרכים'!$A$3:$B$102,2,FALSE),""))</f>
        <v/>
      </c>
      <c r="E194" s="70" t="n"/>
      <c r="F194" s="85">
        <f>IF($A194="","",IFERROR($C194*VLOOKUP($A194,'תפריט השבת'!$A$4:$B$43,2,FALSE),0))</f>
        <v/>
      </c>
    </row>
    <row r="195" ht="20" customHeight="1">
      <c r="A195" s="80" t="n"/>
      <c r="B195" s="86" t="n"/>
      <c r="C195" s="69" t="n"/>
      <c r="D195" s="83">
        <f>IF($B195="","",IFERROR(VLOOKUP($B195,'מצרכים'!$A$3:$B$102,2,FALSE),""))</f>
        <v/>
      </c>
      <c r="E195" s="70" t="n"/>
      <c r="F195" s="85">
        <f>IF($A195="","",IFERROR($C195*VLOOKUP($A195,'תפריט השבת'!$A$4:$B$43,2,FALSE),0))</f>
        <v/>
      </c>
    </row>
    <row r="196" ht="20" customHeight="1">
      <c r="A196" s="80" t="n"/>
      <c r="B196" s="86" t="n"/>
      <c r="C196" s="69" t="n"/>
      <c r="D196" s="83">
        <f>IF($B196="","",IFERROR(VLOOKUP($B196,'מצרכים'!$A$3:$B$102,2,FALSE),""))</f>
        <v/>
      </c>
      <c r="E196" s="70" t="n"/>
      <c r="F196" s="85">
        <f>IF($A196="","",IFERROR($C196*VLOOKUP($A196,'תפריט השבת'!$A$4:$B$43,2,FALSE),0))</f>
        <v/>
      </c>
    </row>
    <row r="197" ht="20" customHeight="1">
      <c r="A197" s="80" t="n"/>
      <c r="B197" s="86" t="n"/>
      <c r="C197" s="69" t="n"/>
      <c r="D197" s="83">
        <f>IF($B197="","",IFERROR(VLOOKUP($B197,'מצרכים'!$A$3:$B$102,2,FALSE),""))</f>
        <v/>
      </c>
      <c r="E197" s="70" t="n"/>
      <c r="F197" s="85">
        <f>IF($A197="","",IFERROR($C197*VLOOKUP($A197,'תפריט השבת'!$A$4:$B$43,2,FALSE),0))</f>
        <v/>
      </c>
    </row>
    <row r="198" ht="20" customHeight="1">
      <c r="A198" s="80" t="n"/>
      <c r="B198" s="86" t="n"/>
      <c r="C198" s="69" t="n"/>
      <c r="D198" s="83">
        <f>IF($B198="","",IFERROR(VLOOKUP($B198,'מצרכים'!$A$3:$B$102,2,FALSE),""))</f>
        <v/>
      </c>
      <c r="E198" s="70" t="n"/>
      <c r="F198" s="85">
        <f>IF($A198="","",IFERROR($C198*VLOOKUP($A198,'תפריט השבת'!$A$4:$B$43,2,FALSE),0))</f>
        <v/>
      </c>
    </row>
    <row r="199" ht="20" customHeight="1">
      <c r="A199" s="80" t="n"/>
      <c r="B199" s="86" t="n"/>
      <c r="C199" s="69" t="n"/>
      <c r="D199" s="83">
        <f>IF($B199="","",IFERROR(VLOOKUP($B199,'מצרכים'!$A$3:$B$102,2,FALSE),""))</f>
        <v/>
      </c>
      <c r="E199" s="70" t="n"/>
      <c r="F199" s="85">
        <f>IF($A199="","",IFERROR($C199*VLOOKUP($A199,'תפריט השבת'!$A$4:$B$43,2,FALSE),0))</f>
        <v/>
      </c>
    </row>
    <row r="200" ht="20" customHeight="1">
      <c r="A200" s="80" t="n"/>
      <c r="B200" s="86" t="n"/>
      <c r="C200" s="69" t="n"/>
      <c r="D200" s="83">
        <f>IF($B200="","",IFERROR(VLOOKUP($B200,'מצרכים'!$A$3:$B$102,2,FALSE),""))</f>
        <v/>
      </c>
      <c r="E200" s="70" t="n"/>
      <c r="F200" s="85">
        <f>IF($A200="","",IFERROR($C200*VLOOKUP($A200,'תפריט השבת'!$A$4:$B$43,2,FALSE),0))</f>
        <v/>
      </c>
    </row>
    <row r="201" ht="20" customHeight="1">
      <c r="A201" s="80" t="n"/>
      <c r="B201" s="86" t="n"/>
      <c r="C201" s="69" t="n"/>
      <c r="D201" s="83">
        <f>IF($B201="","",IFERROR(VLOOKUP($B201,'מצרכים'!$A$3:$B$102,2,FALSE),""))</f>
        <v/>
      </c>
      <c r="E201" s="70" t="n"/>
      <c r="F201" s="85">
        <f>IF($A201="","",IFERROR($C201*VLOOKUP($A201,'תפריט השבת'!$A$4:$B$43,2,FALSE),0))</f>
        <v/>
      </c>
    </row>
    <row r="202" ht="20" customHeight="1">
      <c r="A202" s="80" t="n"/>
      <c r="B202" s="86" t="n"/>
      <c r="C202" s="69" t="n"/>
      <c r="D202" s="83">
        <f>IF($B202="","",IFERROR(VLOOKUP($B202,'מצרכים'!$A$3:$B$102,2,FALSE),""))</f>
        <v/>
      </c>
      <c r="E202" s="70" t="n"/>
      <c r="F202" s="85">
        <f>IF($A202="","",IFERROR($C202*VLOOKUP($A202,'תפריט השבת'!$A$4:$B$43,2,FALSE),0))</f>
        <v/>
      </c>
    </row>
    <row r="203" ht="20" customHeight="1">
      <c r="A203" s="80" t="n"/>
      <c r="B203" s="86" t="n"/>
      <c r="C203" s="69" t="n"/>
      <c r="D203" s="83">
        <f>IF($B203="","",IFERROR(VLOOKUP($B203,'מצרכים'!$A$3:$B$102,2,FALSE),""))</f>
        <v/>
      </c>
      <c r="E203" s="70" t="n"/>
      <c r="F203" s="85">
        <f>IF($A203="","",IFERROR($C203*VLOOKUP($A203,'תפריט השבת'!$A$4:$B$43,2,FALSE),0))</f>
        <v/>
      </c>
    </row>
    <row r="204" ht="20" customHeight="1">
      <c r="A204" s="80" t="n"/>
      <c r="B204" s="86" t="n"/>
      <c r="C204" s="69" t="n"/>
      <c r="D204" s="83">
        <f>IF($B204="","",IFERROR(VLOOKUP($B204,'מצרכים'!$A$3:$B$102,2,FALSE),""))</f>
        <v/>
      </c>
      <c r="E204" s="70" t="n"/>
      <c r="F204" s="85">
        <f>IF($A204="","",IFERROR($C204*VLOOKUP($A204,'תפריט השבת'!$A$4:$B$43,2,FALSE),0))</f>
        <v/>
      </c>
    </row>
    <row r="205" ht="20" customHeight="1">
      <c r="A205" s="80" t="n"/>
      <c r="B205" s="86" t="n"/>
      <c r="C205" s="69" t="n"/>
      <c r="D205" s="83">
        <f>IF($B205="","",IFERROR(VLOOKUP($B205,'מצרכים'!$A$3:$B$102,2,FALSE),""))</f>
        <v/>
      </c>
      <c r="E205" s="70" t="n"/>
      <c r="F205" s="85">
        <f>IF($A205="","",IFERROR($C205*VLOOKUP($A205,'תפריט השבת'!$A$4:$B$43,2,FALSE),0))</f>
        <v/>
      </c>
    </row>
    <row r="206" ht="20" customHeight="1">
      <c r="A206" s="80" t="n"/>
      <c r="B206" s="86" t="n"/>
      <c r="C206" s="69" t="n"/>
      <c r="D206" s="83">
        <f>IF($B206="","",IFERROR(VLOOKUP($B206,'מצרכים'!$A$3:$B$102,2,FALSE),""))</f>
        <v/>
      </c>
      <c r="E206" s="70" t="n"/>
      <c r="F206" s="85">
        <f>IF($A206="","",IFERROR($C206*VLOOKUP($A206,'תפריט השבת'!$A$4:$B$43,2,FALSE),0))</f>
        <v/>
      </c>
    </row>
    <row r="207" ht="20" customHeight="1">
      <c r="A207" s="80" t="n"/>
      <c r="B207" s="86" t="n"/>
      <c r="C207" s="69" t="n"/>
      <c r="D207" s="83">
        <f>IF($B207="","",IFERROR(VLOOKUP($B207,'מצרכים'!$A$3:$B$102,2,FALSE),""))</f>
        <v/>
      </c>
      <c r="E207" s="70" t="n"/>
      <c r="F207" s="85">
        <f>IF($A207="","",IFERROR($C207*VLOOKUP($A207,'תפריט השבת'!$A$4:$B$43,2,FALSE),0))</f>
        <v/>
      </c>
    </row>
    <row r="208" ht="20" customHeight="1">
      <c r="A208" s="80" t="n"/>
      <c r="B208" s="86" t="n"/>
      <c r="C208" s="69" t="n"/>
      <c r="D208" s="83">
        <f>IF($B208="","",IFERROR(VLOOKUP($B208,'מצרכים'!$A$3:$B$102,2,FALSE),""))</f>
        <v/>
      </c>
      <c r="E208" s="70" t="n"/>
      <c r="F208" s="85">
        <f>IF($A208="","",IFERROR($C208*VLOOKUP($A208,'תפריט השבת'!$A$4:$B$43,2,FALSE),0))</f>
        <v/>
      </c>
    </row>
    <row r="209" ht="20" customHeight="1">
      <c r="A209" s="80" t="n"/>
      <c r="B209" s="86" t="n"/>
      <c r="C209" s="69" t="n"/>
      <c r="D209" s="83">
        <f>IF($B209="","",IFERROR(VLOOKUP($B209,'מצרכים'!$A$3:$B$102,2,FALSE),""))</f>
        <v/>
      </c>
      <c r="E209" s="70" t="n"/>
      <c r="F209" s="85">
        <f>IF($A209="","",IFERROR($C209*VLOOKUP($A209,'תפריט השבת'!$A$4:$B$43,2,FALSE),0))</f>
        <v/>
      </c>
    </row>
    <row r="210" ht="20" customHeight="1">
      <c r="A210" s="80" t="n"/>
      <c r="B210" s="86" t="n"/>
      <c r="C210" s="69" t="n"/>
      <c r="D210" s="83">
        <f>IF($B210="","",IFERROR(VLOOKUP($B210,'מצרכים'!$A$3:$B$102,2,FALSE),""))</f>
        <v/>
      </c>
      <c r="E210" s="70" t="n"/>
      <c r="F210" s="85">
        <f>IF($A210="","",IFERROR($C210*VLOOKUP($A210,'תפריט השבת'!$A$4:$B$43,2,FALSE),0))</f>
        <v/>
      </c>
    </row>
    <row r="211" ht="20" customHeight="1">
      <c r="A211" s="80" t="n"/>
      <c r="B211" s="86" t="n"/>
      <c r="C211" s="69" t="n"/>
      <c r="D211" s="83">
        <f>IF($B211="","",IFERROR(VLOOKUP($B211,'מצרכים'!$A$3:$B$102,2,FALSE),""))</f>
        <v/>
      </c>
      <c r="E211" s="70" t="n"/>
      <c r="F211" s="85">
        <f>IF($A211="","",IFERROR($C211*VLOOKUP($A211,'תפריט השבת'!$A$4:$B$43,2,FALSE),0))</f>
        <v/>
      </c>
    </row>
    <row r="212" ht="20" customHeight="1">
      <c r="A212" s="80" t="n"/>
      <c r="B212" s="86" t="n"/>
      <c r="C212" s="69" t="n"/>
      <c r="D212" s="83">
        <f>IF($B212="","",IFERROR(VLOOKUP($B212,'מצרכים'!$A$3:$B$102,2,FALSE),""))</f>
        <v/>
      </c>
      <c r="E212" s="70" t="n"/>
      <c r="F212" s="85">
        <f>IF($A212="","",IFERROR($C212*VLOOKUP($A212,'תפריט השבת'!$A$4:$B$43,2,FALSE),0))</f>
        <v/>
      </c>
    </row>
    <row r="213" ht="20" customHeight="1">
      <c r="A213" s="80" t="n"/>
      <c r="B213" s="86" t="n"/>
      <c r="C213" s="69" t="n"/>
      <c r="D213" s="83">
        <f>IF($B213="","",IFERROR(VLOOKUP($B213,'מצרכים'!$A$3:$B$102,2,FALSE),""))</f>
        <v/>
      </c>
      <c r="E213" s="70" t="n"/>
      <c r="F213" s="85">
        <f>IF($A213="","",IFERROR($C213*VLOOKUP($A213,'תפריט השבת'!$A$4:$B$43,2,FALSE),0))</f>
        <v/>
      </c>
    </row>
    <row r="214" ht="20" customHeight="1">
      <c r="A214" s="80" t="n"/>
      <c r="B214" s="86" t="n"/>
      <c r="C214" s="69" t="n"/>
      <c r="D214" s="83">
        <f>IF($B214="","",IFERROR(VLOOKUP($B214,'מצרכים'!$A$3:$B$102,2,FALSE),""))</f>
        <v/>
      </c>
      <c r="E214" s="70" t="n"/>
      <c r="F214" s="85">
        <f>IF($A214="","",IFERROR($C214*VLOOKUP($A214,'תפריט השבת'!$A$4:$B$43,2,FALSE),0))</f>
        <v/>
      </c>
    </row>
    <row r="215" ht="20" customHeight="1">
      <c r="A215" s="80" t="n"/>
      <c r="B215" s="86" t="n"/>
      <c r="C215" s="69" t="n"/>
      <c r="D215" s="83">
        <f>IF($B215="","",IFERROR(VLOOKUP($B215,'מצרכים'!$A$3:$B$102,2,FALSE),""))</f>
        <v/>
      </c>
      <c r="E215" s="70" t="n"/>
      <c r="F215" s="85">
        <f>IF($A215="","",IFERROR($C215*VLOOKUP($A215,'תפריט השבת'!$A$4:$B$43,2,FALSE),0))</f>
        <v/>
      </c>
    </row>
    <row r="216" ht="20" customHeight="1">
      <c r="A216" s="80" t="n"/>
      <c r="B216" s="86" t="n"/>
      <c r="C216" s="69" t="n"/>
      <c r="D216" s="83">
        <f>IF($B216="","",IFERROR(VLOOKUP($B216,'מצרכים'!$A$3:$B$102,2,FALSE),""))</f>
        <v/>
      </c>
      <c r="E216" s="70" t="n"/>
      <c r="F216" s="85">
        <f>IF($A216="","",IFERROR($C216*VLOOKUP($A216,'תפריט השבת'!$A$4:$B$43,2,FALSE),0))</f>
        <v/>
      </c>
    </row>
    <row r="217" ht="20" customHeight="1">
      <c r="A217" s="80" t="n"/>
      <c r="B217" s="86" t="n"/>
      <c r="C217" s="69" t="n"/>
      <c r="D217" s="83">
        <f>IF($B217="","",IFERROR(VLOOKUP($B217,'מצרכים'!$A$3:$B$102,2,FALSE),""))</f>
        <v/>
      </c>
      <c r="E217" s="70" t="n"/>
      <c r="F217" s="85">
        <f>IF($A217="","",IFERROR($C217*VLOOKUP($A217,'תפריט השבת'!$A$4:$B$43,2,FALSE),0))</f>
        <v/>
      </c>
    </row>
    <row r="218" ht="20" customHeight="1">
      <c r="A218" s="80" t="n"/>
      <c r="B218" s="86" t="n"/>
      <c r="C218" s="69" t="n"/>
      <c r="D218" s="83">
        <f>IF($B218="","",IFERROR(VLOOKUP($B218,'מצרכים'!$A$3:$B$102,2,FALSE),""))</f>
        <v/>
      </c>
      <c r="E218" s="70" t="n"/>
      <c r="F218" s="85">
        <f>IF($A218="","",IFERROR($C218*VLOOKUP($A218,'תפריט השבת'!$A$4:$B$43,2,FALSE),0))</f>
        <v/>
      </c>
    </row>
    <row r="219" ht="20" customHeight="1">
      <c r="A219" s="80" t="n"/>
      <c r="B219" s="86" t="n"/>
      <c r="C219" s="69" t="n"/>
      <c r="D219" s="83">
        <f>IF($B219="","",IFERROR(VLOOKUP($B219,'מצרכים'!$A$3:$B$102,2,FALSE),""))</f>
        <v/>
      </c>
      <c r="E219" s="70" t="n"/>
      <c r="F219" s="85">
        <f>IF($A219="","",IFERROR($C219*VLOOKUP($A219,'תפריט השבת'!$A$4:$B$43,2,FALSE),0))</f>
        <v/>
      </c>
    </row>
    <row r="220" ht="20" customHeight="1">
      <c r="A220" s="80" t="n"/>
      <c r="B220" s="86" t="n"/>
      <c r="C220" s="69" t="n"/>
      <c r="D220" s="83">
        <f>IF($B220="","",IFERROR(VLOOKUP($B220,'מצרכים'!$A$3:$B$102,2,FALSE),""))</f>
        <v/>
      </c>
      <c r="E220" s="70" t="n"/>
      <c r="F220" s="85">
        <f>IF($A220="","",IFERROR($C220*VLOOKUP($A220,'תפריט השבת'!$A$4:$B$43,2,FALSE),0))</f>
        <v/>
      </c>
    </row>
    <row r="221" ht="20" customHeight="1">
      <c r="A221" s="80" t="n"/>
      <c r="B221" s="86" t="n"/>
      <c r="C221" s="69" t="n"/>
      <c r="D221" s="83">
        <f>IF($B221="","",IFERROR(VLOOKUP($B221,'מצרכים'!$A$3:$B$102,2,FALSE),""))</f>
        <v/>
      </c>
      <c r="E221" s="70" t="n"/>
      <c r="F221" s="85">
        <f>IF($A221="","",IFERROR($C221*VLOOKUP($A221,'תפריט השבת'!$A$4:$B$43,2,FALSE),0))</f>
        <v/>
      </c>
    </row>
    <row r="222" ht="20" customHeight="1">
      <c r="A222" s="80" t="n"/>
      <c r="B222" s="86" t="n"/>
      <c r="C222" s="69" t="n"/>
      <c r="D222" s="83">
        <f>IF($B222="","",IFERROR(VLOOKUP($B222,'מצרכים'!$A$3:$B$102,2,FALSE),""))</f>
        <v/>
      </c>
      <c r="E222" s="70" t="n"/>
      <c r="F222" s="85">
        <f>IF($A222="","",IFERROR($C222*VLOOKUP($A222,'תפריט השבת'!$A$4:$B$43,2,FALSE),0))</f>
        <v/>
      </c>
    </row>
    <row r="223" ht="20" customHeight="1">
      <c r="A223" s="80" t="n"/>
      <c r="B223" s="86" t="n"/>
      <c r="C223" s="69" t="n"/>
      <c r="D223" s="83">
        <f>IF($B223="","",IFERROR(VLOOKUP($B223,'מצרכים'!$A$3:$B$102,2,FALSE),""))</f>
        <v/>
      </c>
      <c r="E223" s="70" t="n"/>
      <c r="F223" s="85">
        <f>IF($A223="","",IFERROR($C223*VLOOKUP($A223,'תפריט השבת'!$A$4:$B$43,2,FALSE),0))</f>
        <v/>
      </c>
    </row>
    <row r="224" ht="20" customHeight="1">
      <c r="A224" s="80" t="n"/>
      <c r="B224" s="86" t="n"/>
      <c r="C224" s="69" t="n"/>
      <c r="D224" s="83">
        <f>IF($B224="","",IFERROR(VLOOKUP($B224,'מצרכים'!$A$3:$B$102,2,FALSE),""))</f>
        <v/>
      </c>
      <c r="E224" s="70" t="n"/>
      <c r="F224" s="85">
        <f>IF($A224="","",IFERROR($C224*VLOOKUP($A224,'תפריט השבת'!$A$4:$B$43,2,FALSE),0))</f>
        <v/>
      </c>
    </row>
    <row r="225" ht="20" customHeight="1">
      <c r="A225" s="80" t="n"/>
      <c r="B225" s="86" t="n"/>
      <c r="C225" s="69" t="n"/>
      <c r="D225" s="83">
        <f>IF($B225="","",IFERROR(VLOOKUP($B225,'מצרכים'!$A$3:$B$102,2,FALSE),""))</f>
        <v/>
      </c>
      <c r="E225" s="70" t="n"/>
      <c r="F225" s="85">
        <f>IF($A225="","",IFERROR($C225*VLOOKUP($A225,'תפריט השבת'!$A$4:$B$43,2,FALSE),0))</f>
        <v/>
      </c>
    </row>
    <row r="226" ht="20" customHeight="1">
      <c r="A226" s="80" t="n"/>
      <c r="B226" s="86" t="n"/>
      <c r="C226" s="69" t="n"/>
      <c r="D226" s="83">
        <f>IF($B226="","",IFERROR(VLOOKUP($B226,'מצרכים'!$A$3:$B$102,2,FALSE),""))</f>
        <v/>
      </c>
      <c r="E226" s="70" t="n"/>
      <c r="F226" s="85">
        <f>IF($A226="","",IFERROR($C226*VLOOKUP($A226,'תפריט השבת'!$A$4:$B$43,2,FALSE),0))</f>
        <v/>
      </c>
    </row>
    <row r="227" ht="20" customHeight="1">
      <c r="A227" s="80" t="n"/>
      <c r="B227" s="86" t="n"/>
      <c r="C227" s="69" t="n"/>
      <c r="D227" s="83">
        <f>IF($B227="","",IFERROR(VLOOKUP($B227,'מצרכים'!$A$3:$B$102,2,FALSE),""))</f>
        <v/>
      </c>
      <c r="E227" s="70" t="n"/>
      <c r="F227" s="85">
        <f>IF($A227="","",IFERROR($C227*VLOOKUP($A227,'תפריט השבת'!$A$4:$B$43,2,FALSE),0))</f>
        <v/>
      </c>
    </row>
    <row r="228" ht="20" customHeight="1">
      <c r="A228" s="80" t="n"/>
      <c r="B228" s="86" t="n"/>
      <c r="C228" s="69" t="n"/>
      <c r="D228" s="83">
        <f>IF($B228="","",IFERROR(VLOOKUP($B228,'מצרכים'!$A$3:$B$102,2,FALSE),""))</f>
        <v/>
      </c>
      <c r="E228" s="70" t="n"/>
      <c r="F228" s="85">
        <f>IF($A228="","",IFERROR($C228*VLOOKUP($A228,'תפריט השבת'!$A$4:$B$43,2,FALSE),0))</f>
        <v/>
      </c>
    </row>
    <row r="229" ht="20" customHeight="1">
      <c r="A229" s="80" t="n"/>
      <c r="B229" s="86" t="n"/>
      <c r="C229" s="69" t="n"/>
      <c r="D229" s="83">
        <f>IF($B229="","",IFERROR(VLOOKUP($B229,'מצרכים'!$A$3:$B$102,2,FALSE),""))</f>
        <v/>
      </c>
      <c r="E229" s="70" t="n"/>
      <c r="F229" s="85">
        <f>IF($A229="","",IFERROR($C229*VLOOKUP($A229,'תפריט השבת'!$A$4:$B$43,2,FALSE),0))</f>
        <v/>
      </c>
    </row>
    <row r="230" ht="20" customHeight="1">
      <c r="A230" s="80" t="n"/>
      <c r="B230" s="86" t="n"/>
      <c r="C230" s="69" t="n"/>
      <c r="D230" s="83">
        <f>IF($B230="","",IFERROR(VLOOKUP($B230,'מצרכים'!$A$3:$B$102,2,FALSE),""))</f>
        <v/>
      </c>
      <c r="E230" s="70" t="n"/>
      <c r="F230" s="85">
        <f>IF($A230="","",IFERROR($C230*VLOOKUP($A230,'תפריט השבת'!$A$4:$B$43,2,FALSE),0))</f>
        <v/>
      </c>
    </row>
    <row r="231" ht="20" customHeight="1">
      <c r="A231" s="80" t="n"/>
      <c r="B231" s="86" t="n"/>
      <c r="C231" s="69" t="n"/>
      <c r="D231" s="83">
        <f>IF($B231="","",IFERROR(VLOOKUP($B231,'מצרכים'!$A$3:$B$102,2,FALSE),""))</f>
        <v/>
      </c>
      <c r="E231" s="70" t="n"/>
      <c r="F231" s="85">
        <f>IF($A231="","",IFERROR($C231*VLOOKUP($A231,'תפריט השבת'!$A$4:$B$43,2,FALSE),0))</f>
        <v/>
      </c>
    </row>
    <row r="232" ht="20" customHeight="1">
      <c r="A232" s="80" t="n"/>
      <c r="B232" s="86" t="n"/>
      <c r="C232" s="69" t="n"/>
      <c r="D232" s="83">
        <f>IF($B232="","",IFERROR(VLOOKUP($B232,'מצרכים'!$A$3:$B$102,2,FALSE),""))</f>
        <v/>
      </c>
      <c r="E232" s="70" t="n"/>
      <c r="F232" s="85">
        <f>IF($A232="","",IFERROR($C232*VLOOKUP($A232,'תפריט השבת'!$A$4:$B$43,2,FALSE),0))</f>
        <v/>
      </c>
    </row>
    <row r="233" ht="20" customHeight="1">
      <c r="A233" s="80" t="n"/>
      <c r="B233" s="86" t="n"/>
      <c r="C233" s="69" t="n"/>
      <c r="D233" s="83">
        <f>IF($B233="","",IFERROR(VLOOKUP($B233,'מצרכים'!$A$3:$B$102,2,FALSE),""))</f>
        <v/>
      </c>
      <c r="E233" s="70" t="n"/>
      <c r="F233" s="85">
        <f>IF($A233="","",IFERROR($C233*VLOOKUP($A233,'תפריט השבת'!$A$4:$B$43,2,FALSE),0))</f>
        <v/>
      </c>
    </row>
    <row r="234" ht="20" customHeight="1">
      <c r="A234" s="80" t="n"/>
      <c r="B234" s="86" t="n"/>
      <c r="C234" s="69" t="n"/>
      <c r="D234" s="83">
        <f>IF($B234="","",IFERROR(VLOOKUP($B234,'מצרכים'!$A$3:$B$102,2,FALSE),""))</f>
        <v/>
      </c>
      <c r="E234" s="70" t="n"/>
      <c r="F234" s="85">
        <f>IF($A234="","",IFERROR($C234*VLOOKUP($A234,'תפריט השבת'!$A$4:$B$43,2,FALSE),0))</f>
        <v/>
      </c>
    </row>
    <row r="235" ht="20" customHeight="1">
      <c r="A235" s="80" t="n"/>
      <c r="B235" s="86" t="n"/>
      <c r="C235" s="69" t="n"/>
      <c r="D235" s="83">
        <f>IF($B235="","",IFERROR(VLOOKUP($B235,'מצרכים'!$A$3:$B$102,2,FALSE),""))</f>
        <v/>
      </c>
      <c r="E235" s="70" t="n"/>
      <c r="F235" s="85">
        <f>IF($A235="","",IFERROR($C235*VLOOKUP($A235,'תפריט השבת'!$A$4:$B$43,2,FALSE),0))</f>
        <v/>
      </c>
    </row>
    <row r="236" ht="20" customHeight="1">
      <c r="A236" s="80" t="n"/>
      <c r="B236" s="86" t="n"/>
      <c r="C236" s="69" t="n"/>
      <c r="D236" s="83">
        <f>IF($B236="","",IFERROR(VLOOKUP($B236,'מצרכים'!$A$3:$B$102,2,FALSE),""))</f>
        <v/>
      </c>
      <c r="E236" s="70" t="n"/>
      <c r="F236" s="85">
        <f>IF($A236="","",IFERROR($C236*VLOOKUP($A236,'תפריט השבת'!$A$4:$B$43,2,FALSE),0))</f>
        <v/>
      </c>
    </row>
    <row r="237" ht="20" customHeight="1">
      <c r="A237" s="80" t="n"/>
      <c r="B237" s="86" t="n"/>
      <c r="C237" s="69" t="n"/>
      <c r="D237" s="83">
        <f>IF($B237="","",IFERROR(VLOOKUP($B237,'מצרכים'!$A$3:$B$102,2,FALSE),""))</f>
        <v/>
      </c>
      <c r="E237" s="70" t="n"/>
      <c r="F237" s="85">
        <f>IF($A237="","",IFERROR($C237*VLOOKUP($A237,'תפריט השבת'!$A$4:$B$43,2,FALSE),0))</f>
        <v/>
      </c>
    </row>
    <row r="238" ht="20" customHeight="1">
      <c r="A238" s="80" t="n"/>
      <c r="B238" s="86" t="n"/>
      <c r="C238" s="69" t="n"/>
      <c r="D238" s="83">
        <f>IF($B238="","",IFERROR(VLOOKUP($B238,'מצרכים'!$A$3:$B$102,2,FALSE),""))</f>
        <v/>
      </c>
      <c r="E238" s="70" t="n"/>
      <c r="F238" s="85">
        <f>IF($A238="","",IFERROR($C238*VLOOKUP($A238,'תפריט השבת'!$A$4:$B$43,2,FALSE),0))</f>
        <v/>
      </c>
    </row>
    <row r="239" ht="20" customHeight="1">
      <c r="A239" s="80" t="n"/>
      <c r="B239" s="86" t="n"/>
      <c r="C239" s="69" t="n"/>
      <c r="D239" s="83">
        <f>IF($B239="","",IFERROR(VLOOKUP($B239,'מצרכים'!$A$3:$B$102,2,FALSE),""))</f>
        <v/>
      </c>
      <c r="E239" s="70" t="n"/>
      <c r="F239" s="85">
        <f>IF($A239="","",IFERROR($C239*VLOOKUP($A239,'תפריט השבת'!$A$4:$B$43,2,FALSE),0))</f>
        <v/>
      </c>
    </row>
    <row r="240" ht="20" customHeight="1">
      <c r="A240" s="80" t="n"/>
      <c r="B240" s="86" t="n"/>
      <c r="C240" s="69" t="n"/>
      <c r="D240" s="83">
        <f>IF($B240="","",IFERROR(VLOOKUP($B240,'מצרכים'!$A$3:$B$102,2,FALSE),""))</f>
        <v/>
      </c>
      <c r="E240" s="70" t="n"/>
      <c r="F240" s="85">
        <f>IF($A240="","",IFERROR($C240*VLOOKUP($A240,'תפריט השבת'!$A$4:$B$43,2,FALSE),0))</f>
        <v/>
      </c>
    </row>
    <row r="241" ht="20" customHeight="1">
      <c r="A241" s="80" t="n"/>
      <c r="B241" s="86" t="n"/>
      <c r="C241" s="69" t="n"/>
      <c r="D241" s="83">
        <f>IF($B241="","",IFERROR(VLOOKUP($B241,'מצרכים'!$A$3:$B$102,2,FALSE),""))</f>
        <v/>
      </c>
      <c r="E241" s="70" t="n"/>
      <c r="F241" s="85">
        <f>IF($A241="","",IFERROR($C241*VLOOKUP($A241,'תפריט השבת'!$A$4:$B$43,2,FALSE),0))</f>
        <v/>
      </c>
    </row>
    <row r="242" ht="20" customHeight="1">
      <c r="A242" s="80" t="n"/>
      <c r="B242" s="86" t="n"/>
      <c r="C242" s="69" t="n"/>
      <c r="D242" s="83">
        <f>IF($B242="","",IFERROR(VLOOKUP($B242,'מצרכים'!$A$3:$B$102,2,FALSE),""))</f>
        <v/>
      </c>
      <c r="E242" s="70" t="n"/>
      <c r="F242" s="85">
        <f>IF($A242="","",IFERROR($C242*VLOOKUP($A242,'תפריט השבת'!$A$4:$B$43,2,FALSE),0))</f>
        <v/>
      </c>
    </row>
    <row r="243" ht="20" customHeight="1">
      <c r="A243" s="80" t="n"/>
      <c r="B243" s="86" t="n"/>
      <c r="C243" s="69" t="n"/>
      <c r="D243" s="83">
        <f>IF($B243="","",IFERROR(VLOOKUP($B243,'מצרכים'!$A$3:$B$102,2,FALSE),""))</f>
        <v/>
      </c>
      <c r="E243" s="70" t="n"/>
      <c r="F243" s="85">
        <f>IF($A243="","",IFERROR($C243*VLOOKUP($A243,'תפריט השבת'!$A$4:$B$43,2,FALSE),0))</f>
        <v/>
      </c>
    </row>
    <row r="244" ht="20" customHeight="1">
      <c r="A244" s="80" t="n"/>
      <c r="B244" s="86" t="n"/>
      <c r="C244" s="69" t="n"/>
      <c r="D244" s="83">
        <f>IF($B244="","",IFERROR(VLOOKUP($B244,'מצרכים'!$A$3:$B$102,2,FALSE),""))</f>
        <v/>
      </c>
      <c r="E244" s="70" t="n"/>
      <c r="F244" s="85">
        <f>IF($A244="","",IFERROR($C244*VLOOKUP($A244,'תפריט השבת'!$A$4:$B$43,2,FALSE),0))</f>
        <v/>
      </c>
    </row>
    <row r="245" ht="20" customHeight="1">
      <c r="A245" s="80" t="n"/>
      <c r="B245" s="86" t="n"/>
      <c r="C245" s="69" t="n"/>
      <c r="D245" s="83">
        <f>IF($B245="","",IFERROR(VLOOKUP($B245,'מצרכים'!$A$3:$B$102,2,FALSE),""))</f>
        <v/>
      </c>
      <c r="E245" s="70" t="n"/>
      <c r="F245" s="85">
        <f>IF($A245="","",IFERROR($C245*VLOOKUP($A245,'תפריט השבת'!$A$4:$B$43,2,FALSE),0))</f>
        <v/>
      </c>
    </row>
    <row r="246" ht="20" customHeight="1">
      <c r="A246" s="80" t="n"/>
      <c r="B246" s="86" t="n"/>
      <c r="C246" s="69" t="n"/>
      <c r="D246" s="83">
        <f>IF($B246="","",IFERROR(VLOOKUP($B246,'מצרכים'!$A$3:$B$102,2,FALSE),""))</f>
        <v/>
      </c>
      <c r="E246" s="70" t="n"/>
      <c r="F246" s="85">
        <f>IF($A246="","",IFERROR($C246*VLOOKUP($A246,'תפריט השבת'!$A$4:$B$43,2,FALSE),0))</f>
        <v/>
      </c>
    </row>
    <row r="247" ht="20" customHeight="1">
      <c r="A247" s="80" t="n"/>
      <c r="B247" s="86" t="n"/>
      <c r="C247" s="69" t="n"/>
      <c r="D247" s="83">
        <f>IF($B247="","",IFERROR(VLOOKUP($B247,'מצרכים'!$A$3:$B$102,2,FALSE),""))</f>
        <v/>
      </c>
      <c r="E247" s="70" t="n"/>
      <c r="F247" s="85">
        <f>IF($A247="","",IFERROR($C247*VLOOKUP($A247,'תפריט השבת'!$A$4:$B$43,2,FALSE),0))</f>
        <v/>
      </c>
    </row>
    <row r="248" ht="20" customHeight="1">
      <c r="A248" s="80" t="n"/>
      <c r="B248" s="86" t="n"/>
      <c r="C248" s="69" t="n"/>
      <c r="D248" s="83">
        <f>IF($B248="","",IFERROR(VLOOKUP($B248,'מצרכים'!$A$3:$B$102,2,FALSE),""))</f>
        <v/>
      </c>
      <c r="E248" s="70" t="n"/>
      <c r="F248" s="85">
        <f>IF($A248="","",IFERROR($C248*VLOOKUP($A248,'תפריט השבת'!$A$4:$B$43,2,FALSE),0))</f>
        <v/>
      </c>
    </row>
    <row r="249" ht="20" customHeight="1">
      <c r="A249" s="80" t="n"/>
      <c r="B249" s="86" t="n"/>
      <c r="C249" s="69" t="n"/>
      <c r="D249" s="83">
        <f>IF($B249="","",IFERROR(VLOOKUP($B249,'מצרכים'!$A$3:$B$102,2,FALSE),""))</f>
        <v/>
      </c>
      <c r="E249" s="70" t="n"/>
      <c r="F249" s="85">
        <f>IF($A249="","",IFERROR($C249*VLOOKUP($A249,'תפריט השבת'!$A$4:$B$43,2,FALSE),0))</f>
        <v/>
      </c>
    </row>
    <row r="250" ht="20" customHeight="1">
      <c r="A250" s="80" t="n"/>
      <c r="B250" s="86" t="n"/>
      <c r="C250" s="69" t="n"/>
      <c r="D250" s="83">
        <f>IF($B250="","",IFERROR(VLOOKUP($B250,'מצרכים'!$A$3:$B$102,2,FALSE),""))</f>
        <v/>
      </c>
      <c r="E250" s="70" t="n"/>
      <c r="F250" s="85">
        <f>IF($A250="","",IFERROR($C250*VLOOKUP($A250,'תפריט השבת'!$A$4:$B$43,2,FALSE),0))</f>
        <v/>
      </c>
    </row>
    <row r="251" ht="20" customHeight="1">
      <c r="A251" s="80" t="n"/>
      <c r="B251" s="86" t="n"/>
      <c r="C251" s="69" t="n"/>
      <c r="D251" s="83">
        <f>IF($B251="","",IFERROR(VLOOKUP($B251,'מצרכים'!$A$3:$B$102,2,FALSE),""))</f>
        <v/>
      </c>
      <c r="E251" s="70" t="n"/>
      <c r="F251" s="85">
        <f>IF($A251="","",IFERROR($C251*VLOOKUP($A251,'תפריט השבת'!$A$4:$B$43,2,FALSE),0))</f>
        <v/>
      </c>
    </row>
    <row r="252" ht="20" customHeight="1">
      <c r="A252" s="80" t="n"/>
      <c r="B252" s="86" t="n"/>
      <c r="C252" s="69" t="n"/>
      <c r="D252" s="83">
        <f>IF($B252="","",IFERROR(VLOOKUP($B252,'מצרכים'!$A$3:$B$102,2,FALSE),""))</f>
        <v/>
      </c>
      <c r="E252" s="70" t="n"/>
      <c r="F252" s="85">
        <f>IF($A252="","",IFERROR($C252*VLOOKUP($A252,'תפריט השבת'!$A$4:$B$43,2,FALSE),0))</f>
        <v/>
      </c>
    </row>
    <row r="254" ht="28" customHeight="1">
      <c r="A254" s="24" t="inlineStr">
        <is>
          <t>ממלאים פעם אחת: לכל מנה — שורה לכל מרכיב, והכמות הדרושה ליחידה אחת (עוגה אחת, סיר אחד). «כמות בפועל» מוכפלת אוטומטית לפי «תפריט השבת». מרכיב שאינו ברשימה — מוסיפים אותו קודם בגיליון «מצרכים».</t>
        </is>
      </c>
    </row>
  </sheetData>
  <mergeCells count="2">
    <mergeCell ref="A1:E1"/>
    <mergeCell ref="A254:E254"/>
  </mergeCells>
  <dataValidations count="1">
    <dataValidation sqref="B3:B252" showDropDown="0" showInputMessage="0" showErrorMessage="0" allowBlank="1" type="list">
      <formula1>'מצרכים'!$A$3:$A$102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0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14" customWidth="1" min="4" max="4"/>
    <col width="18" customWidth="1" min="5" max="5"/>
  </cols>
  <sheetData>
    <row r="1" ht="36" customHeight="1">
      <c r="A1" s="5" t="inlineStr">
        <is>
          <t>קטלוג מצרכים</t>
        </is>
      </c>
    </row>
    <row r="2" ht="24" customHeight="1">
      <c r="A2" s="16" t="inlineStr">
        <is>
          <t>מצרך</t>
        </is>
      </c>
      <c r="B2" s="16" t="inlineStr">
        <is>
          <t>יחידה</t>
        </is>
      </c>
      <c r="C2" s="16" t="inlineStr">
        <is>
          <t>קטגוריית קנייה</t>
        </is>
      </c>
      <c r="D2" s="16" t="inlineStr">
        <is>
          <t>מלאי קבוע</t>
        </is>
      </c>
      <c r="E2" s="16" t="inlineStr">
        <is>
          <t>מינימום במלאי</t>
        </is>
      </c>
    </row>
    <row r="3" ht="20" customHeight="1">
      <c r="A3" s="19" t="inlineStr">
        <is>
          <t>קמח לבן</t>
        </is>
      </c>
      <c r="B3" s="76" t="inlineStr">
        <is>
          <t>ק"ג</t>
        </is>
      </c>
      <c r="C3" s="20" t="inlineStr">
        <is>
          <t>יבשים ואפייה</t>
        </is>
      </c>
      <c r="D3" s="76" t="inlineStr">
        <is>
          <t>כן</t>
        </is>
      </c>
      <c r="E3" s="69" t="n">
        <v>15</v>
      </c>
    </row>
    <row r="4" ht="20" customHeight="1">
      <c r="A4" s="19" t="inlineStr">
        <is>
          <t>קמח מלא</t>
        </is>
      </c>
      <c r="B4" s="76" t="inlineStr">
        <is>
          <t>ק"ג</t>
        </is>
      </c>
      <c r="C4" s="20" t="inlineStr">
        <is>
          <t>יבשים ואפייה</t>
        </is>
      </c>
      <c r="D4" s="76" t="inlineStr">
        <is>
          <t>כן</t>
        </is>
      </c>
      <c r="E4" s="69" t="n">
        <v>5</v>
      </c>
    </row>
    <row r="5" ht="20" customHeight="1">
      <c r="A5" s="19" t="inlineStr">
        <is>
          <t>סוכר לבן</t>
        </is>
      </c>
      <c r="B5" s="76" t="inlineStr">
        <is>
          <t>ק"ג</t>
        </is>
      </c>
      <c r="C5" s="20" t="inlineStr">
        <is>
          <t>יבשים ואפייה</t>
        </is>
      </c>
      <c r="D5" s="76" t="inlineStr">
        <is>
          <t>כן</t>
        </is>
      </c>
      <c r="E5" s="69" t="n">
        <v>10</v>
      </c>
    </row>
    <row r="6" ht="20" customHeight="1">
      <c r="A6" s="19" t="inlineStr">
        <is>
          <t>סוכר חום</t>
        </is>
      </c>
      <c r="B6" s="76" t="inlineStr">
        <is>
          <t>ק"ג</t>
        </is>
      </c>
      <c r="C6" s="20" t="inlineStr">
        <is>
          <t>יבשים ואפייה</t>
        </is>
      </c>
      <c r="D6" s="76" t="inlineStr">
        <is>
          <t>כן</t>
        </is>
      </c>
      <c r="E6" s="69" t="n">
        <v>2</v>
      </c>
    </row>
    <row r="7" ht="20" customHeight="1">
      <c r="A7" s="19" t="inlineStr">
        <is>
          <t>שמן קנולה</t>
        </is>
      </c>
      <c r="B7" s="76" t="inlineStr">
        <is>
          <t>ליטר</t>
        </is>
      </c>
      <c r="C7" s="20" t="inlineStr">
        <is>
          <t>יבשים ואפייה</t>
        </is>
      </c>
      <c r="D7" s="76" t="inlineStr">
        <is>
          <t>כן</t>
        </is>
      </c>
      <c r="E7" s="69" t="n">
        <v>6</v>
      </c>
    </row>
    <row r="8" ht="20" customHeight="1">
      <c r="A8" s="19" t="inlineStr">
        <is>
          <t>שמרים יבשים</t>
        </is>
      </c>
      <c r="B8" s="76" t="inlineStr">
        <is>
          <t>שקית</t>
        </is>
      </c>
      <c r="C8" s="20" t="inlineStr">
        <is>
          <t>יבשים ואפייה</t>
        </is>
      </c>
      <c r="D8" s="76" t="inlineStr">
        <is>
          <t>כן</t>
        </is>
      </c>
      <c r="E8" s="69" t="n">
        <v>20</v>
      </c>
    </row>
    <row r="9" ht="20" customHeight="1">
      <c r="A9" s="19" t="inlineStr">
        <is>
          <t>שמרים טריים</t>
        </is>
      </c>
      <c r="B9" s="76" t="inlineStr">
        <is>
          <t>חבילה</t>
        </is>
      </c>
      <c r="C9" s="20" t="inlineStr">
        <is>
          <t>יבשים ואפייה</t>
        </is>
      </c>
      <c r="D9" s="76" t="inlineStr">
        <is>
          <t>לא</t>
        </is>
      </c>
      <c r="E9" s="69" t="n"/>
    </row>
    <row r="10" ht="20" customHeight="1">
      <c r="A10" s="19" t="inlineStr">
        <is>
          <t>אבקת אפייה</t>
        </is>
      </c>
      <c r="B10" s="76" t="inlineStr">
        <is>
          <t>שקית</t>
        </is>
      </c>
      <c r="C10" s="20" t="inlineStr">
        <is>
          <t>יבשים ואפייה</t>
        </is>
      </c>
      <c r="D10" s="76" t="inlineStr">
        <is>
          <t>כן</t>
        </is>
      </c>
      <c r="E10" s="69" t="n">
        <v>10</v>
      </c>
    </row>
    <row r="11" ht="20" customHeight="1">
      <c r="A11" s="19" t="inlineStr">
        <is>
          <t>סודה לשתייה</t>
        </is>
      </c>
      <c r="B11" s="76" t="inlineStr">
        <is>
          <t>שקית</t>
        </is>
      </c>
      <c r="C11" s="20" t="inlineStr">
        <is>
          <t>יבשים ואפייה</t>
        </is>
      </c>
      <c r="D11" s="76" t="inlineStr">
        <is>
          <t>כן</t>
        </is>
      </c>
      <c r="E11" s="69" t="n">
        <v>5</v>
      </c>
    </row>
    <row r="12" ht="20" customHeight="1">
      <c r="A12" s="19" t="inlineStr">
        <is>
          <t>מלח</t>
        </is>
      </c>
      <c r="B12" s="76" t="inlineStr">
        <is>
          <t>ק"ג</t>
        </is>
      </c>
      <c r="C12" s="20" t="inlineStr">
        <is>
          <t>יבשים ואפייה</t>
        </is>
      </c>
      <c r="D12" s="76" t="inlineStr">
        <is>
          <t>כן</t>
        </is>
      </c>
      <c r="E12" s="69" t="n">
        <v>3</v>
      </c>
    </row>
    <row r="13" ht="20" customHeight="1">
      <c r="A13" s="19" t="inlineStr">
        <is>
          <t>קקאו</t>
        </is>
      </c>
      <c r="B13" s="76" t="inlineStr">
        <is>
          <t>ק"ג</t>
        </is>
      </c>
      <c r="C13" s="20" t="inlineStr">
        <is>
          <t>יבשים ואפייה</t>
        </is>
      </c>
      <c r="D13" s="76" t="inlineStr">
        <is>
          <t>כן</t>
        </is>
      </c>
      <c r="E13" s="69" t="n">
        <v>2</v>
      </c>
    </row>
    <row r="14" ht="20" customHeight="1">
      <c r="A14" s="19" t="inlineStr">
        <is>
          <t>וניל</t>
        </is>
      </c>
      <c r="B14" s="76" t="inlineStr">
        <is>
          <t>שקית</t>
        </is>
      </c>
      <c r="C14" s="20" t="inlineStr">
        <is>
          <t>יבשים ואפייה</t>
        </is>
      </c>
      <c r="D14" s="76" t="inlineStr">
        <is>
          <t>כן</t>
        </is>
      </c>
      <c r="E14" s="69" t="n">
        <v>10</v>
      </c>
    </row>
    <row r="15" ht="20" customHeight="1">
      <c r="A15" s="19" t="inlineStr">
        <is>
          <t>שוקולד צ'יפס</t>
        </is>
      </c>
      <c r="B15" s="76" t="inlineStr">
        <is>
          <t>ק"ג</t>
        </is>
      </c>
      <c r="C15" s="20" t="inlineStr">
        <is>
          <t>יבשים ואפייה</t>
        </is>
      </c>
      <c r="D15" s="76" t="inlineStr">
        <is>
          <t>לא</t>
        </is>
      </c>
      <c r="E15" s="69" t="n"/>
    </row>
    <row r="16" ht="20" customHeight="1">
      <c r="A16" s="19" t="inlineStr">
        <is>
          <t>שוקולד מריר</t>
        </is>
      </c>
      <c r="B16" s="76" t="inlineStr">
        <is>
          <t>ק"ג</t>
        </is>
      </c>
      <c r="C16" s="20" t="inlineStr">
        <is>
          <t>יבשים ואפייה</t>
        </is>
      </c>
      <c r="D16" s="76" t="inlineStr">
        <is>
          <t>לא</t>
        </is>
      </c>
      <c r="E16" s="69" t="n"/>
    </row>
    <row r="17" ht="20" customHeight="1">
      <c r="A17" s="19" t="inlineStr">
        <is>
          <t>פירורי ביסקוויט</t>
        </is>
      </c>
      <c r="B17" s="76" t="inlineStr">
        <is>
          <t>ק"ג</t>
        </is>
      </c>
      <c r="C17" s="20" t="inlineStr">
        <is>
          <t>יבשים ואפייה</t>
        </is>
      </c>
      <c r="D17" s="76" t="inlineStr">
        <is>
          <t>לא</t>
        </is>
      </c>
      <c r="E17" s="69" t="n"/>
    </row>
    <row r="18" ht="20" customHeight="1">
      <c r="A18" s="19" t="inlineStr">
        <is>
          <t>ביסקוויטים</t>
        </is>
      </c>
      <c r="B18" s="76" t="inlineStr">
        <is>
          <t>חבילה</t>
        </is>
      </c>
      <c r="C18" s="20" t="inlineStr">
        <is>
          <t>יבשים ואפייה</t>
        </is>
      </c>
      <c r="D18" s="76" t="inlineStr">
        <is>
          <t>לא</t>
        </is>
      </c>
      <c r="E18" s="69" t="n"/>
    </row>
    <row r="19" ht="20" customHeight="1">
      <c r="A19" s="19" t="inlineStr">
        <is>
          <t>קורנפלקס</t>
        </is>
      </c>
      <c r="B19" s="76" t="inlineStr">
        <is>
          <t>חבילה</t>
        </is>
      </c>
      <c r="C19" s="20" t="inlineStr">
        <is>
          <t>יבשים ואפייה</t>
        </is>
      </c>
      <c r="D19" s="76" t="inlineStr">
        <is>
          <t>לא</t>
        </is>
      </c>
      <c r="E19" s="69" t="n"/>
    </row>
    <row r="20" ht="20" customHeight="1">
      <c r="A20" s="19" t="inlineStr">
        <is>
          <t>אורז</t>
        </is>
      </c>
      <c r="B20" s="76" t="inlineStr">
        <is>
          <t>ק"ג</t>
        </is>
      </c>
      <c r="C20" s="20" t="inlineStr">
        <is>
          <t>יבשים ואפייה</t>
        </is>
      </c>
      <c r="D20" s="76" t="inlineStr">
        <is>
          <t>כן</t>
        </is>
      </c>
      <c r="E20" s="69" t="n">
        <v>10</v>
      </c>
    </row>
    <row r="21" ht="20" customHeight="1">
      <c r="A21" s="19" t="inlineStr">
        <is>
          <t>פסטה</t>
        </is>
      </c>
      <c r="B21" s="76" t="inlineStr">
        <is>
          <t>ק"ג</t>
        </is>
      </c>
      <c r="C21" s="20" t="inlineStr">
        <is>
          <t>יבשים ואפייה</t>
        </is>
      </c>
      <c r="D21" s="76" t="inlineStr">
        <is>
          <t>כן</t>
        </is>
      </c>
      <c r="E21" s="69" t="n">
        <v>5</v>
      </c>
    </row>
    <row r="22" ht="20" customHeight="1">
      <c r="A22" s="19" t="inlineStr">
        <is>
          <t>טחינה גולמית</t>
        </is>
      </c>
      <c r="B22" s="76" t="inlineStr">
        <is>
          <t>ק"ג</t>
        </is>
      </c>
      <c r="C22" s="20" t="inlineStr">
        <is>
          <t>שימורים ורטבים</t>
        </is>
      </c>
      <c r="D22" s="76" t="inlineStr">
        <is>
          <t>כן</t>
        </is>
      </c>
      <c r="E22" s="69" t="n">
        <v>4</v>
      </c>
    </row>
    <row r="23" ht="20" customHeight="1">
      <c r="A23" s="19" t="inlineStr">
        <is>
          <t>מיונז</t>
        </is>
      </c>
      <c r="B23" s="76" t="inlineStr">
        <is>
          <t>ק"ג</t>
        </is>
      </c>
      <c r="C23" s="20" t="inlineStr">
        <is>
          <t>שימורים ורטבים</t>
        </is>
      </c>
      <c r="D23" s="76" t="inlineStr">
        <is>
          <t>כן</t>
        </is>
      </c>
      <c r="E23" s="69" t="n">
        <v>2</v>
      </c>
    </row>
    <row r="24" ht="20" customHeight="1">
      <c r="A24" s="19" t="inlineStr">
        <is>
          <t>קטשופ</t>
        </is>
      </c>
      <c r="B24" s="76" t="inlineStr">
        <is>
          <t>ק"ג</t>
        </is>
      </c>
      <c r="C24" s="20" t="inlineStr">
        <is>
          <t>שימורים ורטבים</t>
        </is>
      </c>
      <c r="D24" s="76" t="inlineStr">
        <is>
          <t>כן</t>
        </is>
      </c>
      <c r="E24" s="69" t="n">
        <v>2</v>
      </c>
    </row>
    <row r="25" ht="20" customHeight="1">
      <c r="A25" s="19" t="inlineStr">
        <is>
          <t>סחוג</t>
        </is>
      </c>
      <c r="B25" s="76" t="inlineStr">
        <is>
          <t>קופסה</t>
        </is>
      </c>
      <c r="C25" s="20" t="inlineStr">
        <is>
          <t>שימורים ורטבים</t>
        </is>
      </c>
      <c r="D25" s="76" t="inlineStr">
        <is>
          <t>לא</t>
        </is>
      </c>
      <c r="E25" s="69" t="n"/>
    </row>
    <row r="26" ht="20" customHeight="1">
      <c r="A26" s="19" t="inlineStr">
        <is>
          <t>רסק עגבניות</t>
        </is>
      </c>
      <c r="B26" s="76" t="inlineStr">
        <is>
          <t>קופסה</t>
        </is>
      </c>
      <c r="C26" s="20" t="inlineStr">
        <is>
          <t>שימורים ורטבים</t>
        </is>
      </c>
      <c r="D26" s="76" t="inlineStr">
        <is>
          <t>כן</t>
        </is>
      </c>
      <c r="E26" s="69" t="n">
        <v>6</v>
      </c>
    </row>
    <row r="27" ht="20" customHeight="1">
      <c r="A27" s="19" t="inlineStr">
        <is>
          <t>חומץ</t>
        </is>
      </c>
      <c r="B27" s="76" t="inlineStr">
        <is>
          <t>בקבוק</t>
        </is>
      </c>
      <c r="C27" s="20" t="inlineStr">
        <is>
          <t>שימורים ורטבים</t>
        </is>
      </c>
      <c r="D27" s="76" t="inlineStr">
        <is>
          <t>כן</t>
        </is>
      </c>
      <c r="E27" s="69" t="n">
        <v>2</v>
      </c>
    </row>
    <row r="28" ht="20" customHeight="1">
      <c r="A28" s="19" t="inlineStr">
        <is>
          <t>ביצים</t>
        </is>
      </c>
      <c r="B28" s="76" t="inlineStr">
        <is>
          <t>יחידה</t>
        </is>
      </c>
      <c r="C28" s="20" t="inlineStr">
        <is>
          <t>מוצרי חלב וביצים</t>
        </is>
      </c>
      <c r="D28" s="76" t="inlineStr">
        <is>
          <t>לא</t>
        </is>
      </c>
      <c r="E28" s="69" t="n"/>
    </row>
    <row r="29" ht="20" customHeight="1">
      <c r="A29" s="19" t="inlineStr">
        <is>
          <t>חלב</t>
        </is>
      </c>
      <c r="B29" s="76" t="inlineStr">
        <is>
          <t>ליטר</t>
        </is>
      </c>
      <c r="C29" s="20" t="inlineStr">
        <is>
          <t>מוצרי חלב וביצים</t>
        </is>
      </c>
      <c r="D29" s="76" t="inlineStr">
        <is>
          <t>לא</t>
        </is>
      </c>
      <c r="E29" s="69" t="n"/>
    </row>
    <row r="30" ht="20" customHeight="1">
      <c r="A30" s="19" t="inlineStr">
        <is>
          <t>חלב סויה / שקדים</t>
        </is>
      </c>
      <c r="B30" s="76" t="inlineStr">
        <is>
          <t>ליטר</t>
        </is>
      </c>
      <c r="C30" s="20" t="inlineStr">
        <is>
          <t>מוצרי חלב וביצים</t>
        </is>
      </c>
      <c r="D30" s="76" t="inlineStr">
        <is>
          <t>לא</t>
        </is>
      </c>
      <c r="E30" s="69" t="n"/>
    </row>
    <row r="31" ht="20" customHeight="1">
      <c r="A31" s="19" t="inlineStr">
        <is>
          <t>חמאה</t>
        </is>
      </c>
      <c r="B31" s="76" t="inlineStr">
        <is>
          <t>חבילה</t>
        </is>
      </c>
      <c r="C31" s="20" t="inlineStr">
        <is>
          <t>מוצרי חלב וביצים</t>
        </is>
      </c>
      <c r="D31" s="76" t="inlineStr">
        <is>
          <t>לא</t>
        </is>
      </c>
      <c r="E31" s="69" t="n"/>
    </row>
    <row r="32" ht="20" customHeight="1">
      <c r="A32" s="19" t="inlineStr">
        <is>
          <t>מרגרינה</t>
        </is>
      </c>
      <c r="B32" s="76" t="inlineStr">
        <is>
          <t>חבילה</t>
        </is>
      </c>
      <c r="C32" s="20" t="inlineStr">
        <is>
          <t>מוצרי חלב וביצים</t>
        </is>
      </c>
      <c r="D32" s="76" t="inlineStr">
        <is>
          <t>לא</t>
        </is>
      </c>
      <c r="E32" s="69" t="n"/>
    </row>
    <row r="33" ht="20" customHeight="1">
      <c r="A33" s="19" t="inlineStr">
        <is>
          <t>גבינה לבנה</t>
        </is>
      </c>
      <c r="B33" s="76" t="inlineStr">
        <is>
          <t>ק"ג</t>
        </is>
      </c>
      <c r="C33" s="20" t="inlineStr">
        <is>
          <t>מוצרי חלב וביצים</t>
        </is>
      </c>
      <c r="D33" s="76" t="inlineStr">
        <is>
          <t>לא</t>
        </is>
      </c>
      <c r="E33" s="69" t="n"/>
    </row>
    <row r="34" ht="20" customHeight="1">
      <c r="A34" s="19" t="inlineStr">
        <is>
          <t>גבינה צהובה</t>
        </is>
      </c>
      <c r="B34" s="76" t="inlineStr">
        <is>
          <t>ק"ג</t>
        </is>
      </c>
      <c r="C34" s="20" t="inlineStr">
        <is>
          <t>מוצרי חלב וביצים</t>
        </is>
      </c>
      <c r="D34" s="76" t="inlineStr">
        <is>
          <t>לא</t>
        </is>
      </c>
      <c r="E34" s="69" t="n"/>
    </row>
    <row r="35" ht="20" customHeight="1">
      <c r="A35" s="19" t="inlineStr">
        <is>
          <t>שמנת מתוקה</t>
        </is>
      </c>
      <c r="B35" s="76" t="inlineStr">
        <is>
          <t>ליטר</t>
        </is>
      </c>
      <c r="C35" s="20" t="inlineStr">
        <is>
          <t>מוצרי חלב וביצים</t>
        </is>
      </c>
      <c r="D35" s="76" t="inlineStr">
        <is>
          <t>לא</t>
        </is>
      </c>
      <c r="E35" s="69" t="n"/>
    </row>
    <row r="36" ht="20" customHeight="1">
      <c r="A36" s="19" t="inlineStr">
        <is>
          <t>לבנה</t>
        </is>
      </c>
      <c r="B36" s="76" t="inlineStr">
        <is>
          <t>ק"ג</t>
        </is>
      </c>
      <c r="C36" s="20" t="inlineStr">
        <is>
          <t>מוצרי חלב וביצים</t>
        </is>
      </c>
      <c r="D36" s="76" t="inlineStr">
        <is>
          <t>לא</t>
        </is>
      </c>
      <c r="E36" s="69" t="n"/>
    </row>
    <row r="37" ht="20" customHeight="1">
      <c r="A37" s="19" t="inlineStr">
        <is>
          <t>עגבניות</t>
        </is>
      </c>
      <c r="B37" s="76" t="inlineStr">
        <is>
          <t>ק"ג</t>
        </is>
      </c>
      <c r="C37" s="20" t="inlineStr">
        <is>
          <t>ירקות ופירות</t>
        </is>
      </c>
      <c r="D37" s="76" t="inlineStr">
        <is>
          <t>לא</t>
        </is>
      </c>
      <c r="E37" s="69" t="n"/>
    </row>
    <row r="38" ht="20" customHeight="1">
      <c r="A38" s="19" t="inlineStr">
        <is>
          <t>מלפפונים</t>
        </is>
      </c>
      <c r="B38" s="76" t="inlineStr">
        <is>
          <t>ק"ג</t>
        </is>
      </c>
      <c r="C38" s="20" t="inlineStr">
        <is>
          <t>ירקות ופירות</t>
        </is>
      </c>
      <c r="D38" s="76" t="inlineStr">
        <is>
          <t>לא</t>
        </is>
      </c>
      <c r="E38" s="69" t="n"/>
    </row>
    <row r="39" ht="20" customHeight="1">
      <c r="A39" s="19" t="inlineStr">
        <is>
          <t>בצל</t>
        </is>
      </c>
      <c r="B39" s="76" t="inlineStr">
        <is>
          <t>ק"ג</t>
        </is>
      </c>
      <c r="C39" s="20" t="inlineStr">
        <is>
          <t>ירקות ופירות</t>
        </is>
      </c>
      <c r="D39" s="76" t="inlineStr">
        <is>
          <t>לא</t>
        </is>
      </c>
      <c r="E39" s="69" t="n"/>
    </row>
    <row r="40" ht="20" customHeight="1">
      <c r="A40" s="19" t="inlineStr">
        <is>
          <t>גזר</t>
        </is>
      </c>
      <c r="B40" s="76" t="inlineStr">
        <is>
          <t>ק"ג</t>
        </is>
      </c>
      <c r="C40" s="20" t="inlineStr">
        <is>
          <t>ירקות ופירות</t>
        </is>
      </c>
      <c r="D40" s="76" t="inlineStr">
        <is>
          <t>לא</t>
        </is>
      </c>
      <c r="E40" s="69" t="n"/>
    </row>
    <row r="41" ht="20" customHeight="1">
      <c r="A41" s="19" t="inlineStr">
        <is>
          <t>חצילים</t>
        </is>
      </c>
      <c r="B41" s="76" t="inlineStr">
        <is>
          <t>ק"ג</t>
        </is>
      </c>
      <c r="C41" s="20" t="inlineStr">
        <is>
          <t>ירקות ופירות</t>
        </is>
      </c>
      <c r="D41" s="76" t="inlineStr">
        <is>
          <t>לא</t>
        </is>
      </c>
      <c r="E41" s="69" t="n"/>
    </row>
    <row r="42" ht="20" customHeight="1">
      <c r="A42" s="19" t="inlineStr">
        <is>
          <t>פלפלים</t>
        </is>
      </c>
      <c r="B42" s="76" t="inlineStr">
        <is>
          <t>ק"ג</t>
        </is>
      </c>
      <c r="C42" s="20" t="inlineStr">
        <is>
          <t>ירקות ופירות</t>
        </is>
      </c>
      <c r="D42" s="76" t="inlineStr">
        <is>
          <t>לא</t>
        </is>
      </c>
      <c r="E42" s="69" t="n"/>
    </row>
    <row r="43" ht="20" customHeight="1">
      <c r="A43" s="19" t="inlineStr">
        <is>
          <t>פטרוזיליה</t>
        </is>
      </c>
      <c r="B43" s="76" t="inlineStr">
        <is>
          <t>צרור</t>
        </is>
      </c>
      <c r="C43" s="20" t="inlineStr">
        <is>
          <t>ירקות ופירות</t>
        </is>
      </c>
      <c r="D43" s="76" t="inlineStr">
        <is>
          <t>לא</t>
        </is>
      </c>
      <c r="E43" s="69" t="n"/>
    </row>
    <row r="44" ht="20" customHeight="1">
      <c r="A44" s="19" t="inlineStr">
        <is>
          <t>לימונים</t>
        </is>
      </c>
      <c r="B44" s="76" t="inlineStr">
        <is>
          <t>ק"ג</t>
        </is>
      </c>
      <c r="C44" s="20" t="inlineStr">
        <is>
          <t>ירקות ופירות</t>
        </is>
      </c>
      <c r="D44" s="76" t="inlineStr">
        <is>
          <t>לא</t>
        </is>
      </c>
      <c r="E44" s="69" t="n"/>
    </row>
    <row r="45" ht="20" customHeight="1">
      <c r="A45" s="19" t="inlineStr">
        <is>
          <t>בננות</t>
        </is>
      </c>
      <c r="B45" s="76" t="inlineStr">
        <is>
          <t>ק"ג</t>
        </is>
      </c>
      <c r="C45" s="20" t="inlineStr">
        <is>
          <t>ירקות ופירות</t>
        </is>
      </c>
      <c r="D45" s="76" t="inlineStr">
        <is>
          <t>לא</t>
        </is>
      </c>
      <c r="E45" s="69" t="n"/>
    </row>
    <row r="46" ht="20" customHeight="1">
      <c r="A46" s="19" t="inlineStr">
        <is>
          <t>תפוחים</t>
        </is>
      </c>
      <c r="B46" s="76" t="inlineStr">
        <is>
          <t>ק"ג</t>
        </is>
      </c>
      <c r="C46" s="20" t="inlineStr">
        <is>
          <t>ירקות ופירות</t>
        </is>
      </c>
      <c r="D46" s="76" t="inlineStr">
        <is>
          <t>לא</t>
        </is>
      </c>
      <c r="E46" s="69" t="n"/>
    </row>
    <row r="47" ht="20" customHeight="1">
      <c r="A47" s="19" t="inlineStr">
        <is>
          <t>פומלה</t>
        </is>
      </c>
      <c r="B47" s="76" t="inlineStr">
        <is>
          <t>יחידה</t>
        </is>
      </c>
      <c r="C47" s="20" t="inlineStr">
        <is>
          <t>ירקות ופירות</t>
        </is>
      </c>
      <c r="D47" s="76" t="inlineStr">
        <is>
          <t>לא</t>
        </is>
      </c>
      <c r="E47" s="69" t="n"/>
    </row>
    <row r="48" ht="20" customHeight="1">
      <c r="A48" s="19" t="inlineStr">
        <is>
          <t>קיווי</t>
        </is>
      </c>
      <c r="B48" s="76" t="inlineStr">
        <is>
          <t>ק"ג</t>
        </is>
      </c>
      <c r="C48" s="20" t="inlineStr">
        <is>
          <t>ירקות ופירות</t>
        </is>
      </c>
      <c r="D48" s="76" t="inlineStr">
        <is>
          <t>לא</t>
        </is>
      </c>
      <c r="E48" s="69" t="n"/>
    </row>
    <row r="49" ht="20" customHeight="1">
      <c r="A49" s="19" t="inlineStr">
        <is>
          <t>מלון</t>
        </is>
      </c>
      <c r="B49" s="76" t="inlineStr">
        <is>
          <t>יחידה</t>
        </is>
      </c>
      <c r="C49" s="20" t="inlineStr">
        <is>
          <t>ירקות ופירות</t>
        </is>
      </c>
      <c r="D49" s="76" t="inlineStr">
        <is>
          <t>לא</t>
        </is>
      </c>
      <c r="E49" s="69" t="n"/>
    </row>
    <row r="50" ht="20" customHeight="1">
      <c r="A50" s="19" t="inlineStr">
        <is>
          <t>פסיפלורה</t>
        </is>
      </c>
      <c r="B50" s="76" t="inlineStr">
        <is>
          <t>קופסה</t>
        </is>
      </c>
      <c r="C50" s="20" t="inlineStr">
        <is>
          <t>ירקות ופירות</t>
        </is>
      </c>
      <c r="D50" s="76" t="inlineStr">
        <is>
          <t>לא</t>
        </is>
      </c>
      <c r="E50" s="69" t="n"/>
    </row>
    <row r="51" ht="20" customHeight="1">
      <c r="A51" s="19" t="inlineStr">
        <is>
          <t>תמרים</t>
        </is>
      </c>
      <c r="B51" s="76" t="inlineStr">
        <is>
          <t>ק"ג</t>
        </is>
      </c>
      <c r="C51" s="20" t="inlineStr">
        <is>
          <t>ירקות ופירות</t>
        </is>
      </c>
      <c r="D51" s="76" t="inlineStr">
        <is>
          <t>לא</t>
        </is>
      </c>
      <c r="E51" s="69" t="n"/>
    </row>
    <row r="52" ht="20" customHeight="1">
      <c r="A52" s="19" t="inlineStr">
        <is>
          <t>פיצוחים לטיש</t>
        </is>
      </c>
      <c r="B52" s="76" t="inlineStr">
        <is>
          <t>ק"ג</t>
        </is>
      </c>
      <c r="C52" s="20" t="inlineStr">
        <is>
          <t>ירקות ופירות</t>
        </is>
      </c>
      <c r="D52" s="76" t="inlineStr">
        <is>
          <t>לא</t>
        </is>
      </c>
      <c r="E52" s="69" t="n"/>
    </row>
    <row r="53" ht="20" customHeight="1">
      <c r="A53" s="19" t="inlineStr">
        <is>
          <t>פיתות</t>
        </is>
      </c>
      <c r="B53" s="76" t="inlineStr">
        <is>
          <t>חבילה</t>
        </is>
      </c>
      <c r="C53" s="20" t="inlineStr">
        <is>
          <t>לחם ומאפים</t>
        </is>
      </c>
      <c r="D53" s="76" t="inlineStr">
        <is>
          <t>לא</t>
        </is>
      </c>
      <c r="E53" s="69" t="n"/>
    </row>
    <row r="54" ht="20" customHeight="1">
      <c r="A54" s="19" t="inlineStr">
        <is>
          <t>לחם</t>
        </is>
      </c>
      <c r="B54" s="76" t="inlineStr">
        <is>
          <t>כיכר</t>
        </is>
      </c>
      <c r="C54" s="20" t="inlineStr">
        <is>
          <t>לחם ומאפים</t>
        </is>
      </c>
      <c r="D54" s="76" t="inlineStr">
        <is>
          <t>לא</t>
        </is>
      </c>
      <c r="E54" s="69" t="n"/>
    </row>
    <row r="55" ht="20" customHeight="1">
      <c r="A55" s="19" t="inlineStr">
        <is>
          <t>צ'יפס קפוא</t>
        </is>
      </c>
      <c r="B55" s="76" t="inlineStr">
        <is>
          <t>ק"ג</t>
        </is>
      </c>
      <c r="C55" s="20" t="inlineStr">
        <is>
          <t>קפואים</t>
        </is>
      </c>
      <c r="D55" s="76" t="inlineStr">
        <is>
          <t>לא</t>
        </is>
      </c>
      <c r="E55" s="69" t="n"/>
    </row>
    <row r="56" ht="20" customHeight="1">
      <c r="A56" s="19" t="inlineStr">
        <is>
          <t>בית לזית</t>
        </is>
      </c>
      <c r="B56" s="76" t="inlineStr">
        <is>
          <t>חבילה</t>
        </is>
      </c>
      <c r="C56" s="20" t="inlineStr">
        <is>
          <t>קפואים</t>
        </is>
      </c>
      <c r="D56" s="76" t="inlineStr">
        <is>
          <t>לא</t>
        </is>
      </c>
      <c r="E56" s="69" t="n"/>
    </row>
    <row r="57" ht="20" customHeight="1">
      <c r="A57" s="19" t="inlineStr">
        <is>
          <t>ג'חנון</t>
        </is>
      </c>
      <c r="B57" s="76" t="inlineStr">
        <is>
          <t>חבילה</t>
        </is>
      </c>
      <c r="C57" s="20" t="inlineStr">
        <is>
          <t>קפואים</t>
        </is>
      </c>
      <c r="D57" s="76" t="inlineStr">
        <is>
          <t>לא</t>
        </is>
      </c>
      <c r="E57" s="69" t="n"/>
    </row>
    <row r="58" ht="20" customHeight="1">
      <c r="A58" s="19" t="inlineStr">
        <is>
          <t>כנאפה</t>
        </is>
      </c>
      <c r="B58" s="76" t="inlineStr">
        <is>
          <t>חבילה</t>
        </is>
      </c>
      <c r="C58" s="20" t="inlineStr">
        <is>
          <t>קפואים</t>
        </is>
      </c>
      <c r="D58" s="76" t="inlineStr">
        <is>
          <t>לא</t>
        </is>
      </c>
      <c r="E58" s="69" t="n"/>
    </row>
    <row r="59" ht="20" customHeight="1">
      <c r="A59" s="19" t="inlineStr">
        <is>
          <t>שתייה קלה</t>
        </is>
      </c>
      <c r="B59" s="76" t="inlineStr">
        <is>
          <t>בקבוק</t>
        </is>
      </c>
      <c r="C59" s="20" t="inlineStr">
        <is>
          <t>שתייה</t>
        </is>
      </c>
      <c r="D59" s="76" t="inlineStr">
        <is>
          <t>לא</t>
        </is>
      </c>
      <c r="E59" s="69" t="n"/>
    </row>
    <row r="60" ht="20" customHeight="1">
      <c r="A60" s="19" t="inlineStr">
        <is>
          <t>מיץ ענבים / יין לקידוש</t>
        </is>
      </c>
      <c r="B60" s="76" t="inlineStr">
        <is>
          <t>בקבוק</t>
        </is>
      </c>
      <c r="C60" s="20" t="inlineStr">
        <is>
          <t>שתייה</t>
        </is>
      </c>
      <c r="D60" s="76" t="inlineStr">
        <is>
          <t>לא</t>
        </is>
      </c>
      <c r="E60" s="69" t="n"/>
    </row>
    <row r="61" ht="20" customHeight="1">
      <c r="A61" s="19" t="inlineStr">
        <is>
          <t>קפה</t>
        </is>
      </c>
      <c r="B61" s="76" t="inlineStr">
        <is>
          <t>צנצנת</t>
        </is>
      </c>
      <c r="C61" s="20" t="inlineStr">
        <is>
          <t>שתייה</t>
        </is>
      </c>
      <c r="D61" s="76" t="inlineStr">
        <is>
          <t>כן</t>
        </is>
      </c>
      <c r="E61" s="69" t="n">
        <v>4</v>
      </c>
    </row>
    <row r="62" ht="20" customHeight="1">
      <c r="A62" s="19" t="inlineStr">
        <is>
          <t>תה</t>
        </is>
      </c>
      <c r="B62" s="76" t="inlineStr">
        <is>
          <t>חבילה</t>
        </is>
      </c>
      <c r="C62" s="20" t="inlineStr">
        <is>
          <t>שתייה</t>
        </is>
      </c>
      <c r="D62" s="76" t="inlineStr">
        <is>
          <t>כן</t>
        </is>
      </c>
      <c r="E62" s="69" t="n">
        <v>4</v>
      </c>
    </row>
    <row r="63" ht="20" customHeight="1">
      <c r="A63" s="19" t="inlineStr">
        <is>
          <t>סוכרזית</t>
        </is>
      </c>
      <c r="B63" s="76" t="inlineStr">
        <is>
          <t>חבילה</t>
        </is>
      </c>
      <c r="C63" s="20" t="inlineStr">
        <is>
          <t>שתייה</t>
        </is>
      </c>
      <c r="D63" s="76" t="inlineStr">
        <is>
          <t>כן</t>
        </is>
      </c>
      <c r="E63" s="69" t="n">
        <v>2</v>
      </c>
    </row>
    <row r="64" ht="20" customHeight="1">
      <c r="A64" s="19" t="inlineStr">
        <is>
          <t>צלחות חד"פ</t>
        </is>
      </c>
      <c r="B64" s="76" t="inlineStr">
        <is>
          <t>חבילה</t>
        </is>
      </c>
      <c r="C64" s="20" t="inlineStr">
        <is>
          <t>חד"פ וניקיון</t>
        </is>
      </c>
      <c r="D64" s="76" t="inlineStr">
        <is>
          <t>כן</t>
        </is>
      </c>
      <c r="E64" s="69" t="n">
        <v>10</v>
      </c>
    </row>
    <row r="65" ht="20" customHeight="1">
      <c r="A65" s="19" t="inlineStr">
        <is>
          <t>כוסות חד"פ</t>
        </is>
      </c>
      <c r="B65" s="76" t="inlineStr">
        <is>
          <t>חבילה</t>
        </is>
      </c>
      <c r="C65" s="20" t="inlineStr">
        <is>
          <t>חד"פ וניקיון</t>
        </is>
      </c>
      <c r="D65" s="76" t="inlineStr">
        <is>
          <t>כן</t>
        </is>
      </c>
      <c r="E65" s="69" t="n">
        <v>10</v>
      </c>
    </row>
    <row r="66" ht="20" customHeight="1">
      <c r="A66" s="19" t="inlineStr">
        <is>
          <t>סכו"ם חד"פ</t>
        </is>
      </c>
      <c r="B66" s="76" t="inlineStr">
        <is>
          <t>חבילה</t>
        </is>
      </c>
      <c r="C66" s="20" t="inlineStr">
        <is>
          <t>חד"פ וניקיון</t>
        </is>
      </c>
      <c r="D66" s="76" t="inlineStr">
        <is>
          <t>כן</t>
        </is>
      </c>
      <c r="E66" s="69" t="n">
        <v>10</v>
      </c>
    </row>
    <row r="67" ht="20" customHeight="1">
      <c r="A67" s="19" t="inlineStr">
        <is>
          <t>מגשי אלומיניום</t>
        </is>
      </c>
      <c r="B67" s="76" t="inlineStr">
        <is>
          <t>יחידה</t>
        </is>
      </c>
      <c r="C67" s="20" t="inlineStr">
        <is>
          <t>חד"פ וניקיון</t>
        </is>
      </c>
      <c r="D67" s="76" t="inlineStr">
        <is>
          <t>כן</t>
        </is>
      </c>
      <c r="E67" s="69" t="n">
        <v>30</v>
      </c>
    </row>
    <row r="68" ht="20" customHeight="1">
      <c r="A68" s="19" t="inlineStr">
        <is>
          <t>נייר אפייה</t>
        </is>
      </c>
      <c r="B68" s="76" t="inlineStr">
        <is>
          <t>גליל</t>
        </is>
      </c>
      <c r="C68" s="20" t="inlineStr">
        <is>
          <t>חד"פ וניקיון</t>
        </is>
      </c>
      <c r="D68" s="76" t="inlineStr">
        <is>
          <t>כן</t>
        </is>
      </c>
      <c r="E68" s="69" t="n">
        <v>5</v>
      </c>
    </row>
    <row r="69" ht="20" customHeight="1">
      <c r="A69" s="19" t="inlineStr">
        <is>
          <t>ניילון נצמד</t>
        </is>
      </c>
      <c r="B69" s="76" t="inlineStr">
        <is>
          <t>גליל</t>
        </is>
      </c>
      <c r="C69" s="20" t="inlineStr">
        <is>
          <t>חד"פ וניקיון</t>
        </is>
      </c>
      <c r="D69" s="76" t="inlineStr">
        <is>
          <t>כן</t>
        </is>
      </c>
      <c r="E69" s="69" t="n">
        <v>3</v>
      </c>
    </row>
    <row r="70" ht="20" customHeight="1">
      <c r="A70" s="19" t="inlineStr">
        <is>
          <t>שקיות אשפה</t>
        </is>
      </c>
      <c r="B70" s="76" t="inlineStr">
        <is>
          <t>גליל</t>
        </is>
      </c>
      <c r="C70" s="20" t="inlineStr">
        <is>
          <t>חד"פ וניקיון</t>
        </is>
      </c>
      <c r="D70" s="76" t="inlineStr">
        <is>
          <t>כן</t>
        </is>
      </c>
      <c r="E70" s="69" t="n">
        <v>10</v>
      </c>
    </row>
    <row r="71" ht="20" customHeight="1">
      <c r="A71" s="19" t="inlineStr">
        <is>
          <t>אקונומיקה</t>
        </is>
      </c>
      <c r="B71" s="76" t="inlineStr">
        <is>
          <t>בקבוק</t>
        </is>
      </c>
      <c r="C71" s="20" t="inlineStr">
        <is>
          <t>חד"פ וניקיון</t>
        </is>
      </c>
      <c r="D71" s="76" t="inlineStr">
        <is>
          <t>כן</t>
        </is>
      </c>
      <c r="E71" s="69" t="n">
        <v>4</v>
      </c>
    </row>
    <row r="72" ht="20" customHeight="1">
      <c r="A72" s="19" t="inlineStr">
        <is>
          <t>סבון כלים</t>
        </is>
      </c>
      <c r="B72" s="76" t="inlineStr">
        <is>
          <t>בקבוק</t>
        </is>
      </c>
      <c r="C72" s="20" t="inlineStr">
        <is>
          <t>חד"פ וניקיון</t>
        </is>
      </c>
      <c r="D72" s="76" t="inlineStr">
        <is>
          <t>כן</t>
        </is>
      </c>
      <c r="E72" s="69" t="n">
        <v>4</v>
      </c>
    </row>
    <row r="73" ht="20" customHeight="1">
      <c r="A73" s="19" t="inlineStr">
        <is>
          <t>ניירות ניגוב</t>
        </is>
      </c>
      <c r="B73" s="76" t="inlineStr">
        <is>
          <t>גליל</t>
        </is>
      </c>
      <c r="C73" s="20" t="inlineStr">
        <is>
          <t>חד"פ וניקיון</t>
        </is>
      </c>
      <c r="D73" s="76" t="inlineStr">
        <is>
          <t>כן</t>
        </is>
      </c>
      <c r="E73" s="69" t="n">
        <v>12</v>
      </c>
    </row>
    <row r="74" ht="20" customHeight="1">
      <c r="A74" s="19" t="inlineStr">
        <is>
          <t>נייר טואלט</t>
        </is>
      </c>
      <c r="B74" s="76" t="inlineStr">
        <is>
          <t>גליל</t>
        </is>
      </c>
      <c r="C74" s="20" t="inlineStr">
        <is>
          <t>חד"פ וניקיון</t>
        </is>
      </c>
      <c r="D74" s="76" t="inlineStr">
        <is>
          <t>כן</t>
        </is>
      </c>
      <c r="E74" s="69" t="n">
        <v>24</v>
      </c>
    </row>
    <row r="75" ht="20" customHeight="1">
      <c r="A75" s="19" t="n"/>
      <c r="B75" s="76" t="n"/>
      <c r="C75" s="20" t="n"/>
      <c r="D75" s="76" t="n"/>
      <c r="E75" s="69" t="n"/>
    </row>
    <row r="76" ht="20" customHeight="1">
      <c r="A76" s="19" t="n"/>
      <c r="B76" s="76" t="n"/>
      <c r="C76" s="20" t="n"/>
      <c r="D76" s="76" t="n"/>
      <c r="E76" s="69" t="n"/>
    </row>
    <row r="77" ht="20" customHeight="1">
      <c r="A77" s="19" t="n"/>
      <c r="B77" s="76" t="n"/>
      <c r="C77" s="20" t="n"/>
      <c r="D77" s="76" t="n"/>
      <c r="E77" s="69" t="n"/>
    </row>
    <row r="78" ht="20" customHeight="1">
      <c r="A78" s="19" t="n"/>
      <c r="B78" s="76" t="n"/>
      <c r="C78" s="20" t="n"/>
      <c r="D78" s="76" t="n"/>
      <c r="E78" s="69" t="n"/>
    </row>
    <row r="79" ht="20" customHeight="1">
      <c r="A79" s="19" t="n"/>
      <c r="B79" s="76" t="n"/>
      <c r="C79" s="20" t="n"/>
      <c r="D79" s="76" t="n"/>
      <c r="E79" s="69" t="n"/>
    </row>
    <row r="80" ht="20" customHeight="1">
      <c r="A80" s="19" t="n"/>
      <c r="B80" s="76" t="n"/>
      <c r="C80" s="20" t="n"/>
      <c r="D80" s="76" t="n"/>
      <c r="E80" s="69" t="n"/>
    </row>
    <row r="81" ht="20" customHeight="1">
      <c r="A81" s="19" t="n"/>
      <c r="B81" s="76" t="n"/>
      <c r="C81" s="20" t="n"/>
      <c r="D81" s="76" t="n"/>
      <c r="E81" s="69" t="n"/>
    </row>
    <row r="82" ht="20" customHeight="1">
      <c r="A82" s="19" t="n"/>
      <c r="B82" s="76" t="n"/>
      <c r="C82" s="20" t="n"/>
      <c r="D82" s="76" t="n"/>
      <c r="E82" s="69" t="n"/>
    </row>
    <row r="83" ht="20" customHeight="1">
      <c r="A83" s="19" t="n"/>
      <c r="B83" s="76" t="n"/>
      <c r="C83" s="20" t="n"/>
      <c r="D83" s="76" t="n"/>
      <c r="E83" s="69" t="n"/>
    </row>
    <row r="84" ht="20" customHeight="1">
      <c r="A84" s="19" t="n"/>
      <c r="B84" s="76" t="n"/>
      <c r="C84" s="20" t="n"/>
      <c r="D84" s="76" t="n"/>
      <c r="E84" s="69" t="n"/>
    </row>
    <row r="85" ht="20" customHeight="1">
      <c r="A85" s="19" t="n"/>
      <c r="B85" s="76" t="n"/>
      <c r="C85" s="20" t="n"/>
      <c r="D85" s="76" t="n"/>
      <c r="E85" s="69" t="n"/>
    </row>
    <row r="86" ht="20" customHeight="1">
      <c r="A86" s="19" t="n"/>
      <c r="B86" s="76" t="n"/>
      <c r="C86" s="20" t="n"/>
      <c r="D86" s="76" t="n"/>
      <c r="E86" s="69" t="n"/>
    </row>
    <row r="87" ht="20" customHeight="1">
      <c r="A87" s="19" t="n"/>
      <c r="B87" s="76" t="n"/>
      <c r="C87" s="20" t="n"/>
      <c r="D87" s="76" t="n"/>
      <c r="E87" s="69" t="n"/>
    </row>
    <row r="88" ht="20" customHeight="1">
      <c r="A88" s="19" t="n"/>
      <c r="B88" s="76" t="n"/>
      <c r="C88" s="20" t="n"/>
      <c r="D88" s="76" t="n"/>
      <c r="E88" s="69" t="n"/>
    </row>
    <row r="89" ht="20" customHeight="1">
      <c r="A89" s="19" t="n"/>
      <c r="B89" s="76" t="n"/>
      <c r="C89" s="20" t="n"/>
      <c r="D89" s="76" t="n"/>
      <c r="E89" s="69" t="n"/>
    </row>
    <row r="90" ht="20" customHeight="1">
      <c r="A90" s="19" t="n"/>
      <c r="B90" s="76" t="n"/>
      <c r="C90" s="20" t="n"/>
      <c r="D90" s="76" t="n"/>
      <c r="E90" s="69" t="n"/>
    </row>
    <row r="91" ht="20" customHeight="1">
      <c r="A91" s="19" t="n"/>
      <c r="B91" s="76" t="n"/>
      <c r="C91" s="20" t="n"/>
      <c r="D91" s="76" t="n"/>
      <c r="E91" s="69" t="n"/>
    </row>
    <row r="92" ht="20" customHeight="1">
      <c r="A92" s="19" t="n"/>
      <c r="B92" s="76" t="n"/>
      <c r="C92" s="20" t="n"/>
      <c r="D92" s="76" t="n"/>
      <c r="E92" s="69" t="n"/>
    </row>
    <row r="93" ht="20" customHeight="1">
      <c r="A93" s="19" t="n"/>
      <c r="B93" s="76" t="n"/>
      <c r="C93" s="20" t="n"/>
      <c r="D93" s="76" t="n"/>
      <c r="E93" s="69" t="n"/>
    </row>
    <row r="94" ht="20" customHeight="1">
      <c r="A94" s="19" t="n"/>
      <c r="B94" s="76" t="n"/>
      <c r="C94" s="20" t="n"/>
      <c r="D94" s="76" t="n"/>
      <c r="E94" s="69" t="n"/>
    </row>
    <row r="95" ht="20" customHeight="1">
      <c r="A95" s="19" t="n"/>
      <c r="B95" s="76" t="n"/>
      <c r="C95" s="20" t="n"/>
      <c r="D95" s="76" t="n"/>
      <c r="E95" s="69" t="n"/>
    </row>
    <row r="96" ht="20" customHeight="1">
      <c r="A96" s="19" t="n"/>
      <c r="B96" s="76" t="n"/>
      <c r="C96" s="20" t="n"/>
      <c r="D96" s="76" t="n"/>
      <c r="E96" s="69" t="n"/>
    </row>
    <row r="97" ht="20" customHeight="1">
      <c r="A97" s="19" t="n"/>
      <c r="B97" s="76" t="n"/>
      <c r="C97" s="20" t="n"/>
      <c r="D97" s="76" t="n"/>
      <c r="E97" s="69" t="n"/>
    </row>
    <row r="98" ht="20" customHeight="1">
      <c r="A98" s="19" t="n"/>
      <c r="B98" s="76" t="n"/>
      <c r="C98" s="20" t="n"/>
      <c r="D98" s="76" t="n"/>
      <c r="E98" s="69" t="n"/>
    </row>
    <row r="99" ht="20" customHeight="1">
      <c r="A99" s="19" t="n"/>
      <c r="B99" s="76" t="n"/>
      <c r="C99" s="20" t="n"/>
      <c r="D99" s="76" t="n"/>
      <c r="E99" s="69" t="n"/>
    </row>
    <row r="100" ht="20" customHeight="1">
      <c r="A100" s="19" t="n"/>
      <c r="B100" s="76" t="n"/>
      <c r="C100" s="20" t="n"/>
      <c r="D100" s="76" t="n"/>
      <c r="E100" s="69" t="n"/>
    </row>
    <row r="101" ht="20" customHeight="1">
      <c r="A101" s="19" t="n"/>
      <c r="B101" s="76" t="n"/>
      <c r="C101" s="20" t="n"/>
      <c r="D101" s="76" t="n"/>
      <c r="E101" s="69" t="n"/>
    </row>
    <row r="102" ht="20" customHeight="1">
      <c r="A102" s="19" t="n"/>
      <c r="B102" s="76" t="n"/>
      <c r="C102" s="20" t="n"/>
      <c r="D102" s="76" t="n"/>
      <c r="E102" s="69" t="n"/>
    </row>
    <row r="104" ht="28" customHeight="1">
      <c r="A104" s="24" t="inlineStr">
        <is>
          <t>«מלאי קבוע = כן» אומר שהמצרך נמצא תמיד במטבח: הוא לא ייכנס לרשימת הקניות אלא לגיליון «לבדוק במטבח». כל שינוי כאן משנה את שתי הרשימות.</t>
        </is>
      </c>
    </row>
  </sheetData>
  <mergeCells count="2">
    <mergeCell ref="A104:E104"/>
    <mergeCell ref="A1:E1"/>
  </mergeCells>
  <dataValidations count="2">
    <dataValidation sqref="C3:C102" showDropDown="0" showInputMessage="0" showErrorMessage="0" allowBlank="1" type="list">
      <formula1>"חד"פ וניקיון,יבשים ואפייה,ירקות ופירות,לחם ומאפים,מוצרי חלב וביצים,קפואים,שימורים ורטבים,שתייה"</formula1>
    </dataValidation>
    <dataValidation sqref="D3:D102" showDropDown="0" showInputMessage="0" showErrorMessage="0" allowBlank="1" type="list">
      <formula1>"כן,לא"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93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16" t="inlineStr">
        <is>
          <t>ניתן לעריכה</t>
        </is>
      </c>
    </row>
    <row r="3">
      <c r="A3" s="94" t="n">
        <v>46269</v>
      </c>
      <c r="B3" s="20" t="inlineStr">
        <is>
          <t>נצבים, וילך</t>
        </is>
      </c>
      <c r="C3" s="82" t="n">
        <v>0.7638888888888888</v>
      </c>
      <c r="D3" s="82" t="n">
        <v>0.81875</v>
      </c>
      <c r="E3" s="95" t="inlineStr">
        <is>
          <t>הזמנים מחושבים לירושלים (כניסה 40 דק' לפני השקיעה, צאה 40 דק' אחריה) ומדויקים לדקה-שתיים. אם הלוח שלך אומר אחרת — תקנו את השורה. הצבע הצהוב מסמן שדה שמותר לשנות.</t>
        </is>
      </c>
    </row>
    <row r="4">
      <c r="A4" s="94" t="n">
        <v>46276</v>
      </c>
      <c r="B4" s="20" t="inlineStr">
        <is>
          <t>ראש השנה</t>
        </is>
      </c>
      <c r="C4" s="82" t="n">
        <v>0.7576388888888889</v>
      </c>
      <c r="D4" s="82" t="n">
        <v>0.8125</v>
      </c>
    </row>
    <row r="5">
      <c r="A5" s="94" t="n">
        <v>46283</v>
      </c>
      <c r="B5" s="20" t="inlineStr">
        <is>
          <t>האזינו</t>
        </is>
      </c>
      <c r="C5" s="82" t="n">
        <v>0.7513888888888889</v>
      </c>
      <c r="D5" s="82" t="n">
        <v>0.8055555555555556</v>
      </c>
    </row>
    <row r="6">
      <c r="A6" s="94" t="n">
        <v>46290</v>
      </c>
      <c r="B6" s="20" t="inlineStr">
        <is>
          <t>סוכות</t>
        </is>
      </c>
      <c r="C6" s="82" t="n">
        <v>0.7451388888888889</v>
      </c>
      <c r="D6" s="82" t="n">
        <v>0.7993055555555556</v>
      </c>
    </row>
    <row r="7">
      <c r="A7" s="94" t="n">
        <v>46297</v>
      </c>
      <c r="B7" s="20" t="inlineStr">
        <is>
          <t>שמיני עצרת</t>
        </is>
      </c>
      <c r="C7" s="82" t="n">
        <v>0.7388888888888889</v>
      </c>
      <c r="D7" s="82" t="n">
        <v>0.7930555555555555</v>
      </c>
    </row>
    <row r="8">
      <c r="A8" s="94" t="n">
        <v>46304</v>
      </c>
      <c r="B8" s="20" t="inlineStr">
        <is>
          <t>בראשית</t>
        </is>
      </c>
      <c r="C8" s="82" t="n">
        <v>0.7326388888888888</v>
      </c>
      <c r="D8" s="82" t="n">
        <v>0.7875</v>
      </c>
    </row>
    <row r="9">
      <c r="A9" s="94" t="n">
        <v>46311</v>
      </c>
      <c r="B9" s="20" t="inlineStr">
        <is>
          <t>נח</t>
        </is>
      </c>
      <c r="C9" s="82" t="n">
        <v>0.7263888888888889</v>
      </c>
      <c r="D9" s="82" t="n">
        <v>0.78125</v>
      </c>
    </row>
    <row r="10">
      <c r="A10" s="94" t="n">
        <v>46318</v>
      </c>
      <c r="B10" s="20" t="inlineStr">
        <is>
          <t>לך לך</t>
        </is>
      </c>
      <c r="C10" s="82" t="n">
        <v>0.7215277777777778</v>
      </c>
      <c r="D10" s="82" t="n">
        <v>0.7763888888888889</v>
      </c>
    </row>
    <row r="11">
      <c r="A11" s="94" t="n">
        <v>46325</v>
      </c>
      <c r="B11" s="20" t="inlineStr">
        <is>
          <t>וירא</t>
        </is>
      </c>
      <c r="C11" s="82" t="n">
        <v>0.675</v>
      </c>
      <c r="D11" s="82" t="n">
        <v>0.7298611111111111</v>
      </c>
    </row>
    <row r="12">
      <c r="A12" s="94" t="n">
        <v>46332</v>
      </c>
      <c r="B12" s="20" t="inlineStr">
        <is>
          <t>חיי שרה</t>
        </is>
      </c>
      <c r="C12" s="82" t="n">
        <v>0.6708333333333333</v>
      </c>
      <c r="D12" s="82" t="n">
        <v>0.7256944444444444</v>
      </c>
    </row>
    <row r="13">
      <c r="A13" s="94" t="n">
        <v>46339</v>
      </c>
      <c r="B13" s="20" t="inlineStr">
        <is>
          <t>תולדות</t>
        </is>
      </c>
      <c r="C13" s="82" t="n">
        <v>0.6673611111111111</v>
      </c>
      <c r="D13" s="82" t="n">
        <v>0.7229166666666667</v>
      </c>
    </row>
    <row r="14">
      <c r="A14" s="94" t="n">
        <v>46346</v>
      </c>
      <c r="B14" s="20" t="inlineStr">
        <is>
          <t>ויצא</t>
        </is>
      </c>
      <c r="C14" s="82" t="n">
        <v>0.6652777777777777</v>
      </c>
      <c r="D14" s="82" t="n">
        <v>0.7201388888888889</v>
      </c>
    </row>
    <row r="15">
      <c r="A15" s="94" t="n">
        <v>46353</v>
      </c>
      <c r="B15" s="20" t="inlineStr">
        <is>
          <t>וישלח</t>
        </is>
      </c>
      <c r="C15" s="82" t="n">
        <v>0.6638888888888889</v>
      </c>
      <c r="D15" s="82" t="n">
        <v>0.71875</v>
      </c>
    </row>
    <row r="16">
      <c r="A16" s="94" t="n">
        <v>46360</v>
      </c>
      <c r="B16" s="20" t="inlineStr">
        <is>
          <t>וישב (חנוכה)</t>
        </is>
      </c>
      <c r="C16" s="82" t="n">
        <v>0.6631944444444444</v>
      </c>
      <c r="D16" s="82" t="n">
        <v>0.71875</v>
      </c>
    </row>
    <row r="17">
      <c r="A17" s="94" t="n">
        <v>46367</v>
      </c>
      <c r="B17" s="20" t="inlineStr">
        <is>
          <t>מקץ (חנוכה)</t>
        </is>
      </c>
      <c r="C17" s="82" t="n">
        <v>0.6638888888888889</v>
      </c>
      <c r="D17" s="82" t="n">
        <v>0.7194444444444444</v>
      </c>
    </row>
    <row r="18">
      <c r="A18" s="94" t="n">
        <v>46374</v>
      </c>
      <c r="B18" s="20" t="inlineStr">
        <is>
          <t>ויגש</t>
        </is>
      </c>
      <c r="C18" s="82" t="n">
        <v>0.6652777777777777</v>
      </c>
      <c r="D18" s="82" t="n">
        <v>0.7208333333333333</v>
      </c>
    </row>
    <row r="19">
      <c r="A19" s="94" t="n">
        <v>46381</v>
      </c>
      <c r="B19" s="20" t="inlineStr">
        <is>
          <t>ויחי</t>
        </is>
      </c>
      <c r="C19" s="82" t="n">
        <v>0.6673611111111111</v>
      </c>
      <c r="D19" s="82" t="n">
        <v>0.7236111111111111</v>
      </c>
    </row>
    <row r="20">
      <c r="A20" s="94" t="n">
        <v>46388</v>
      </c>
      <c r="B20" s="20" t="inlineStr">
        <is>
          <t>שמות</t>
        </is>
      </c>
      <c r="C20" s="82" t="n">
        <v>0.6708333333333333</v>
      </c>
      <c r="D20" s="82" t="n">
        <v>0.7270833333333333</v>
      </c>
    </row>
    <row r="21">
      <c r="A21" s="94" t="n">
        <v>46395</v>
      </c>
      <c r="B21" s="20" t="inlineStr">
        <is>
          <t>וארא</t>
        </is>
      </c>
      <c r="C21" s="82" t="n">
        <v>0.675</v>
      </c>
      <c r="D21" s="82" t="n">
        <v>0.7305555555555555</v>
      </c>
    </row>
    <row r="22">
      <c r="A22" s="94" t="n">
        <v>46402</v>
      </c>
      <c r="B22" s="20" t="inlineStr">
        <is>
          <t>בא</t>
        </is>
      </c>
      <c r="C22" s="82" t="n">
        <v>0.6791666666666667</v>
      </c>
      <c r="D22" s="82" t="n">
        <v>0.7354166666666667</v>
      </c>
    </row>
    <row r="23">
      <c r="A23" s="94" t="n">
        <v>46409</v>
      </c>
      <c r="B23" s="20" t="inlineStr">
        <is>
          <t>בשלח (ט״ו בשבט)</t>
        </is>
      </c>
      <c r="C23" s="82" t="n">
        <v>0.6833333333333333</v>
      </c>
      <c r="D23" s="82" t="n">
        <v>0.7395833333333334</v>
      </c>
    </row>
    <row r="24">
      <c r="A24" s="94" t="n">
        <v>46416</v>
      </c>
      <c r="B24" s="20" t="inlineStr">
        <is>
          <t>יתרו</t>
        </is>
      </c>
      <c r="C24" s="82" t="n">
        <v>0.6875</v>
      </c>
      <c r="D24" s="82" t="n">
        <v>0.74375</v>
      </c>
    </row>
    <row r="25">
      <c r="A25" s="94" t="n">
        <v>46423</v>
      </c>
      <c r="B25" s="20" t="inlineStr">
        <is>
          <t>משפטים</t>
        </is>
      </c>
      <c r="C25" s="82" t="n">
        <v>0.6923611111111111</v>
      </c>
      <c r="D25" s="82" t="n">
        <v>0.7486111111111111</v>
      </c>
    </row>
    <row r="26">
      <c r="A26" s="94" t="n">
        <v>46430</v>
      </c>
      <c r="B26" s="20" t="inlineStr">
        <is>
          <t>תרומה</t>
        </is>
      </c>
      <c r="C26" s="82" t="n">
        <v>0.6965277777777777</v>
      </c>
      <c r="D26" s="82" t="n">
        <v>0.7527777777777778</v>
      </c>
    </row>
    <row r="27">
      <c r="A27" s="94" t="n">
        <v>46437</v>
      </c>
      <c r="B27" s="20" t="inlineStr">
        <is>
          <t>תצוה</t>
        </is>
      </c>
      <c r="C27" s="82" t="n">
        <v>0.7006944444444444</v>
      </c>
      <c r="D27" s="82" t="n">
        <v>0.7569444444444444</v>
      </c>
    </row>
    <row r="28">
      <c r="A28" s="94" t="n">
        <v>46444</v>
      </c>
      <c r="B28" s="20" t="inlineStr">
        <is>
          <t>כי תשא</t>
        </is>
      </c>
      <c r="C28" s="82" t="n">
        <v>0.7041666666666667</v>
      </c>
      <c r="D28" s="82" t="n">
        <v>0.7604166666666666</v>
      </c>
    </row>
    <row r="29">
      <c r="A29" s="94" t="n">
        <v>46451</v>
      </c>
      <c r="B29" s="20" t="inlineStr">
        <is>
          <t>ויקהל</t>
        </is>
      </c>
      <c r="C29" s="82" t="n">
        <v>0.7083333333333334</v>
      </c>
      <c r="D29" s="82" t="n">
        <v>0.7638888888888888</v>
      </c>
    </row>
    <row r="30">
      <c r="A30" s="94" t="n">
        <v>46458</v>
      </c>
      <c r="B30" s="20" t="inlineStr">
        <is>
          <t>פקודי</t>
        </is>
      </c>
      <c r="C30" s="82" t="n">
        <v>0.7118055555555556</v>
      </c>
      <c r="D30" s="82" t="n">
        <v>0.7680555555555556</v>
      </c>
    </row>
    <row r="31">
      <c r="A31" s="94" t="n">
        <v>46465</v>
      </c>
      <c r="B31" s="20" t="inlineStr">
        <is>
          <t>ויקרא</t>
        </is>
      </c>
      <c r="C31" s="82" t="n">
        <v>0.7152777777777778</v>
      </c>
      <c r="D31" s="82" t="n">
        <v>0.7708333333333334</v>
      </c>
    </row>
    <row r="32">
      <c r="A32" s="94" t="n">
        <v>46472</v>
      </c>
      <c r="B32" s="20" t="inlineStr">
        <is>
          <t>צו</t>
        </is>
      </c>
      <c r="C32" s="82" t="n">
        <v>0.7597222222222222</v>
      </c>
      <c r="D32" s="82" t="n">
        <v>0.8159722222222222</v>
      </c>
    </row>
    <row r="33">
      <c r="A33" s="94" t="n">
        <v>46479</v>
      </c>
      <c r="B33" s="20" t="inlineStr">
        <is>
          <t>שמיני</t>
        </is>
      </c>
      <c r="C33" s="82" t="n">
        <v>0.7631944444444444</v>
      </c>
      <c r="D33" s="82" t="n">
        <v>0.8194444444444444</v>
      </c>
    </row>
    <row r="34">
      <c r="A34" s="94" t="n">
        <v>46486</v>
      </c>
      <c r="B34" s="20" t="inlineStr">
        <is>
          <t>תזריע</t>
        </is>
      </c>
      <c r="C34" s="82" t="n">
        <v>0.7666666666666667</v>
      </c>
      <c r="D34" s="82" t="n">
        <v>0.8222222222222222</v>
      </c>
    </row>
    <row r="35">
      <c r="A35" s="94" t="n">
        <v>46493</v>
      </c>
      <c r="B35" s="20" t="inlineStr">
        <is>
          <t>מצורע</t>
        </is>
      </c>
      <c r="C35" s="82" t="n">
        <v>0.7701388888888889</v>
      </c>
      <c r="D35" s="82" t="n">
        <v>0.8256944444444444</v>
      </c>
    </row>
    <row r="36">
      <c r="A36" s="94" t="n">
        <v>46500</v>
      </c>
      <c r="B36" s="20" t="inlineStr">
        <is>
          <t>פסח</t>
        </is>
      </c>
      <c r="C36" s="82" t="n">
        <v>0.7729166666666667</v>
      </c>
      <c r="D36" s="82" t="n">
        <v>0.8291666666666667</v>
      </c>
    </row>
    <row r="37">
      <c r="A37" s="94" t="n">
        <v>46507</v>
      </c>
      <c r="B37" s="20" t="inlineStr">
        <is>
          <t>אחרי מות</t>
        </is>
      </c>
      <c r="C37" s="82" t="n">
        <v>0.7763888888888889</v>
      </c>
      <c r="D37" s="82" t="n">
        <v>0.8326388888888889</v>
      </c>
    </row>
    <row r="38">
      <c r="A38" s="94" t="n">
        <v>46514</v>
      </c>
      <c r="B38" s="20" t="inlineStr">
        <is>
          <t>קדושים</t>
        </is>
      </c>
      <c r="C38" s="82" t="n">
        <v>0.7798611111111111</v>
      </c>
      <c r="D38" s="82" t="n">
        <v>0.8361111111111111</v>
      </c>
    </row>
    <row r="39">
      <c r="A39" s="94" t="n">
        <v>46521</v>
      </c>
      <c r="B39" s="20" t="inlineStr">
        <is>
          <t>אמור</t>
        </is>
      </c>
      <c r="C39" s="82" t="n">
        <v>0.7833333333333333</v>
      </c>
      <c r="D39" s="82" t="n">
        <v>0.8395833333333333</v>
      </c>
    </row>
    <row r="40">
      <c r="A40" s="94" t="n">
        <v>46528</v>
      </c>
      <c r="B40" s="20" t="inlineStr">
        <is>
          <t>בהר</t>
        </is>
      </c>
      <c r="C40" s="82" t="n">
        <v>0.7868055555555555</v>
      </c>
      <c r="D40" s="82" t="n">
        <v>0.8423611111111111</v>
      </c>
    </row>
    <row r="41">
      <c r="A41" s="94" t="n">
        <v>46535</v>
      </c>
      <c r="B41" s="20" t="inlineStr">
        <is>
          <t>בחוקותי</t>
        </is>
      </c>
      <c r="C41" s="82" t="n">
        <v>0.7895833333333333</v>
      </c>
      <c r="D41" s="82" t="n">
        <v>0.8458333333333333</v>
      </c>
    </row>
    <row r="42">
      <c r="A42" s="94" t="n">
        <v>46542</v>
      </c>
      <c r="B42" s="20" t="inlineStr">
        <is>
          <t>במדבר</t>
        </is>
      </c>
      <c r="C42" s="82" t="n">
        <v>0.7923611111111111</v>
      </c>
      <c r="D42" s="82" t="n">
        <v>0.8486111111111111</v>
      </c>
    </row>
    <row r="43">
      <c r="A43" s="94" t="n">
        <v>46549</v>
      </c>
      <c r="B43" s="20" t="inlineStr">
        <is>
          <t>נשא</t>
        </is>
      </c>
      <c r="C43" s="82" t="n">
        <v>0.7944444444444444</v>
      </c>
      <c r="D43" s="82" t="n">
        <v>0.8506944444444444</v>
      </c>
    </row>
    <row r="44">
      <c r="A44" s="94" t="n">
        <v>46556</v>
      </c>
      <c r="B44" s="20" t="inlineStr">
        <is>
          <t>בהעלותך</t>
        </is>
      </c>
      <c r="C44" s="82" t="n">
        <v>0.7965277777777777</v>
      </c>
      <c r="D44" s="82" t="n">
        <v>0.8520833333333333</v>
      </c>
    </row>
    <row r="45">
      <c r="A45" s="94" t="n">
        <v>46563</v>
      </c>
      <c r="B45" s="20" t="inlineStr">
        <is>
          <t>שלח</t>
        </is>
      </c>
      <c r="C45" s="82" t="n">
        <v>0.7972222222222223</v>
      </c>
      <c r="D45" s="82" t="n">
        <v>0.8527777777777777</v>
      </c>
    </row>
    <row r="46">
      <c r="A46" s="94" t="n">
        <v>46570</v>
      </c>
      <c r="B46" s="20" t="inlineStr">
        <is>
          <t>קרח</t>
        </is>
      </c>
      <c r="C46" s="82" t="n">
        <v>0.7979166666666667</v>
      </c>
      <c r="D46" s="82" t="n">
        <v>0.8534722222222222</v>
      </c>
    </row>
    <row r="47">
      <c r="A47" s="94" t="n">
        <v>46577</v>
      </c>
      <c r="B47" s="20" t="inlineStr">
        <is>
          <t>חקת</t>
        </is>
      </c>
      <c r="C47" s="82" t="n">
        <v>0.7972222222222223</v>
      </c>
      <c r="D47" s="82" t="n">
        <v>0.8520833333333333</v>
      </c>
    </row>
    <row r="48">
      <c r="A48" s="94" t="n">
        <v>46584</v>
      </c>
      <c r="B48" s="20" t="inlineStr">
        <is>
          <t>בלק</t>
        </is>
      </c>
      <c r="C48" s="82" t="n">
        <v>0.7958333333333333</v>
      </c>
      <c r="D48" s="82" t="n">
        <v>0.8506944444444444</v>
      </c>
    </row>
    <row r="49">
      <c r="A49" s="94" t="n">
        <v>46591</v>
      </c>
      <c r="B49" s="20" t="inlineStr">
        <is>
          <t>פינחס</t>
        </is>
      </c>
      <c r="C49" s="82" t="n">
        <v>0.7930555555555555</v>
      </c>
      <c r="D49" s="82" t="n">
        <v>0.8486111111111111</v>
      </c>
    </row>
    <row r="50">
      <c r="A50" s="94" t="n">
        <v>46598</v>
      </c>
      <c r="B50" s="20" t="inlineStr">
        <is>
          <t>מטות, מסעי</t>
        </is>
      </c>
      <c r="C50" s="82" t="n">
        <v>0.7902777777777777</v>
      </c>
      <c r="D50" s="82" t="n">
        <v>0.8451388888888889</v>
      </c>
    </row>
    <row r="51">
      <c r="A51" s="94" t="n">
        <v>46605</v>
      </c>
      <c r="B51" s="20" t="inlineStr">
        <is>
          <t>דברים</t>
        </is>
      </c>
      <c r="C51" s="82" t="n">
        <v>0.7861111111111111</v>
      </c>
      <c r="D51" s="82" t="n">
        <v>0.8409722222222222</v>
      </c>
    </row>
    <row r="52">
      <c r="A52" s="94" t="n">
        <v>46612</v>
      </c>
      <c r="B52" s="20" t="inlineStr">
        <is>
          <t>ואתחנן</t>
        </is>
      </c>
      <c r="C52" s="82" t="n">
        <v>0.78125</v>
      </c>
      <c r="D52" s="82" t="n">
        <v>0.8361111111111111</v>
      </c>
    </row>
    <row r="53">
      <c r="A53" s="94" t="n">
        <v>46619</v>
      </c>
      <c r="B53" s="20" t="inlineStr">
        <is>
          <t>עקב</t>
        </is>
      </c>
      <c r="C53" s="82" t="n">
        <v>0.7763888888888889</v>
      </c>
      <c r="D53" s="82" t="n">
        <v>0.83125</v>
      </c>
    </row>
    <row r="54">
      <c r="A54" s="94" t="n">
        <v>46626</v>
      </c>
      <c r="B54" s="20" t="inlineStr">
        <is>
          <t>ראה</t>
        </is>
      </c>
      <c r="C54" s="82" t="n">
        <v>0.7708333333333334</v>
      </c>
      <c r="D54" s="82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2026-09-03T15:10:27Z</dcterms:created>
  <dcterms:modified xsi:type="dcterms:W3CDTF">2026-09-03T15:10:28Z</dcterms:modified>
</cp:coreProperties>
</file>