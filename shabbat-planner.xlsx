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hh:mm"/>
    <numFmt numFmtId="166" formatCode="0.##;-0.##;"/>
    <numFmt numFmtId="167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6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165" fontId="4" fillId="0" borderId="1" applyAlignment="1" pivotButton="0" quotePrefix="0" xfId="0">
      <alignment horizontal="center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/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29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IF('קבוצות'!$D$3="","",'קבוצות'!$D$3)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33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33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33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33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33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33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33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33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33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33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33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33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33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33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33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33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33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33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IF('קבוצות'!$D$4="","",'קבוצות'!$D$4)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33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33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33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33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33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33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33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33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33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33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33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33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33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33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33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33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33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33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IF('קבוצות'!$D$5="","",'קבוצות'!$D$5)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33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33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33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33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33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33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33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33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33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33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33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33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33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33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33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33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33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33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IF('קבוצות'!$D$6="","",'קבוצות'!$D$6)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33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33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33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33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33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33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33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33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33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33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33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33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33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33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33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33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33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33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IF('קבוצות'!$D$7="","",'קבוצות'!$D$7)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33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33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33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33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33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33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33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33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33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33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33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33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33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33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33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33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33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33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IF('קבוצות'!$D$8="","",'קבוצות'!$D$8)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33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33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33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33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33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33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33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33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33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33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33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33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33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33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33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33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33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33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  <row r="151" ht="42" customHeight="1">
      <c r="A151" s="25">
        <f>IF('קבוצות'!$A$9="","",'קבוצות'!$A$9)</f>
        <v/>
      </c>
    </row>
    <row r="152" ht="60" customHeight="1">
      <c r="A152" s="26">
        <f>IF('קבוצות'!$D$9="","",'קבוצות'!$D$9)</f>
        <v/>
      </c>
    </row>
    <row r="153" ht="20" customHeight="1">
      <c r="A15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54" ht="22" customHeight="1">
      <c r="A154" s="28" t="inlineStr">
        <is>
          <t>מתי</t>
        </is>
      </c>
      <c r="B154" s="28" t="inlineStr">
        <is>
          <t>שעה</t>
        </is>
      </c>
      <c r="C154" s="28" t="inlineStr">
        <is>
          <t>קטגוריה</t>
        </is>
      </c>
      <c r="D154" s="28" t="inlineStr">
        <is>
          <t>משימה</t>
        </is>
      </c>
      <c r="F154" s="28" t="inlineStr">
        <is>
          <t>פרטים</t>
        </is>
      </c>
    </row>
    <row r="155" ht="28" customHeight="1">
      <c r="A155" s="29">
        <f>IF($H155="","",IF($H155=$H154,"",$H155))</f>
        <v/>
      </c>
      <c r="B155" s="30">
        <f>IF(N($K155)=0,"",TEXT(HOUR($K155),"00")&amp;":"&amp;TEXT(MINUTE($K155),"00"))</f>
        <v/>
      </c>
      <c r="C155" s="31">
        <f>$L155</f>
        <v/>
      </c>
      <c r="D155" s="32">
        <f>$I155</f>
        <v/>
      </c>
      <c r="E155" s="33" t="n"/>
      <c r="F155" s="34">
        <f>$J155</f>
        <v/>
      </c>
      <c r="H155">
        <f>IFERROR(INDEX('שיבוץ'!$B$3:$B$152,MATCH('קבוצות'!$A$9&amp;"|"&amp;1,'שיבוץ'!$K$3:$K$152,0))&amp;"","")</f>
        <v/>
      </c>
      <c r="I155">
        <f>IFERROR(INDEX('שיבוץ'!$D$3:$D$152,MATCH('קבוצות'!$A$9&amp;"|"&amp;1,'שיבוץ'!$K$3:$K$152,0))&amp;"","")</f>
        <v/>
      </c>
      <c r="J155">
        <f>IFERROR(INDEX('שיבוץ'!$F$3:$F$152,MATCH('קבוצות'!$A$9&amp;"|"&amp;1,'שיבוץ'!$K$3:$K$152,0))&amp;"","")</f>
        <v/>
      </c>
      <c r="K155">
        <f>IFERROR(INDEX('שיבוץ'!$C$3:$C$152,MATCH('קבוצות'!$A$9&amp;"|"&amp;1,'שיבוץ'!$K$3:$K$152,0)),"")</f>
        <v/>
      </c>
      <c r="L155">
        <f>IFERROR(INDEX('שיבוץ'!$E$3:$E$152,MATCH('קבוצות'!$A$9&amp;"|"&amp;1,'שיבוץ'!$K$3:$K$152,0))&amp;"","")</f>
        <v/>
      </c>
    </row>
    <row r="156" ht="28" customHeight="1">
      <c r="A156" s="29">
        <f>IF($H156="","",IF($H156=$H155,"",$H156))</f>
        <v/>
      </c>
      <c r="B156" s="30">
        <f>IF(N($K156)=0,"",TEXT(HOUR($K156),"00")&amp;":"&amp;TEXT(MINUTE($K156),"00"))</f>
        <v/>
      </c>
      <c r="C156" s="31">
        <f>$L156</f>
        <v/>
      </c>
      <c r="D156" s="32">
        <f>$I156</f>
        <v/>
      </c>
      <c r="E156" s="33" t="n"/>
      <c r="F156" s="34">
        <f>$J156</f>
        <v/>
      </c>
      <c r="H156">
        <f>IFERROR(INDEX('שיבוץ'!$B$3:$B$152,MATCH('קבוצות'!$A$9&amp;"|"&amp;2,'שיבוץ'!$K$3:$K$152,0))&amp;"","")</f>
        <v/>
      </c>
      <c r="I156">
        <f>IFERROR(INDEX('שיבוץ'!$D$3:$D$152,MATCH('קבוצות'!$A$9&amp;"|"&amp;2,'שיבוץ'!$K$3:$K$152,0))&amp;"","")</f>
        <v/>
      </c>
      <c r="J156">
        <f>IFERROR(INDEX('שיבוץ'!$F$3:$F$152,MATCH('קבוצות'!$A$9&amp;"|"&amp;2,'שיבוץ'!$K$3:$K$152,0))&amp;"","")</f>
        <v/>
      </c>
      <c r="K156">
        <f>IFERROR(INDEX('שיבוץ'!$C$3:$C$152,MATCH('קבוצות'!$A$9&amp;"|"&amp;2,'שיבוץ'!$K$3:$K$152,0)),"")</f>
        <v/>
      </c>
      <c r="L156">
        <f>IFERROR(INDEX('שיבוץ'!$E$3:$E$152,MATCH('קבוצות'!$A$9&amp;"|"&amp;2,'שיבוץ'!$K$3:$K$152,0))&amp;"","")</f>
        <v/>
      </c>
    </row>
    <row r="157" ht="28" customHeight="1">
      <c r="A157" s="29">
        <f>IF($H157="","",IF($H157=$H156,"",$H157))</f>
        <v/>
      </c>
      <c r="B157" s="30">
        <f>IF(N($K157)=0,"",TEXT(HOUR($K157),"00")&amp;":"&amp;TEXT(MINUTE($K157),"00"))</f>
        <v/>
      </c>
      <c r="C157" s="31">
        <f>$L157</f>
        <v/>
      </c>
      <c r="D157" s="32">
        <f>$I157</f>
        <v/>
      </c>
      <c r="E157" s="33" t="n"/>
      <c r="F157" s="34">
        <f>$J157</f>
        <v/>
      </c>
      <c r="H157">
        <f>IFERROR(INDEX('שיבוץ'!$B$3:$B$152,MATCH('קבוצות'!$A$9&amp;"|"&amp;3,'שיבוץ'!$K$3:$K$152,0))&amp;"","")</f>
        <v/>
      </c>
      <c r="I157">
        <f>IFERROR(INDEX('שיבוץ'!$D$3:$D$152,MATCH('קבוצות'!$A$9&amp;"|"&amp;3,'שיבוץ'!$K$3:$K$152,0))&amp;"","")</f>
        <v/>
      </c>
      <c r="J157">
        <f>IFERROR(INDEX('שיבוץ'!$F$3:$F$152,MATCH('קבוצות'!$A$9&amp;"|"&amp;3,'שיבוץ'!$K$3:$K$152,0))&amp;"","")</f>
        <v/>
      </c>
      <c r="K157">
        <f>IFERROR(INDEX('שיבוץ'!$C$3:$C$152,MATCH('קבוצות'!$A$9&amp;"|"&amp;3,'שיבוץ'!$K$3:$K$152,0)),"")</f>
        <v/>
      </c>
      <c r="L157">
        <f>IFERROR(INDEX('שיבוץ'!$E$3:$E$152,MATCH('קבוצות'!$A$9&amp;"|"&amp;3,'שיבוץ'!$K$3:$K$152,0))&amp;"","")</f>
        <v/>
      </c>
    </row>
    <row r="158" ht="28" customHeight="1">
      <c r="A158" s="29">
        <f>IF($H158="","",IF($H158=$H157,"",$H158))</f>
        <v/>
      </c>
      <c r="B158" s="30">
        <f>IF(N($K158)=0,"",TEXT(HOUR($K158),"00")&amp;":"&amp;TEXT(MINUTE($K158),"00"))</f>
        <v/>
      </c>
      <c r="C158" s="31">
        <f>$L158</f>
        <v/>
      </c>
      <c r="D158" s="32">
        <f>$I158</f>
        <v/>
      </c>
      <c r="E158" s="33" t="n"/>
      <c r="F158" s="34">
        <f>$J158</f>
        <v/>
      </c>
      <c r="H158">
        <f>IFERROR(INDEX('שיבוץ'!$B$3:$B$152,MATCH('קבוצות'!$A$9&amp;"|"&amp;4,'שיבוץ'!$K$3:$K$152,0))&amp;"","")</f>
        <v/>
      </c>
      <c r="I158">
        <f>IFERROR(INDEX('שיבוץ'!$D$3:$D$152,MATCH('קבוצות'!$A$9&amp;"|"&amp;4,'שיבוץ'!$K$3:$K$152,0))&amp;"","")</f>
        <v/>
      </c>
      <c r="J158">
        <f>IFERROR(INDEX('שיבוץ'!$F$3:$F$152,MATCH('קבוצות'!$A$9&amp;"|"&amp;4,'שיבוץ'!$K$3:$K$152,0))&amp;"","")</f>
        <v/>
      </c>
      <c r="K158">
        <f>IFERROR(INDEX('שיבוץ'!$C$3:$C$152,MATCH('קבוצות'!$A$9&amp;"|"&amp;4,'שיבוץ'!$K$3:$K$152,0)),"")</f>
        <v/>
      </c>
      <c r="L158">
        <f>IFERROR(INDEX('שיבוץ'!$E$3:$E$152,MATCH('קבוצות'!$A$9&amp;"|"&amp;4,'שיבוץ'!$K$3:$K$152,0))&amp;"","")</f>
        <v/>
      </c>
    </row>
    <row r="159" ht="28" customHeight="1">
      <c r="A159" s="29">
        <f>IF($H159="","",IF($H159=$H158,"",$H159))</f>
        <v/>
      </c>
      <c r="B159" s="30">
        <f>IF(N($K159)=0,"",TEXT(HOUR($K159),"00")&amp;":"&amp;TEXT(MINUTE($K159),"00"))</f>
        <v/>
      </c>
      <c r="C159" s="31">
        <f>$L159</f>
        <v/>
      </c>
      <c r="D159" s="32">
        <f>$I159</f>
        <v/>
      </c>
      <c r="E159" s="33" t="n"/>
      <c r="F159" s="34">
        <f>$J159</f>
        <v/>
      </c>
      <c r="H159">
        <f>IFERROR(INDEX('שיבוץ'!$B$3:$B$152,MATCH('קבוצות'!$A$9&amp;"|"&amp;5,'שיבוץ'!$K$3:$K$152,0))&amp;"","")</f>
        <v/>
      </c>
      <c r="I159">
        <f>IFERROR(INDEX('שיבוץ'!$D$3:$D$152,MATCH('קבוצות'!$A$9&amp;"|"&amp;5,'שיבוץ'!$K$3:$K$152,0))&amp;"","")</f>
        <v/>
      </c>
      <c r="J159">
        <f>IFERROR(INDEX('שיבוץ'!$F$3:$F$152,MATCH('קבוצות'!$A$9&amp;"|"&amp;5,'שיבוץ'!$K$3:$K$152,0))&amp;"","")</f>
        <v/>
      </c>
      <c r="K159">
        <f>IFERROR(INDEX('שיבוץ'!$C$3:$C$152,MATCH('קבוצות'!$A$9&amp;"|"&amp;5,'שיבוץ'!$K$3:$K$152,0)),"")</f>
        <v/>
      </c>
      <c r="L159">
        <f>IFERROR(INDEX('שיבוץ'!$E$3:$E$152,MATCH('קבוצות'!$A$9&amp;"|"&amp;5,'שיבוץ'!$K$3:$K$152,0))&amp;"","")</f>
        <v/>
      </c>
    </row>
    <row r="160" ht="28" customHeight="1">
      <c r="A160" s="29">
        <f>IF($H160="","",IF($H160=$H159,"",$H160))</f>
        <v/>
      </c>
      <c r="B160" s="30">
        <f>IF(N($K160)=0,"",TEXT(HOUR($K160),"00")&amp;":"&amp;TEXT(MINUTE($K160),"00"))</f>
        <v/>
      </c>
      <c r="C160" s="31">
        <f>$L160</f>
        <v/>
      </c>
      <c r="D160" s="32">
        <f>$I160</f>
        <v/>
      </c>
      <c r="E160" s="33" t="n"/>
      <c r="F160" s="34">
        <f>$J160</f>
        <v/>
      </c>
      <c r="H160">
        <f>IFERROR(INDEX('שיבוץ'!$B$3:$B$152,MATCH('קבוצות'!$A$9&amp;"|"&amp;6,'שיבוץ'!$K$3:$K$152,0))&amp;"","")</f>
        <v/>
      </c>
      <c r="I160">
        <f>IFERROR(INDEX('שיבוץ'!$D$3:$D$152,MATCH('קבוצות'!$A$9&amp;"|"&amp;6,'שיבוץ'!$K$3:$K$152,0))&amp;"","")</f>
        <v/>
      </c>
      <c r="J160">
        <f>IFERROR(INDEX('שיבוץ'!$F$3:$F$152,MATCH('קבוצות'!$A$9&amp;"|"&amp;6,'שיבוץ'!$K$3:$K$152,0))&amp;"","")</f>
        <v/>
      </c>
      <c r="K160">
        <f>IFERROR(INDEX('שיבוץ'!$C$3:$C$152,MATCH('קבוצות'!$A$9&amp;"|"&amp;6,'שיבוץ'!$K$3:$K$152,0)),"")</f>
        <v/>
      </c>
      <c r="L160">
        <f>IFERROR(INDEX('שיבוץ'!$E$3:$E$152,MATCH('קבוצות'!$A$9&amp;"|"&amp;6,'שיבוץ'!$K$3:$K$152,0))&amp;"","")</f>
        <v/>
      </c>
    </row>
    <row r="161" ht="28" customHeight="1">
      <c r="A161" s="29">
        <f>IF($H161="","",IF($H161=$H160,"",$H161))</f>
        <v/>
      </c>
      <c r="B161" s="30">
        <f>IF(N($K161)=0,"",TEXT(HOUR($K161),"00")&amp;":"&amp;TEXT(MINUTE($K161),"00"))</f>
        <v/>
      </c>
      <c r="C161" s="31">
        <f>$L161</f>
        <v/>
      </c>
      <c r="D161" s="32">
        <f>$I161</f>
        <v/>
      </c>
      <c r="E161" s="33" t="n"/>
      <c r="F161" s="34">
        <f>$J161</f>
        <v/>
      </c>
      <c r="H161">
        <f>IFERROR(INDEX('שיבוץ'!$B$3:$B$152,MATCH('קבוצות'!$A$9&amp;"|"&amp;7,'שיבוץ'!$K$3:$K$152,0))&amp;"","")</f>
        <v/>
      </c>
      <c r="I161">
        <f>IFERROR(INDEX('שיבוץ'!$D$3:$D$152,MATCH('קבוצות'!$A$9&amp;"|"&amp;7,'שיבוץ'!$K$3:$K$152,0))&amp;"","")</f>
        <v/>
      </c>
      <c r="J161">
        <f>IFERROR(INDEX('שיבוץ'!$F$3:$F$152,MATCH('קבוצות'!$A$9&amp;"|"&amp;7,'שיבוץ'!$K$3:$K$152,0))&amp;"","")</f>
        <v/>
      </c>
      <c r="K161">
        <f>IFERROR(INDEX('שיבוץ'!$C$3:$C$152,MATCH('קבוצות'!$A$9&amp;"|"&amp;7,'שיבוץ'!$K$3:$K$152,0)),"")</f>
        <v/>
      </c>
      <c r="L161">
        <f>IFERROR(INDEX('שיבוץ'!$E$3:$E$152,MATCH('קבוצות'!$A$9&amp;"|"&amp;7,'שיבוץ'!$K$3:$K$152,0))&amp;"","")</f>
        <v/>
      </c>
    </row>
    <row r="162" ht="28" customHeight="1">
      <c r="A162" s="29">
        <f>IF($H162="","",IF($H162=$H161,"",$H162))</f>
        <v/>
      </c>
      <c r="B162" s="30">
        <f>IF(N($K162)=0,"",TEXT(HOUR($K162),"00")&amp;":"&amp;TEXT(MINUTE($K162),"00"))</f>
        <v/>
      </c>
      <c r="C162" s="31">
        <f>$L162</f>
        <v/>
      </c>
      <c r="D162" s="32">
        <f>$I162</f>
        <v/>
      </c>
      <c r="E162" s="33" t="n"/>
      <c r="F162" s="34">
        <f>$J162</f>
        <v/>
      </c>
      <c r="H162">
        <f>IFERROR(INDEX('שיבוץ'!$B$3:$B$152,MATCH('קבוצות'!$A$9&amp;"|"&amp;8,'שיבוץ'!$K$3:$K$152,0))&amp;"","")</f>
        <v/>
      </c>
      <c r="I162">
        <f>IFERROR(INDEX('שיבוץ'!$D$3:$D$152,MATCH('קבוצות'!$A$9&amp;"|"&amp;8,'שיבוץ'!$K$3:$K$152,0))&amp;"","")</f>
        <v/>
      </c>
      <c r="J162">
        <f>IFERROR(INDEX('שיבוץ'!$F$3:$F$152,MATCH('קבוצות'!$A$9&amp;"|"&amp;8,'שיבוץ'!$K$3:$K$152,0))&amp;"","")</f>
        <v/>
      </c>
      <c r="K162">
        <f>IFERROR(INDEX('שיבוץ'!$C$3:$C$152,MATCH('קבוצות'!$A$9&amp;"|"&amp;8,'שיבוץ'!$K$3:$K$152,0)),"")</f>
        <v/>
      </c>
      <c r="L162">
        <f>IFERROR(INDEX('שיבוץ'!$E$3:$E$152,MATCH('קבוצות'!$A$9&amp;"|"&amp;8,'שיבוץ'!$K$3:$K$152,0))&amp;"","")</f>
        <v/>
      </c>
    </row>
    <row r="163" ht="28" customHeight="1">
      <c r="A163" s="29">
        <f>IF($H163="","",IF($H163=$H162,"",$H163))</f>
        <v/>
      </c>
      <c r="B163" s="30">
        <f>IF(N($K163)=0,"",TEXT(HOUR($K163),"00")&amp;":"&amp;TEXT(MINUTE($K163),"00"))</f>
        <v/>
      </c>
      <c r="C163" s="31">
        <f>$L163</f>
        <v/>
      </c>
      <c r="D163" s="32">
        <f>$I163</f>
        <v/>
      </c>
      <c r="E163" s="33" t="n"/>
      <c r="F163" s="34">
        <f>$J163</f>
        <v/>
      </c>
      <c r="H163">
        <f>IFERROR(INDEX('שיבוץ'!$B$3:$B$152,MATCH('קבוצות'!$A$9&amp;"|"&amp;9,'שיבוץ'!$K$3:$K$152,0))&amp;"","")</f>
        <v/>
      </c>
      <c r="I163">
        <f>IFERROR(INDEX('שיבוץ'!$D$3:$D$152,MATCH('קבוצות'!$A$9&amp;"|"&amp;9,'שיבוץ'!$K$3:$K$152,0))&amp;"","")</f>
        <v/>
      </c>
      <c r="J163">
        <f>IFERROR(INDEX('שיבוץ'!$F$3:$F$152,MATCH('קבוצות'!$A$9&amp;"|"&amp;9,'שיבוץ'!$K$3:$K$152,0))&amp;"","")</f>
        <v/>
      </c>
      <c r="K163">
        <f>IFERROR(INDEX('שיבוץ'!$C$3:$C$152,MATCH('קבוצות'!$A$9&amp;"|"&amp;9,'שיבוץ'!$K$3:$K$152,0)),"")</f>
        <v/>
      </c>
      <c r="L163">
        <f>IFERROR(INDEX('שיבוץ'!$E$3:$E$152,MATCH('קבוצות'!$A$9&amp;"|"&amp;9,'שיבוץ'!$K$3:$K$152,0))&amp;"","")</f>
        <v/>
      </c>
    </row>
    <row r="164" ht="28" customHeight="1">
      <c r="A164" s="29">
        <f>IF($H164="","",IF($H164=$H163,"",$H164))</f>
        <v/>
      </c>
      <c r="B164" s="30">
        <f>IF(N($K164)=0,"",TEXT(HOUR($K164),"00")&amp;":"&amp;TEXT(MINUTE($K164),"00"))</f>
        <v/>
      </c>
      <c r="C164" s="31">
        <f>$L164</f>
        <v/>
      </c>
      <c r="D164" s="32">
        <f>$I164</f>
        <v/>
      </c>
      <c r="E164" s="33" t="n"/>
      <c r="F164" s="34">
        <f>$J164</f>
        <v/>
      </c>
      <c r="H164">
        <f>IFERROR(INDEX('שיבוץ'!$B$3:$B$152,MATCH('קבוצות'!$A$9&amp;"|"&amp;10,'שיבוץ'!$K$3:$K$152,0))&amp;"","")</f>
        <v/>
      </c>
      <c r="I164">
        <f>IFERROR(INDEX('שיבוץ'!$D$3:$D$152,MATCH('קבוצות'!$A$9&amp;"|"&amp;10,'שיבוץ'!$K$3:$K$152,0))&amp;"","")</f>
        <v/>
      </c>
      <c r="J164">
        <f>IFERROR(INDEX('שיבוץ'!$F$3:$F$152,MATCH('קבוצות'!$A$9&amp;"|"&amp;10,'שיבוץ'!$K$3:$K$152,0))&amp;"","")</f>
        <v/>
      </c>
      <c r="K164">
        <f>IFERROR(INDEX('שיבוץ'!$C$3:$C$152,MATCH('קבוצות'!$A$9&amp;"|"&amp;10,'שיבוץ'!$K$3:$K$152,0)),"")</f>
        <v/>
      </c>
      <c r="L164">
        <f>IFERROR(INDEX('שיבוץ'!$E$3:$E$152,MATCH('קבוצות'!$A$9&amp;"|"&amp;10,'שיבוץ'!$K$3:$K$152,0))&amp;"","")</f>
        <v/>
      </c>
    </row>
    <row r="165" ht="28" customHeight="1">
      <c r="A165" s="29">
        <f>IF($H165="","",IF($H165=$H164,"",$H165))</f>
        <v/>
      </c>
      <c r="B165" s="30">
        <f>IF(N($K165)=0,"",TEXT(HOUR($K165),"00")&amp;":"&amp;TEXT(MINUTE($K165),"00"))</f>
        <v/>
      </c>
      <c r="C165" s="31">
        <f>$L165</f>
        <v/>
      </c>
      <c r="D165" s="32">
        <f>$I165</f>
        <v/>
      </c>
      <c r="E165" s="33" t="n"/>
      <c r="F165" s="34">
        <f>$J165</f>
        <v/>
      </c>
      <c r="H165">
        <f>IFERROR(INDEX('שיבוץ'!$B$3:$B$152,MATCH('קבוצות'!$A$9&amp;"|"&amp;11,'שיבוץ'!$K$3:$K$152,0))&amp;"","")</f>
        <v/>
      </c>
      <c r="I165">
        <f>IFERROR(INDEX('שיבוץ'!$D$3:$D$152,MATCH('קבוצות'!$A$9&amp;"|"&amp;11,'שיבוץ'!$K$3:$K$152,0))&amp;"","")</f>
        <v/>
      </c>
      <c r="J165">
        <f>IFERROR(INDEX('שיבוץ'!$F$3:$F$152,MATCH('קבוצות'!$A$9&amp;"|"&amp;11,'שיבוץ'!$K$3:$K$152,0))&amp;"","")</f>
        <v/>
      </c>
      <c r="K165">
        <f>IFERROR(INDEX('שיבוץ'!$C$3:$C$152,MATCH('קבוצות'!$A$9&amp;"|"&amp;11,'שיבוץ'!$K$3:$K$152,0)),"")</f>
        <v/>
      </c>
      <c r="L165">
        <f>IFERROR(INDEX('שיבוץ'!$E$3:$E$152,MATCH('קבוצות'!$A$9&amp;"|"&amp;11,'שיבוץ'!$K$3:$K$152,0))&amp;"","")</f>
        <v/>
      </c>
    </row>
    <row r="166" ht="28" customHeight="1">
      <c r="A166" s="29">
        <f>IF($H166="","",IF($H166=$H165,"",$H166))</f>
        <v/>
      </c>
      <c r="B166" s="30">
        <f>IF(N($K166)=0,"",TEXT(HOUR($K166),"00")&amp;":"&amp;TEXT(MINUTE($K166),"00"))</f>
        <v/>
      </c>
      <c r="C166" s="31">
        <f>$L166</f>
        <v/>
      </c>
      <c r="D166" s="32">
        <f>$I166</f>
        <v/>
      </c>
      <c r="E166" s="33" t="n"/>
      <c r="F166" s="34">
        <f>$J166</f>
        <v/>
      </c>
      <c r="H166">
        <f>IFERROR(INDEX('שיבוץ'!$B$3:$B$152,MATCH('קבוצות'!$A$9&amp;"|"&amp;12,'שיבוץ'!$K$3:$K$152,0))&amp;"","")</f>
        <v/>
      </c>
      <c r="I166">
        <f>IFERROR(INDEX('שיבוץ'!$D$3:$D$152,MATCH('קבוצות'!$A$9&amp;"|"&amp;12,'שיבוץ'!$K$3:$K$152,0))&amp;"","")</f>
        <v/>
      </c>
      <c r="J166">
        <f>IFERROR(INDEX('שיבוץ'!$F$3:$F$152,MATCH('קבוצות'!$A$9&amp;"|"&amp;12,'שיבוץ'!$K$3:$K$152,0))&amp;"","")</f>
        <v/>
      </c>
      <c r="K166">
        <f>IFERROR(INDEX('שיבוץ'!$C$3:$C$152,MATCH('קבוצות'!$A$9&amp;"|"&amp;12,'שיבוץ'!$K$3:$K$152,0)),"")</f>
        <v/>
      </c>
      <c r="L166">
        <f>IFERROR(INDEX('שיבוץ'!$E$3:$E$152,MATCH('קבוצות'!$A$9&amp;"|"&amp;12,'שיבוץ'!$K$3:$K$152,0))&amp;"","")</f>
        <v/>
      </c>
    </row>
    <row r="167" ht="28" customHeight="1">
      <c r="A167" s="29">
        <f>IF($H167="","",IF($H167=$H166,"",$H167))</f>
        <v/>
      </c>
      <c r="B167" s="30">
        <f>IF(N($K167)=0,"",TEXT(HOUR($K167),"00")&amp;":"&amp;TEXT(MINUTE($K167),"00"))</f>
        <v/>
      </c>
      <c r="C167" s="31">
        <f>$L167</f>
        <v/>
      </c>
      <c r="D167" s="32">
        <f>$I167</f>
        <v/>
      </c>
      <c r="E167" s="33" t="n"/>
      <c r="F167" s="34">
        <f>$J167</f>
        <v/>
      </c>
      <c r="H167">
        <f>IFERROR(INDEX('שיבוץ'!$B$3:$B$152,MATCH('קבוצות'!$A$9&amp;"|"&amp;13,'שיבוץ'!$K$3:$K$152,0))&amp;"","")</f>
        <v/>
      </c>
      <c r="I167">
        <f>IFERROR(INDEX('שיבוץ'!$D$3:$D$152,MATCH('קבוצות'!$A$9&amp;"|"&amp;13,'שיבוץ'!$K$3:$K$152,0))&amp;"","")</f>
        <v/>
      </c>
      <c r="J167">
        <f>IFERROR(INDEX('שיבוץ'!$F$3:$F$152,MATCH('קבוצות'!$A$9&amp;"|"&amp;13,'שיבוץ'!$K$3:$K$152,0))&amp;"","")</f>
        <v/>
      </c>
      <c r="K167">
        <f>IFERROR(INDEX('שיבוץ'!$C$3:$C$152,MATCH('קבוצות'!$A$9&amp;"|"&amp;13,'שיבוץ'!$K$3:$K$152,0)),"")</f>
        <v/>
      </c>
      <c r="L167">
        <f>IFERROR(INDEX('שיבוץ'!$E$3:$E$152,MATCH('קבוצות'!$A$9&amp;"|"&amp;13,'שיבוץ'!$K$3:$K$152,0))&amp;"","")</f>
        <v/>
      </c>
    </row>
    <row r="168" ht="28" customHeight="1">
      <c r="A168" s="29">
        <f>IF($H168="","",IF($H168=$H167,"",$H168))</f>
        <v/>
      </c>
      <c r="B168" s="30">
        <f>IF(N($K168)=0,"",TEXT(HOUR($K168),"00")&amp;":"&amp;TEXT(MINUTE($K168),"00"))</f>
        <v/>
      </c>
      <c r="C168" s="31">
        <f>$L168</f>
        <v/>
      </c>
      <c r="D168" s="32">
        <f>$I168</f>
        <v/>
      </c>
      <c r="E168" s="33" t="n"/>
      <c r="F168" s="34">
        <f>$J168</f>
        <v/>
      </c>
      <c r="H168">
        <f>IFERROR(INDEX('שיבוץ'!$B$3:$B$152,MATCH('קבוצות'!$A$9&amp;"|"&amp;14,'שיבוץ'!$K$3:$K$152,0))&amp;"","")</f>
        <v/>
      </c>
      <c r="I168">
        <f>IFERROR(INDEX('שיבוץ'!$D$3:$D$152,MATCH('קבוצות'!$A$9&amp;"|"&amp;14,'שיבוץ'!$K$3:$K$152,0))&amp;"","")</f>
        <v/>
      </c>
      <c r="J168">
        <f>IFERROR(INDEX('שיבוץ'!$F$3:$F$152,MATCH('קבוצות'!$A$9&amp;"|"&amp;14,'שיבוץ'!$K$3:$K$152,0))&amp;"","")</f>
        <v/>
      </c>
      <c r="K168">
        <f>IFERROR(INDEX('שיבוץ'!$C$3:$C$152,MATCH('קבוצות'!$A$9&amp;"|"&amp;14,'שיבוץ'!$K$3:$K$152,0)),"")</f>
        <v/>
      </c>
      <c r="L168">
        <f>IFERROR(INDEX('שיבוץ'!$E$3:$E$152,MATCH('קבוצות'!$A$9&amp;"|"&amp;14,'שיבוץ'!$K$3:$K$152,0))&amp;"","")</f>
        <v/>
      </c>
    </row>
    <row r="169" ht="28" customHeight="1">
      <c r="A169" s="29">
        <f>IF($H169="","",IF($H169=$H168,"",$H169))</f>
        <v/>
      </c>
      <c r="B169" s="30">
        <f>IF(N($K169)=0,"",TEXT(HOUR($K169),"00")&amp;":"&amp;TEXT(MINUTE($K169),"00"))</f>
        <v/>
      </c>
      <c r="C169" s="31">
        <f>$L169</f>
        <v/>
      </c>
      <c r="D169" s="32">
        <f>$I169</f>
        <v/>
      </c>
      <c r="E169" s="33" t="n"/>
      <c r="F169" s="34">
        <f>$J169</f>
        <v/>
      </c>
      <c r="H169">
        <f>IFERROR(INDEX('שיבוץ'!$B$3:$B$152,MATCH('קבוצות'!$A$9&amp;"|"&amp;15,'שיבוץ'!$K$3:$K$152,0))&amp;"","")</f>
        <v/>
      </c>
      <c r="I169">
        <f>IFERROR(INDEX('שיבוץ'!$D$3:$D$152,MATCH('קבוצות'!$A$9&amp;"|"&amp;15,'שיבוץ'!$K$3:$K$152,0))&amp;"","")</f>
        <v/>
      </c>
      <c r="J169">
        <f>IFERROR(INDEX('שיבוץ'!$F$3:$F$152,MATCH('קבוצות'!$A$9&amp;"|"&amp;15,'שיבוץ'!$K$3:$K$152,0))&amp;"","")</f>
        <v/>
      </c>
      <c r="K169">
        <f>IFERROR(INDEX('שיבוץ'!$C$3:$C$152,MATCH('קבוצות'!$A$9&amp;"|"&amp;15,'שיבוץ'!$K$3:$K$152,0)),"")</f>
        <v/>
      </c>
      <c r="L169">
        <f>IFERROR(INDEX('שיבוץ'!$E$3:$E$152,MATCH('קבוצות'!$A$9&amp;"|"&amp;15,'שיבוץ'!$K$3:$K$152,0))&amp;"","")</f>
        <v/>
      </c>
    </row>
    <row r="170" ht="28" customHeight="1">
      <c r="A170" s="29">
        <f>IF($H170="","",IF($H170=$H169,"",$H170))</f>
        <v/>
      </c>
      <c r="B170" s="30">
        <f>IF(N($K170)=0,"",TEXT(HOUR($K170),"00")&amp;":"&amp;TEXT(MINUTE($K170),"00"))</f>
        <v/>
      </c>
      <c r="C170" s="31">
        <f>$L170</f>
        <v/>
      </c>
      <c r="D170" s="32">
        <f>$I170</f>
        <v/>
      </c>
      <c r="E170" s="33" t="n"/>
      <c r="F170" s="34">
        <f>$J170</f>
        <v/>
      </c>
      <c r="H170">
        <f>IFERROR(INDEX('שיבוץ'!$B$3:$B$152,MATCH('קבוצות'!$A$9&amp;"|"&amp;16,'שיבוץ'!$K$3:$K$152,0))&amp;"","")</f>
        <v/>
      </c>
      <c r="I170">
        <f>IFERROR(INDEX('שיבוץ'!$D$3:$D$152,MATCH('קבוצות'!$A$9&amp;"|"&amp;16,'שיבוץ'!$K$3:$K$152,0))&amp;"","")</f>
        <v/>
      </c>
      <c r="J170">
        <f>IFERROR(INDEX('שיבוץ'!$F$3:$F$152,MATCH('קבוצות'!$A$9&amp;"|"&amp;16,'שיבוץ'!$K$3:$K$152,0))&amp;"","")</f>
        <v/>
      </c>
      <c r="K170">
        <f>IFERROR(INDEX('שיבוץ'!$C$3:$C$152,MATCH('קבוצות'!$A$9&amp;"|"&amp;16,'שיבוץ'!$K$3:$K$152,0)),"")</f>
        <v/>
      </c>
      <c r="L170">
        <f>IFERROR(INDEX('שיבוץ'!$E$3:$E$152,MATCH('קבוצות'!$A$9&amp;"|"&amp;16,'שיבוץ'!$K$3:$K$152,0))&amp;"","")</f>
        <v/>
      </c>
    </row>
    <row r="171" ht="28" customHeight="1">
      <c r="A171" s="29">
        <f>IF($H171="","",IF($H171=$H170,"",$H171))</f>
        <v/>
      </c>
      <c r="B171" s="30">
        <f>IF(N($K171)=0,"",TEXT(HOUR($K171),"00")&amp;":"&amp;TEXT(MINUTE($K171),"00"))</f>
        <v/>
      </c>
      <c r="C171" s="31">
        <f>$L171</f>
        <v/>
      </c>
      <c r="D171" s="32">
        <f>$I171</f>
        <v/>
      </c>
      <c r="E171" s="33" t="n"/>
      <c r="F171" s="34">
        <f>$J171</f>
        <v/>
      </c>
      <c r="H171">
        <f>IFERROR(INDEX('שיבוץ'!$B$3:$B$152,MATCH('קבוצות'!$A$9&amp;"|"&amp;17,'שיבוץ'!$K$3:$K$152,0))&amp;"","")</f>
        <v/>
      </c>
      <c r="I171">
        <f>IFERROR(INDEX('שיבוץ'!$D$3:$D$152,MATCH('קבוצות'!$A$9&amp;"|"&amp;17,'שיבוץ'!$K$3:$K$152,0))&amp;"","")</f>
        <v/>
      </c>
      <c r="J171">
        <f>IFERROR(INDEX('שיבוץ'!$F$3:$F$152,MATCH('קבוצות'!$A$9&amp;"|"&amp;17,'שיבוץ'!$K$3:$K$152,0))&amp;"","")</f>
        <v/>
      </c>
      <c r="K171">
        <f>IFERROR(INDEX('שיבוץ'!$C$3:$C$152,MATCH('קבוצות'!$A$9&amp;"|"&amp;17,'שיבוץ'!$K$3:$K$152,0)),"")</f>
        <v/>
      </c>
      <c r="L171">
        <f>IFERROR(INDEX('שיבוץ'!$E$3:$E$152,MATCH('קבוצות'!$A$9&amp;"|"&amp;17,'שיבוץ'!$K$3:$K$152,0))&amp;"","")</f>
        <v/>
      </c>
    </row>
    <row r="172" ht="28" customHeight="1">
      <c r="A172" s="29">
        <f>IF($H172="","",IF($H172=$H171,"",$H172))</f>
        <v/>
      </c>
      <c r="B172" s="30">
        <f>IF(N($K172)=0,"",TEXT(HOUR($K172),"00")&amp;":"&amp;TEXT(MINUTE($K172),"00"))</f>
        <v/>
      </c>
      <c r="C172" s="31">
        <f>$L172</f>
        <v/>
      </c>
      <c r="D172" s="32">
        <f>$I172</f>
        <v/>
      </c>
      <c r="E172" s="33" t="n"/>
      <c r="F172" s="34">
        <f>$J172</f>
        <v/>
      </c>
      <c r="H172">
        <f>IFERROR(INDEX('שיבוץ'!$B$3:$B$152,MATCH('קבוצות'!$A$9&amp;"|"&amp;18,'שיבוץ'!$K$3:$K$152,0))&amp;"","")</f>
        <v/>
      </c>
      <c r="I172">
        <f>IFERROR(INDEX('שיבוץ'!$D$3:$D$152,MATCH('קבוצות'!$A$9&amp;"|"&amp;18,'שיבוץ'!$K$3:$K$152,0))&amp;"","")</f>
        <v/>
      </c>
      <c r="J172">
        <f>IFERROR(INDEX('שיבוץ'!$F$3:$F$152,MATCH('קבוצות'!$A$9&amp;"|"&amp;18,'שיבוץ'!$K$3:$K$152,0))&amp;"","")</f>
        <v/>
      </c>
      <c r="K172">
        <f>IFERROR(INDEX('שיבוץ'!$C$3:$C$152,MATCH('קבוצות'!$A$9&amp;"|"&amp;18,'שיבוץ'!$K$3:$K$152,0)),"")</f>
        <v/>
      </c>
      <c r="L172">
        <f>IFERROR(INDEX('שיבוץ'!$E$3:$E$152,MATCH('קבוצות'!$A$9&amp;"|"&amp;18,'שיבוץ'!$K$3:$K$152,0))&amp;"","")</f>
        <v/>
      </c>
    </row>
    <row r="173" ht="18" customHeight="1">
      <c r="A173" s="35">
        <f>IF(COUNTIF('שיבוץ'!$A$3:$A$152,'קבוצות'!$A$9)&gt;18,"⚠ לקבוצה יש עוד משימות שלא נכנסו לכרטיסייה — ראו «טופס נקי»","")</f>
        <v/>
      </c>
    </row>
    <row r="176" ht="42" customHeight="1">
      <c r="A176" s="36">
        <f>IF('קבוצות'!$A$10="","",'קבוצות'!$A$10)</f>
        <v/>
      </c>
    </row>
    <row r="177" ht="60" customHeight="1">
      <c r="A177" s="37">
        <f>IF('קבוצות'!$D$10="","",'קבוצות'!$D$10)</f>
        <v/>
      </c>
    </row>
    <row r="178" ht="20" customHeight="1">
      <c r="A17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79" ht="22" customHeight="1">
      <c r="A179" s="28" t="inlineStr">
        <is>
          <t>מתי</t>
        </is>
      </c>
      <c r="B179" s="28" t="inlineStr">
        <is>
          <t>שעה</t>
        </is>
      </c>
      <c r="C179" s="28" t="inlineStr">
        <is>
          <t>קטגוריה</t>
        </is>
      </c>
      <c r="D179" s="28" t="inlineStr">
        <is>
          <t>משימה</t>
        </is>
      </c>
      <c r="F179" s="28" t="inlineStr">
        <is>
          <t>פרטים</t>
        </is>
      </c>
    </row>
    <row r="180" ht="28" customHeight="1">
      <c r="A180" s="39">
        <f>IF($H180="","",IF($H180=$H179,"",$H180))</f>
        <v/>
      </c>
      <c r="B180" s="30">
        <f>IF(N($K180)=0,"",TEXT(HOUR($K180),"00")&amp;":"&amp;TEXT(MINUTE($K180),"00"))</f>
        <v/>
      </c>
      <c r="C180" s="31">
        <f>$L180</f>
        <v/>
      </c>
      <c r="D180" s="32">
        <f>$I180</f>
        <v/>
      </c>
      <c r="E180" s="33" t="n"/>
      <c r="F180" s="34">
        <f>$J180</f>
        <v/>
      </c>
      <c r="H180">
        <f>IFERROR(INDEX('שיבוץ'!$B$3:$B$152,MATCH('קבוצות'!$A$10&amp;"|"&amp;1,'שיבוץ'!$K$3:$K$152,0))&amp;"","")</f>
        <v/>
      </c>
      <c r="I180">
        <f>IFERROR(INDEX('שיבוץ'!$D$3:$D$152,MATCH('קבוצות'!$A$10&amp;"|"&amp;1,'שיבוץ'!$K$3:$K$152,0))&amp;"","")</f>
        <v/>
      </c>
      <c r="J180">
        <f>IFERROR(INDEX('שיבוץ'!$F$3:$F$152,MATCH('קבוצות'!$A$10&amp;"|"&amp;1,'שיבוץ'!$K$3:$K$152,0))&amp;"","")</f>
        <v/>
      </c>
      <c r="K180">
        <f>IFERROR(INDEX('שיבוץ'!$C$3:$C$152,MATCH('קבוצות'!$A$10&amp;"|"&amp;1,'שיבוץ'!$K$3:$K$152,0)),"")</f>
        <v/>
      </c>
      <c r="L180">
        <f>IFERROR(INDEX('שיבוץ'!$E$3:$E$152,MATCH('קבוצות'!$A$10&amp;"|"&amp;1,'שיבוץ'!$K$3:$K$152,0))&amp;"","")</f>
        <v/>
      </c>
    </row>
    <row r="181" ht="28" customHeight="1">
      <c r="A181" s="39">
        <f>IF($H181="","",IF($H181=$H180,"",$H181))</f>
        <v/>
      </c>
      <c r="B181" s="30">
        <f>IF(N($K181)=0,"",TEXT(HOUR($K181),"00")&amp;":"&amp;TEXT(MINUTE($K181),"00"))</f>
        <v/>
      </c>
      <c r="C181" s="31">
        <f>$L181</f>
        <v/>
      </c>
      <c r="D181" s="32">
        <f>$I181</f>
        <v/>
      </c>
      <c r="E181" s="33" t="n"/>
      <c r="F181" s="34">
        <f>$J181</f>
        <v/>
      </c>
      <c r="H181">
        <f>IFERROR(INDEX('שיבוץ'!$B$3:$B$152,MATCH('קבוצות'!$A$10&amp;"|"&amp;2,'שיבוץ'!$K$3:$K$152,0))&amp;"","")</f>
        <v/>
      </c>
      <c r="I181">
        <f>IFERROR(INDEX('שיבוץ'!$D$3:$D$152,MATCH('קבוצות'!$A$10&amp;"|"&amp;2,'שיבוץ'!$K$3:$K$152,0))&amp;"","")</f>
        <v/>
      </c>
      <c r="J181">
        <f>IFERROR(INDEX('שיבוץ'!$F$3:$F$152,MATCH('קבוצות'!$A$10&amp;"|"&amp;2,'שיבוץ'!$K$3:$K$152,0))&amp;"","")</f>
        <v/>
      </c>
      <c r="K181">
        <f>IFERROR(INDEX('שיבוץ'!$C$3:$C$152,MATCH('קבוצות'!$A$10&amp;"|"&amp;2,'שיבוץ'!$K$3:$K$152,0)),"")</f>
        <v/>
      </c>
      <c r="L181">
        <f>IFERROR(INDEX('שיבוץ'!$E$3:$E$152,MATCH('קבוצות'!$A$10&amp;"|"&amp;2,'שיבוץ'!$K$3:$K$152,0))&amp;"","")</f>
        <v/>
      </c>
    </row>
    <row r="182" ht="28" customHeight="1">
      <c r="A182" s="39">
        <f>IF($H182="","",IF($H182=$H181,"",$H182))</f>
        <v/>
      </c>
      <c r="B182" s="30">
        <f>IF(N($K182)=0,"",TEXT(HOUR($K182),"00")&amp;":"&amp;TEXT(MINUTE($K182),"00"))</f>
        <v/>
      </c>
      <c r="C182" s="31">
        <f>$L182</f>
        <v/>
      </c>
      <c r="D182" s="32">
        <f>$I182</f>
        <v/>
      </c>
      <c r="E182" s="33" t="n"/>
      <c r="F182" s="34">
        <f>$J182</f>
        <v/>
      </c>
      <c r="H182">
        <f>IFERROR(INDEX('שיבוץ'!$B$3:$B$152,MATCH('קבוצות'!$A$10&amp;"|"&amp;3,'שיבוץ'!$K$3:$K$152,0))&amp;"","")</f>
        <v/>
      </c>
      <c r="I182">
        <f>IFERROR(INDEX('שיבוץ'!$D$3:$D$152,MATCH('קבוצות'!$A$10&amp;"|"&amp;3,'שיבוץ'!$K$3:$K$152,0))&amp;"","")</f>
        <v/>
      </c>
      <c r="J182">
        <f>IFERROR(INDEX('שיבוץ'!$F$3:$F$152,MATCH('קבוצות'!$A$10&amp;"|"&amp;3,'שיבוץ'!$K$3:$K$152,0))&amp;"","")</f>
        <v/>
      </c>
      <c r="K182">
        <f>IFERROR(INDEX('שיבוץ'!$C$3:$C$152,MATCH('קבוצות'!$A$10&amp;"|"&amp;3,'שיבוץ'!$K$3:$K$152,0)),"")</f>
        <v/>
      </c>
      <c r="L182">
        <f>IFERROR(INDEX('שיבוץ'!$E$3:$E$152,MATCH('קבוצות'!$A$10&amp;"|"&amp;3,'שיבוץ'!$K$3:$K$152,0))&amp;"","")</f>
        <v/>
      </c>
    </row>
    <row r="183" ht="28" customHeight="1">
      <c r="A183" s="39">
        <f>IF($H183="","",IF($H183=$H182,"",$H183))</f>
        <v/>
      </c>
      <c r="B183" s="30">
        <f>IF(N($K183)=0,"",TEXT(HOUR($K183),"00")&amp;":"&amp;TEXT(MINUTE($K183),"00"))</f>
        <v/>
      </c>
      <c r="C183" s="31">
        <f>$L183</f>
        <v/>
      </c>
      <c r="D183" s="32">
        <f>$I183</f>
        <v/>
      </c>
      <c r="E183" s="33" t="n"/>
      <c r="F183" s="34">
        <f>$J183</f>
        <v/>
      </c>
      <c r="H183">
        <f>IFERROR(INDEX('שיבוץ'!$B$3:$B$152,MATCH('קבוצות'!$A$10&amp;"|"&amp;4,'שיבוץ'!$K$3:$K$152,0))&amp;"","")</f>
        <v/>
      </c>
      <c r="I183">
        <f>IFERROR(INDEX('שיבוץ'!$D$3:$D$152,MATCH('קבוצות'!$A$10&amp;"|"&amp;4,'שיבוץ'!$K$3:$K$152,0))&amp;"","")</f>
        <v/>
      </c>
      <c r="J183">
        <f>IFERROR(INDEX('שיבוץ'!$F$3:$F$152,MATCH('קבוצות'!$A$10&amp;"|"&amp;4,'שיבוץ'!$K$3:$K$152,0))&amp;"","")</f>
        <v/>
      </c>
      <c r="K183">
        <f>IFERROR(INDEX('שיבוץ'!$C$3:$C$152,MATCH('קבוצות'!$A$10&amp;"|"&amp;4,'שיבוץ'!$K$3:$K$152,0)),"")</f>
        <v/>
      </c>
      <c r="L183">
        <f>IFERROR(INDEX('שיבוץ'!$E$3:$E$152,MATCH('קבוצות'!$A$10&amp;"|"&amp;4,'שיבוץ'!$K$3:$K$152,0))&amp;"","")</f>
        <v/>
      </c>
    </row>
    <row r="184" ht="28" customHeight="1">
      <c r="A184" s="39">
        <f>IF($H184="","",IF($H184=$H183,"",$H184))</f>
        <v/>
      </c>
      <c r="B184" s="30">
        <f>IF(N($K184)=0,"",TEXT(HOUR($K184),"00")&amp;":"&amp;TEXT(MINUTE($K184),"00"))</f>
        <v/>
      </c>
      <c r="C184" s="31">
        <f>$L184</f>
        <v/>
      </c>
      <c r="D184" s="32">
        <f>$I184</f>
        <v/>
      </c>
      <c r="E184" s="33" t="n"/>
      <c r="F184" s="34">
        <f>$J184</f>
        <v/>
      </c>
      <c r="H184">
        <f>IFERROR(INDEX('שיבוץ'!$B$3:$B$152,MATCH('קבוצות'!$A$10&amp;"|"&amp;5,'שיבוץ'!$K$3:$K$152,0))&amp;"","")</f>
        <v/>
      </c>
      <c r="I184">
        <f>IFERROR(INDEX('שיבוץ'!$D$3:$D$152,MATCH('קבוצות'!$A$10&amp;"|"&amp;5,'שיבוץ'!$K$3:$K$152,0))&amp;"","")</f>
        <v/>
      </c>
      <c r="J184">
        <f>IFERROR(INDEX('שיבוץ'!$F$3:$F$152,MATCH('קבוצות'!$A$10&amp;"|"&amp;5,'שיבוץ'!$K$3:$K$152,0))&amp;"","")</f>
        <v/>
      </c>
      <c r="K184">
        <f>IFERROR(INDEX('שיבוץ'!$C$3:$C$152,MATCH('קבוצות'!$A$10&amp;"|"&amp;5,'שיבוץ'!$K$3:$K$152,0)),"")</f>
        <v/>
      </c>
      <c r="L184">
        <f>IFERROR(INDEX('שיבוץ'!$E$3:$E$152,MATCH('קבוצות'!$A$10&amp;"|"&amp;5,'שיבוץ'!$K$3:$K$152,0))&amp;"","")</f>
        <v/>
      </c>
    </row>
    <row r="185" ht="28" customHeight="1">
      <c r="A185" s="39">
        <f>IF($H185="","",IF($H185=$H184,"",$H185))</f>
        <v/>
      </c>
      <c r="B185" s="30">
        <f>IF(N($K185)=0,"",TEXT(HOUR($K185),"00")&amp;":"&amp;TEXT(MINUTE($K185),"00"))</f>
        <v/>
      </c>
      <c r="C185" s="31">
        <f>$L185</f>
        <v/>
      </c>
      <c r="D185" s="32">
        <f>$I185</f>
        <v/>
      </c>
      <c r="E185" s="33" t="n"/>
      <c r="F185" s="34">
        <f>$J185</f>
        <v/>
      </c>
      <c r="H185">
        <f>IFERROR(INDEX('שיבוץ'!$B$3:$B$152,MATCH('קבוצות'!$A$10&amp;"|"&amp;6,'שיבוץ'!$K$3:$K$152,0))&amp;"","")</f>
        <v/>
      </c>
      <c r="I185">
        <f>IFERROR(INDEX('שיבוץ'!$D$3:$D$152,MATCH('קבוצות'!$A$10&amp;"|"&amp;6,'שיבוץ'!$K$3:$K$152,0))&amp;"","")</f>
        <v/>
      </c>
      <c r="J185">
        <f>IFERROR(INDEX('שיבוץ'!$F$3:$F$152,MATCH('קבוצות'!$A$10&amp;"|"&amp;6,'שיבוץ'!$K$3:$K$152,0))&amp;"","")</f>
        <v/>
      </c>
      <c r="K185">
        <f>IFERROR(INDEX('שיבוץ'!$C$3:$C$152,MATCH('קבוצות'!$A$10&amp;"|"&amp;6,'שיבוץ'!$K$3:$K$152,0)),"")</f>
        <v/>
      </c>
      <c r="L185">
        <f>IFERROR(INDEX('שיבוץ'!$E$3:$E$152,MATCH('קבוצות'!$A$10&amp;"|"&amp;6,'שיבוץ'!$K$3:$K$152,0))&amp;"","")</f>
        <v/>
      </c>
    </row>
    <row r="186" ht="28" customHeight="1">
      <c r="A186" s="39">
        <f>IF($H186="","",IF($H186=$H185,"",$H186))</f>
        <v/>
      </c>
      <c r="B186" s="30">
        <f>IF(N($K186)=0,"",TEXT(HOUR($K186),"00")&amp;":"&amp;TEXT(MINUTE($K186),"00"))</f>
        <v/>
      </c>
      <c r="C186" s="31">
        <f>$L186</f>
        <v/>
      </c>
      <c r="D186" s="32">
        <f>$I186</f>
        <v/>
      </c>
      <c r="E186" s="33" t="n"/>
      <c r="F186" s="34">
        <f>$J186</f>
        <v/>
      </c>
      <c r="H186">
        <f>IFERROR(INDEX('שיבוץ'!$B$3:$B$152,MATCH('קבוצות'!$A$10&amp;"|"&amp;7,'שיבוץ'!$K$3:$K$152,0))&amp;"","")</f>
        <v/>
      </c>
      <c r="I186">
        <f>IFERROR(INDEX('שיבוץ'!$D$3:$D$152,MATCH('קבוצות'!$A$10&amp;"|"&amp;7,'שיבוץ'!$K$3:$K$152,0))&amp;"","")</f>
        <v/>
      </c>
      <c r="J186">
        <f>IFERROR(INDEX('שיבוץ'!$F$3:$F$152,MATCH('קבוצות'!$A$10&amp;"|"&amp;7,'שיבוץ'!$K$3:$K$152,0))&amp;"","")</f>
        <v/>
      </c>
      <c r="K186">
        <f>IFERROR(INDEX('שיבוץ'!$C$3:$C$152,MATCH('קבוצות'!$A$10&amp;"|"&amp;7,'שיבוץ'!$K$3:$K$152,0)),"")</f>
        <v/>
      </c>
      <c r="L186">
        <f>IFERROR(INDEX('שיבוץ'!$E$3:$E$152,MATCH('קבוצות'!$A$10&amp;"|"&amp;7,'שיבוץ'!$K$3:$K$152,0))&amp;"","")</f>
        <v/>
      </c>
    </row>
    <row r="187" ht="28" customHeight="1">
      <c r="A187" s="39">
        <f>IF($H187="","",IF($H187=$H186,"",$H187))</f>
        <v/>
      </c>
      <c r="B187" s="30">
        <f>IF(N($K187)=0,"",TEXT(HOUR($K187),"00")&amp;":"&amp;TEXT(MINUTE($K187),"00"))</f>
        <v/>
      </c>
      <c r="C187" s="31">
        <f>$L187</f>
        <v/>
      </c>
      <c r="D187" s="32">
        <f>$I187</f>
        <v/>
      </c>
      <c r="E187" s="33" t="n"/>
      <c r="F187" s="34">
        <f>$J187</f>
        <v/>
      </c>
      <c r="H187">
        <f>IFERROR(INDEX('שיבוץ'!$B$3:$B$152,MATCH('קבוצות'!$A$10&amp;"|"&amp;8,'שיבוץ'!$K$3:$K$152,0))&amp;"","")</f>
        <v/>
      </c>
      <c r="I187">
        <f>IFERROR(INDEX('שיבוץ'!$D$3:$D$152,MATCH('קבוצות'!$A$10&amp;"|"&amp;8,'שיבוץ'!$K$3:$K$152,0))&amp;"","")</f>
        <v/>
      </c>
      <c r="J187">
        <f>IFERROR(INDEX('שיבוץ'!$F$3:$F$152,MATCH('קבוצות'!$A$10&amp;"|"&amp;8,'שיבוץ'!$K$3:$K$152,0))&amp;"","")</f>
        <v/>
      </c>
      <c r="K187">
        <f>IFERROR(INDEX('שיבוץ'!$C$3:$C$152,MATCH('קבוצות'!$A$10&amp;"|"&amp;8,'שיבוץ'!$K$3:$K$152,0)),"")</f>
        <v/>
      </c>
      <c r="L187">
        <f>IFERROR(INDEX('שיבוץ'!$E$3:$E$152,MATCH('קבוצות'!$A$10&amp;"|"&amp;8,'שיבוץ'!$K$3:$K$152,0))&amp;"","")</f>
        <v/>
      </c>
    </row>
    <row r="188" ht="28" customHeight="1">
      <c r="A188" s="39">
        <f>IF($H188="","",IF($H188=$H187,"",$H188))</f>
        <v/>
      </c>
      <c r="B188" s="30">
        <f>IF(N($K188)=0,"",TEXT(HOUR($K188),"00")&amp;":"&amp;TEXT(MINUTE($K188),"00"))</f>
        <v/>
      </c>
      <c r="C188" s="31">
        <f>$L188</f>
        <v/>
      </c>
      <c r="D188" s="32">
        <f>$I188</f>
        <v/>
      </c>
      <c r="E188" s="33" t="n"/>
      <c r="F188" s="34">
        <f>$J188</f>
        <v/>
      </c>
      <c r="H188">
        <f>IFERROR(INDEX('שיבוץ'!$B$3:$B$152,MATCH('קבוצות'!$A$10&amp;"|"&amp;9,'שיבוץ'!$K$3:$K$152,0))&amp;"","")</f>
        <v/>
      </c>
      <c r="I188">
        <f>IFERROR(INDEX('שיבוץ'!$D$3:$D$152,MATCH('קבוצות'!$A$10&amp;"|"&amp;9,'שיבוץ'!$K$3:$K$152,0))&amp;"","")</f>
        <v/>
      </c>
      <c r="J188">
        <f>IFERROR(INDEX('שיבוץ'!$F$3:$F$152,MATCH('קבוצות'!$A$10&amp;"|"&amp;9,'שיבוץ'!$K$3:$K$152,0))&amp;"","")</f>
        <v/>
      </c>
      <c r="K188">
        <f>IFERROR(INDEX('שיבוץ'!$C$3:$C$152,MATCH('קבוצות'!$A$10&amp;"|"&amp;9,'שיבוץ'!$K$3:$K$152,0)),"")</f>
        <v/>
      </c>
      <c r="L188">
        <f>IFERROR(INDEX('שיבוץ'!$E$3:$E$152,MATCH('קבוצות'!$A$10&amp;"|"&amp;9,'שיבוץ'!$K$3:$K$152,0))&amp;"","")</f>
        <v/>
      </c>
    </row>
    <row r="189" ht="28" customHeight="1">
      <c r="A189" s="39">
        <f>IF($H189="","",IF($H189=$H188,"",$H189))</f>
        <v/>
      </c>
      <c r="B189" s="30">
        <f>IF(N($K189)=0,"",TEXT(HOUR($K189),"00")&amp;":"&amp;TEXT(MINUTE($K189),"00"))</f>
        <v/>
      </c>
      <c r="C189" s="31">
        <f>$L189</f>
        <v/>
      </c>
      <c r="D189" s="32">
        <f>$I189</f>
        <v/>
      </c>
      <c r="E189" s="33" t="n"/>
      <c r="F189" s="34">
        <f>$J189</f>
        <v/>
      </c>
      <c r="H189">
        <f>IFERROR(INDEX('שיבוץ'!$B$3:$B$152,MATCH('קבוצות'!$A$10&amp;"|"&amp;10,'שיבוץ'!$K$3:$K$152,0))&amp;"","")</f>
        <v/>
      </c>
      <c r="I189">
        <f>IFERROR(INDEX('שיבוץ'!$D$3:$D$152,MATCH('קבוצות'!$A$10&amp;"|"&amp;10,'שיבוץ'!$K$3:$K$152,0))&amp;"","")</f>
        <v/>
      </c>
      <c r="J189">
        <f>IFERROR(INDEX('שיבוץ'!$F$3:$F$152,MATCH('קבוצות'!$A$10&amp;"|"&amp;10,'שיבוץ'!$K$3:$K$152,0))&amp;"","")</f>
        <v/>
      </c>
      <c r="K189">
        <f>IFERROR(INDEX('שיבוץ'!$C$3:$C$152,MATCH('קבוצות'!$A$10&amp;"|"&amp;10,'שיבוץ'!$K$3:$K$152,0)),"")</f>
        <v/>
      </c>
      <c r="L189">
        <f>IFERROR(INDEX('שיבוץ'!$E$3:$E$152,MATCH('קבוצות'!$A$10&amp;"|"&amp;10,'שיבוץ'!$K$3:$K$152,0))&amp;"","")</f>
        <v/>
      </c>
    </row>
    <row r="190" ht="28" customHeight="1">
      <c r="A190" s="39">
        <f>IF($H190="","",IF($H190=$H189,"",$H190))</f>
        <v/>
      </c>
      <c r="B190" s="30">
        <f>IF(N($K190)=0,"",TEXT(HOUR($K190),"00")&amp;":"&amp;TEXT(MINUTE($K190),"00"))</f>
        <v/>
      </c>
      <c r="C190" s="31">
        <f>$L190</f>
        <v/>
      </c>
      <c r="D190" s="32">
        <f>$I190</f>
        <v/>
      </c>
      <c r="E190" s="33" t="n"/>
      <c r="F190" s="34">
        <f>$J190</f>
        <v/>
      </c>
      <c r="H190">
        <f>IFERROR(INDEX('שיבוץ'!$B$3:$B$152,MATCH('קבוצות'!$A$10&amp;"|"&amp;11,'שיבוץ'!$K$3:$K$152,0))&amp;"","")</f>
        <v/>
      </c>
      <c r="I190">
        <f>IFERROR(INDEX('שיבוץ'!$D$3:$D$152,MATCH('קבוצות'!$A$10&amp;"|"&amp;11,'שיבוץ'!$K$3:$K$152,0))&amp;"","")</f>
        <v/>
      </c>
      <c r="J190">
        <f>IFERROR(INDEX('שיבוץ'!$F$3:$F$152,MATCH('קבוצות'!$A$10&amp;"|"&amp;11,'שיבוץ'!$K$3:$K$152,0))&amp;"","")</f>
        <v/>
      </c>
      <c r="K190">
        <f>IFERROR(INDEX('שיבוץ'!$C$3:$C$152,MATCH('קבוצות'!$A$10&amp;"|"&amp;11,'שיבוץ'!$K$3:$K$152,0)),"")</f>
        <v/>
      </c>
      <c r="L190">
        <f>IFERROR(INDEX('שיבוץ'!$E$3:$E$152,MATCH('קבוצות'!$A$10&amp;"|"&amp;11,'שיבוץ'!$K$3:$K$152,0))&amp;"","")</f>
        <v/>
      </c>
    </row>
    <row r="191" ht="28" customHeight="1">
      <c r="A191" s="39">
        <f>IF($H191="","",IF($H191=$H190,"",$H191))</f>
        <v/>
      </c>
      <c r="B191" s="30">
        <f>IF(N($K191)=0,"",TEXT(HOUR($K191),"00")&amp;":"&amp;TEXT(MINUTE($K191),"00"))</f>
        <v/>
      </c>
      <c r="C191" s="31">
        <f>$L191</f>
        <v/>
      </c>
      <c r="D191" s="32">
        <f>$I191</f>
        <v/>
      </c>
      <c r="E191" s="33" t="n"/>
      <c r="F191" s="34">
        <f>$J191</f>
        <v/>
      </c>
      <c r="H191">
        <f>IFERROR(INDEX('שיבוץ'!$B$3:$B$152,MATCH('קבוצות'!$A$10&amp;"|"&amp;12,'שיבוץ'!$K$3:$K$152,0))&amp;"","")</f>
        <v/>
      </c>
      <c r="I191">
        <f>IFERROR(INDEX('שיבוץ'!$D$3:$D$152,MATCH('קבוצות'!$A$10&amp;"|"&amp;12,'שיבוץ'!$K$3:$K$152,0))&amp;"","")</f>
        <v/>
      </c>
      <c r="J191">
        <f>IFERROR(INDEX('שיבוץ'!$F$3:$F$152,MATCH('קבוצות'!$A$10&amp;"|"&amp;12,'שיבוץ'!$K$3:$K$152,0))&amp;"","")</f>
        <v/>
      </c>
      <c r="K191">
        <f>IFERROR(INDEX('שיבוץ'!$C$3:$C$152,MATCH('קבוצות'!$A$10&amp;"|"&amp;12,'שיבוץ'!$K$3:$K$152,0)),"")</f>
        <v/>
      </c>
      <c r="L191">
        <f>IFERROR(INDEX('שיבוץ'!$E$3:$E$152,MATCH('קבוצות'!$A$10&amp;"|"&amp;12,'שיבוץ'!$K$3:$K$152,0))&amp;"","")</f>
        <v/>
      </c>
    </row>
    <row r="192" ht="28" customHeight="1">
      <c r="A192" s="39">
        <f>IF($H192="","",IF($H192=$H191,"",$H192))</f>
        <v/>
      </c>
      <c r="B192" s="30">
        <f>IF(N($K192)=0,"",TEXT(HOUR($K192),"00")&amp;":"&amp;TEXT(MINUTE($K192),"00"))</f>
        <v/>
      </c>
      <c r="C192" s="31">
        <f>$L192</f>
        <v/>
      </c>
      <c r="D192" s="32">
        <f>$I192</f>
        <v/>
      </c>
      <c r="E192" s="33" t="n"/>
      <c r="F192" s="34">
        <f>$J192</f>
        <v/>
      </c>
      <c r="H192">
        <f>IFERROR(INDEX('שיבוץ'!$B$3:$B$152,MATCH('קבוצות'!$A$10&amp;"|"&amp;13,'שיבוץ'!$K$3:$K$152,0))&amp;"","")</f>
        <v/>
      </c>
      <c r="I192">
        <f>IFERROR(INDEX('שיבוץ'!$D$3:$D$152,MATCH('קבוצות'!$A$10&amp;"|"&amp;13,'שיבוץ'!$K$3:$K$152,0))&amp;"","")</f>
        <v/>
      </c>
      <c r="J192">
        <f>IFERROR(INDEX('שיבוץ'!$F$3:$F$152,MATCH('קבוצות'!$A$10&amp;"|"&amp;13,'שיבוץ'!$K$3:$K$152,0))&amp;"","")</f>
        <v/>
      </c>
      <c r="K192">
        <f>IFERROR(INDEX('שיבוץ'!$C$3:$C$152,MATCH('קבוצות'!$A$10&amp;"|"&amp;13,'שיבוץ'!$K$3:$K$152,0)),"")</f>
        <v/>
      </c>
      <c r="L192">
        <f>IFERROR(INDEX('שיבוץ'!$E$3:$E$152,MATCH('קבוצות'!$A$10&amp;"|"&amp;13,'שיבוץ'!$K$3:$K$152,0))&amp;"","")</f>
        <v/>
      </c>
    </row>
    <row r="193" ht="28" customHeight="1">
      <c r="A193" s="39">
        <f>IF($H193="","",IF($H193=$H192,"",$H193))</f>
        <v/>
      </c>
      <c r="B193" s="30">
        <f>IF(N($K193)=0,"",TEXT(HOUR($K193),"00")&amp;":"&amp;TEXT(MINUTE($K193),"00"))</f>
        <v/>
      </c>
      <c r="C193" s="31">
        <f>$L193</f>
        <v/>
      </c>
      <c r="D193" s="32">
        <f>$I193</f>
        <v/>
      </c>
      <c r="E193" s="33" t="n"/>
      <c r="F193" s="34">
        <f>$J193</f>
        <v/>
      </c>
      <c r="H193">
        <f>IFERROR(INDEX('שיבוץ'!$B$3:$B$152,MATCH('קבוצות'!$A$10&amp;"|"&amp;14,'שיבוץ'!$K$3:$K$152,0))&amp;"","")</f>
        <v/>
      </c>
      <c r="I193">
        <f>IFERROR(INDEX('שיבוץ'!$D$3:$D$152,MATCH('קבוצות'!$A$10&amp;"|"&amp;14,'שיבוץ'!$K$3:$K$152,0))&amp;"","")</f>
        <v/>
      </c>
      <c r="J193">
        <f>IFERROR(INDEX('שיבוץ'!$F$3:$F$152,MATCH('קבוצות'!$A$10&amp;"|"&amp;14,'שיבוץ'!$K$3:$K$152,0))&amp;"","")</f>
        <v/>
      </c>
      <c r="K193">
        <f>IFERROR(INDEX('שיבוץ'!$C$3:$C$152,MATCH('קבוצות'!$A$10&amp;"|"&amp;14,'שיבוץ'!$K$3:$K$152,0)),"")</f>
        <v/>
      </c>
      <c r="L193">
        <f>IFERROR(INDEX('שיבוץ'!$E$3:$E$152,MATCH('קבוצות'!$A$10&amp;"|"&amp;14,'שיבוץ'!$K$3:$K$152,0))&amp;"","")</f>
        <v/>
      </c>
    </row>
    <row r="194" ht="28" customHeight="1">
      <c r="A194" s="39">
        <f>IF($H194="","",IF($H194=$H193,"",$H194))</f>
        <v/>
      </c>
      <c r="B194" s="30">
        <f>IF(N($K194)=0,"",TEXT(HOUR($K194),"00")&amp;":"&amp;TEXT(MINUTE($K194),"00"))</f>
        <v/>
      </c>
      <c r="C194" s="31">
        <f>$L194</f>
        <v/>
      </c>
      <c r="D194" s="32">
        <f>$I194</f>
        <v/>
      </c>
      <c r="E194" s="33" t="n"/>
      <c r="F194" s="34">
        <f>$J194</f>
        <v/>
      </c>
      <c r="H194">
        <f>IFERROR(INDEX('שיבוץ'!$B$3:$B$152,MATCH('קבוצות'!$A$10&amp;"|"&amp;15,'שיבוץ'!$K$3:$K$152,0))&amp;"","")</f>
        <v/>
      </c>
      <c r="I194">
        <f>IFERROR(INDEX('שיבוץ'!$D$3:$D$152,MATCH('קבוצות'!$A$10&amp;"|"&amp;15,'שיבוץ'!$K$3:$K$152,0))&amp;"","")</f>
        <v/>
      </c>
      <c r="J194">
        <f>IFERROR(INDEX('שיבוץ'!$F$3:$F$152,MATCH('קבוצות'!$A$10&amp;"|"&amp;15,'שיבוץ'!$K$3:$K$152,0))&amp;"","")</f>
        <v/>
      </c>
      <c r="K194">
        <f>IFERROR(INDEX('שיבוץ'!$C$3:$C$152,MATCH('קבוצות'!$A$10&amp;"|"&amp;15,'שיבוץ'!$K$3:$K$152,0)),"")</f>
        <v/>
      </c>
      <c r="L194">
        <f>IFERROR(INDEX('שיבוץ'!$E$3:$E$152,MATCH('קבוצות'!$A$10&amp;"|"&amp;15,'שיבוץ'!$K$3:$K$152,0))&amp;"","")</f>
        <v/>
      </c>
    </row>
    <row r="195" ht="28" customHeight="1">
      <c r="A195" s="39">
        <f>IF($H195="","",IF($H195=$H194,"",$H195))</f>
        <v/>
      </c>
      <c r="B195" s="30">
        <f>IF(N($K195)=0,"",TEXT(HOUR($K195),"00")&amp;":"&amp;TEXT(MINUTE($K195),"00"))</f>
        <v/>
      </c>
      <c r="C195" s="31">
        <f>$L195</f>
        <v/>
      </c>
      <c r="D195" s="32">
        <f>$I195</f>
        <v/>
      </c>
      <c r="E195" s="33" t="n"/>
      <c r="F195" s="34">
        <f>$J195</f>
        <v/>
      </c>
      <c r="H195">
        <f>IFERROR(INDEX('שיבוץ'!$B$3:$B$152,MATCH('קבוצות'!$A$10&amp;"|"&amp;16,'שיבוץ'!$K$3:$K$152,0))&amp;"","")</f>
        <v/>
      </c>
      <c r="I195">
        <f>IFERROR(INDEX('שיבוץ'!$D$3:$D$152,MATCH('קבוצות'!$A$10&amp;"|"&amp;16,'שיבוץ'!$K$3:$K$152,0))&amp;"","")</f>
        <v/>
      </c>
      <c r="J195">
        <f>IFERROR(INDEX('שיבוץ'!$F$3:$F$152,MATCH('קבוצות'!$A$10&amp;"|"&amp;16,'שיבוץ'!$K$3:$K$152,0))&amp;"","")</f>
        <v/>
      </c>
      <c r="K195">
        <f>IFERROR(INDEX('שיבוץ'!$C$3:$C$152,MATCH('קבוצות'!$A$10&amp;"|"&amp;16,'שיבוץ'!$K$3:$K$152,0)),"")</f>
        <v/>
      </c>
      <c r="L195">
        <f>IFERROR(INDEX('שיבוץ'!$E$3:$E$152,MATCH('קבוצות'!$A$10&amp;"|"&amp;16,'שיבוץ'!$K$3:$K$152,0))&amp;"","")</f>
        <v/>
      </c>
    </row>
    <row r="196" ht="28" customHeight="1">
      <c r="A196" s="39">
        <f>IF($H196="","",IF($H196=$H195,"",$H196))</f>
        <v/>
      </c>
      <c r="B196" s="30">
        <f>IF(N($K196)=0,"",TEXT(HOUR($K196),"00")&amp;":"&amp;TEXT(MINUTE($K196),"00"))</f>
        <v/>
      </c>
      <c r="C196" s="31">
        <f>$L196</f>
        <v/>
      </c>
      <c r="D196" s="32">
        <f>$I196</f>
        <v/>
      </c>
      <c r="E196" s="33" t="n"/>
      <c r="F196" s="34">
        <f>$J196</f>
        <v/>
      </c>
      <c r="H196">
        <f>IFERROR(INDEX('שיבוץ'!$B$3:$B$152,MATCH('קבוצות'!$A$10&amp;"|"&amp;17,'שיבוץ'!$K$3:$K$152,0))&amp;"","")</f>
        <v/>
      </c>
      <c r="I196">
        <f>IFERROR(INDEX('שיבוץ'!$D$3:$D$152,MATCH('קבוצות'!$A$10&amp;"|"&amp;17,'שיבוץ'!$K$3:$K$152,0))&amp;"","")</f>
        <v/>
      </c>
      <c r="J196">
        <f>IFERROR(INDEX('שיבוץ'!$F$3:$F$152,MATCH('קבוצות'!$A$10&amp;"|"&amp;17,'שיבוץ'!$K$3:$K$152,0))&amp;"","")</f>
        <v/>
      </c>
      <c r="K196">
        <f>IFERROR(INDEX('שיבוץ'!$C$3:$C$152,MATCH('קבוצות'!$A$10&amp;"|"&amp;17,'שיבוץ'!$K$3:$K$152,0)),"")</f>
        <v/>
      </c>
      <c r="L196">
        <f>IFERROR(INDEX('שיבוץ'!$E$3:$E$152,MATCH('קבוצות'!$A$10&amp;"|"&amp;17,'שיבוץ'!$K$3:$K$152,0))&amp;"","")</f>
        <v/>
      </c>
    </row>
    <row r="197" ht="28" customHeight="1">
      <c r="A197" s="39">
        <f>IF($H197="","",IF($H197=$H196,"",$H197))</f>
        <v/>
      </c>
      <c r="B197" s="30">
        <f>IF(N($K197)=0,"",TEXT(HOUR($K197),"00")&amp;":"&amp;TEXT(MINUTE($K197),"00"))</f>
        <v/>
      </c>
      <c r="C197" s="31">
        <f>$L197</f>
        <v/>
      </c>
      <c r="D197" s="32">
        <f>$I197</f>
        <v/>
      </c>
      <c r="E197" s="33" t="n"/>
      <c r="F197" s="34">
        <f>$J197</f>
        <v/>
      </c>
      <c r="H197">
        <f>IFERROR(INDEX('שיבוץ'!$B$3:$B$152,MATCH('קבוצות'!$A$10&amp;"|"&amp;18,'שיבוץ'!$K$3:$K$152,0))&amp;"","")</f>
        <v/>
      </c>
      <c r="I197">
        <f>IFERROR(INDEX('שיבוץ'!$D$3:$D$152,MATCH('קבוצות'!$A$10&amp;"|"&amp;18,'שיבוץ'!$K$3:$K$152,0))&amp;"","")</f>
        <v/>
      </c>
      <c r="J197">
        <f>IFERROR(INDEX('שיבוץ'!$F$3:$F$152,MATCH('קבוצות'!$A$10&amp;"|"&amp;18,'שיבוץ'!$K$3:$K$152,0))&amp;"","")</f>
        <v/>
      </c>
      <c r="K197">
        <f>IFERROR(INDEX('שיבוץ'!$C$3:$C$152,MATCH('קבוצות'!$A$10&amp;"|"&amp;18,'שיבוץ'!$K$3:$K$152,0)),"")</f>
        <v/>
      </c>
      <c r="L197">
        <f>IFERROR(INDEX('שיבוץ'!$E$3:$E$152,MATCH('קבוצות'!$A$10&amp;"|"&amp;18,'שיבוץ'!$K$3:$K$152,0))&amp;"","")</f>
        <v/>
      </c>
    </row>
    <row r="198" ht="18" customHeight="1">
      <c r="A198" s="35">
        <f>IF(COUNTIF('שיבוץ'!$A$3:$A$152,'קבוצות'!$A$10)&gt;18,"⚠ לקבוצה יש עוד משימות שלא נכנסו לכרטיסייה — ראו «טופס נקי»","")</f>
        <v/>
      </c>
    </row>
    <row r="201" ht="42" customHeight="1">
      <c r="A201" s="40">
        <f>IF('קבוצות'!$A$11="","",'קבוצות'!$A$11)</f>
        <v/>
      </c>
    </row>
    <row r="202" ht="60" customHeight="1">
      <c r="A202" s="41">
        <f>IF('קבוצות'!$D$11="","",'קבוצות'!$D$11)</f>
        <v/>
      </c>
    </row>
    <row r="203" ht="20" customHeight="1">
      <c r="A20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04" ht="22" customHeight="1">
      <c r="A204" s="28" t="inlineStr">
        <is>
          <t>מתי</t>
        </is>
      </c>
      <c r="B204" s="28" t="inlineStr">
        <is>
          <t>שעה</t>
        </is>
      </c>
      <c r="C204" s="28" t="inlineStr">
        <is>
          <t>קטגוריה</t>
        </is>
      </c>
      <c r="D204" s="28" t="inlineStr">
        <is>
          <t>משימה</t>
        </is>
      </c>
      <c r="F204" s="28" t="inlineStr">
        <is>
          <t>פרטים</t>
        </is>
      </c>
    </row>
    <row r="205" ht="28" customHeight="1">
      <c r="A205" s="43">
        <f>IF($H205="","",IF($H205=$H204,"",$H205))</f>
        <v/>
      </c>
      <c r="B205" s="30">
        <f>IF(N($K205)=0,"",TEXT(HOUR($K205),"00")&amp;":"&amp;TEXT(MINUTE($K205),"00"))</f>
        <v/>
      </c>
      <c r="C205" s="31">
        <f>$L205</f>
        <v/>
      </c>
      <c r="D205" s="32">
        <f>$I205</f>
        <v/>
      </c>
      <c r="E205" s="33" t="n"/>
      <c r="F205" s="34">
        <f>$J205</f>
        <v/>
      </c>
      <c r="H205">
        <f>IFERROR(INDEX('שיבוץ'!$B$3:$B$152,MATCH('קבוצות'!$A$11&amp;"|"&amp;1,'שיבוץ'!$K$3:$K$152,0))&amp;"","")</f>
        <v/>
      </c>
      <c r="I205">
        <f>IFERROR(INDEX('שיבוץ'!$D$3:$D$152,MATCH('קבוצות'!$A$11&amp;"|"&amp;1,'שיבוץ'!$K$3:$K$152,0))&amp;"","")</f>
        <v/>
      </c>
      <c r="J205">
        <f>IFERROR(INDEX('שיבוץ'!$F$3:$F$152,MATCH('קבוצות'!$A$11&amp;"|"&amp;1,'שיבוץ'!$K$3:$K$152,0))&amp;"","")</f>
        <v/>
      </c>
      <c r="K205">
        <f>IFERROR(INDEX('שיבוץ'!$C$3:$C$152,MATCH('קבוצות'!$A$11&amp;"|"&amp;1,'שיבוץ'!$K$3:$K$152,0)),"")</f>
        <v/>
      </c>
      <c r="L205">
        <f>IFERROR(INDEX('שיבוץ'!$E$3:$E$152,MATCH('קבוצות'!$A$11&amp;"|"&amp;1,'שיבוץ'!$K$3:$K$152,0))&amp;"","")</f>
        <v/>
      </c>
    </row>
    <row r="206" ht="28" customHeight="1">
      <c r="A206" s="43">
        <f>IF($H206="","",IF($H206=$H205,"",$H206))</f>
        <v/>
      </c>
      <c r="B206" s="30">
        <f>IF(N($K206)=0,"",TEXT(HOUR($K206),"00")&amp;":"&amp;TEXT(MINUTE($K206),"00"))</f>
        <v/>
      </c>
      <c r="C206" s="31">
        <f>$L206</f>
        <v/>
      </c>
      <c r="D206" s="32">
        <f>$I206</f>
        <v/>
      </c>
      <c r="E206" s="33" t="n"/>
      <c r="F206" s="34">
        <f>$J206</f>
        <v/>
      </c>
      <c r="H206">
        <f>IFERROR(INDEX('שיבוץ'!$B$3:$B$152,MATCH('קבוצות'!$A$11&amp;"|"&amp;2,'שיבוץ'!$K$3:$K$152,0))&amp;"","")</f>
        <v/>
      </c>
      <c r="I206">
        <f>IFERROR(INDEX('שיבוץ'!$D$3:$D$152,MATCH('קבוצות'!$A$11&amp;"|"&amp;2,'שיבוץ'!$K$3:$K$152,0))&amp;"","")</f>
        <v/>
      </c>
      <c r="J206">
        <f>IFERROR(INDEX('שיבוץ'!$F$3:$F$152,MATCH('קבוצות'!$A$11&amp;"|"&amp;2,'שיבוץ'!$K$3:$K$152,0))&amp;"","")</f>
        <v/>
      </c>
      <c r="K206">
        <f>IFERROR(INDEX('שיבוץ'!$C$3:$C$152,MATCH('קבוצות'!$A$11&amp;"|"&amp;2,'שיבוץ'!$K$3:$K$152,0)),"")</f>
        <v/>
      </c>
      <c r="L206">
        <f>IFERROR(INDEX('שיבוץ'!$E$3:$E$152,MATCH('קבוצות'!$A$11&amp;"|"&amp;2,'שיבוץ'!$K$3:$K$152,0))&amp;"","")</f>
        <v/>
      </c>
    </row>
    <row r="207" ht="28" customHeight="1">
      <c r="A207" s="43">
        <f>IF($H207="","",IF($H207=$H206,"",$H207))</f>
        <v/>
      </c>
      <c r="B207" s="30">
        <f>IF(N($K207)=0,"",TEXT(HOUR($K207),"00")&amp;":"&amp;TEXT(MINUTE($K207),"00"))</f>
        <v/>
      </c>
      <c r="C207" s="31">
        <f>$L207</f>
        <v/>
      </c>
      <c r="D207" s="32">
        <f>$I207</f>
        <v/>
      </c>
      <c r="E207" s="33" t="n"/>
      <c r="F207" s="34">
        <f>$J207</f>
        <v/>
      </c>
      <c r="H207">
        <f>IFERROR(INDEX('שיבוץ'!$B$3:$B$152,MATCH('קבוצות'!$A$11&amp;"|"&amp;3,'שיבוץ'!$K$3:$K$152,0))&amp;"","")</f>
        <v/>
      </c>
      <c r="I207">
        <f>IFERROR(INDEX('שיבוץ'!$D$3:$D$152,MATCH('קבוצות'!$A$11&amp;"|"&amp;3,'שיבוץ'!$K$3:$K$152,0))&amp;"","")</f>
        <v/>
      </c>
      <c r="J207">
        <f>IFERROR(INDEX('שיבוץ'!$F$3:$F$152,MATCH('קבוצות'!$A$11&amp;"|"&amp;3,'שיבוץ'!$K$3:$K$152,0))&amp;"","")</f>
        <v/>
      </c>
      <c r="K207">
        <f>IFERROR(INDEX('שיבוץ'!$C$3:$C$152,MATCH('קבוצות'!$A$11&amp;"|"&amp;3,'שיבוץ'!$K$3:$K$152,0)),"")</f>
        <v/>
      </c>
      <c r="L207">
        <f>IFERROR(INDEX('שיבוץ'!$E$3:$E$152,MATCH('קבוצות'!$A$11&amp;"|"&amp;3,'שיבוץ'!$K$3:$K$152,0))&amp;"","")</f>
        <v/>
      </c>
    </row>
    <row r="208" ht="28" customHeight="1">
      <c r="A208" s="43">
        <f>IF($H208="","",IF($H208=$H207,"",$H208))</f>
        <v/>
      </c>
      <c r="B208" s="30">
        <f>IF(N($K208)=0,"",TEXT(HOUR($K208),"00")&amp;":"&amp;TEXT(MINUTE($K208),"00"))</f>
        <v/>
      </c>
      <c r="C208" s="31">
        <f>$L208</f>
        <v/>
      </c>
      <c r="D208" s="32">
        <f>$I208</f>
        <v/>
      </c>
      <c r="E208" s="33" t="n"/>
      <c r="F208" s="34">
        <f>$J208</f>
        <v/>
      </c>
      <c r="H208">
        <f>IFERROR(INDEX('שיבוץ'!$B$3:$B$152,MATCH('קבוצות'!$A$11&amp;"|"&amp;4,'שיבוץ'!$K$3:$K$152,0))&amp;"","")</f>
        <v/>
      </c>
      <c r="I208">
        <f>IFERROR(INDEX('שיבוץ'!$D$3:$D$152,MATCH('קבוצות'!$A$11&amp;"|"&amp;4,'שיבוץ'!$K$3:$K$152,0))&amp;"","")</f>
        <v/>
      </c>
      <c r="J208">
        <f>IFERROR(INDEX('שיבוץ'!$F$3:$F$152,MATCH('קבוצות'!$A$11&amp;"|"&amp;4,'שיבוץ'!$K$3:$K$152,0))&amp;"","")</f>
        <v/>
      </c>
      <c r="K208">
        <f>IFERROR(INDEX('שיבוץ'!$C$3:$C$152,MATCH('קבוצות'!$A$11&amp;"|"&amp;4,'שיבוץ'!$K$3:$K$152,0)),"")</f>
        <v/>
      </c>
      <c r="L208">
        <f>IFERROR(INDEX('שיבוץ'!$E$3:$E$152,MATCH('קבוצות'!$A$11&amp;"|"&amp;4,'שיבוץ'!$K$3:$K$152,0))&amp;"","")</f>
        <v/>
      </c>
    </row>
    <row r="209" ht="28" customHeight="1">
      <c r="A209" s="43">
        <f>IF($H209="","",IF($H209=$H208,"",$H209))</f>
        <v/>
      </c>
      <c r="B209" s="30">
        <f>IF(N($K209)=0,"",TEXT(HOUR($K209),"00")&amp;":"&amp;TEXT(MINUTE($K209),"00"))</f>
        <v/>
      </c>
      <c r="C209" s="31">
        <f>$L209</f>
        <v/>
      </c>
      <c r="D209" s="32">
        <f>$I209</f>
        <v/>
      </c>
      <c r="E209" s="33" t="n"/>
      <c r="F209" s="34">
        <f>$J209</f>
        <v/>
      </c>
      <c r="H209">
        <f>IFERROR(INDEX('שיבוץ'!$B$3:$B$152,MATCH('קבוצות'!$A$11&amp;"|"&amp;5,'שיבוץ'!$K$3:$K$152,0))&amp;"","")</f>
        <v/>
      </c>
      <c r="I209">
        <f>IFERROR(INDEX('שיבוץ'!$D$3:$D$152,MATCH('קבוצות'!$A$11&amp;"|"&amp;5,'שיבוץ'!$K$3:$K$152,0))&amp;"","")</f>
        <v/>
      </c>
      <c r="J209">
        <f>IFERROR(INDEX('שיבוץ'!$F$3:$F$152,MATCH('קבוצות'!$A$11&amp;"|"&amp;5,'שיבוץ'!$K$3:$K$152,0))&amp;"","")</f>
        <v/>
      </c>
      <c r="K209">
        <f>IFERROR(INDEX('שיבוץ'!$C$3:$C$152,MATCH('קבוצות'!$A$11&amp;"|"&amp;5,'שיבוץ'!$K$3:$K$152,0)),"")</f>
        <v/>
      </c>
      <c r="L209">
        <f>IFERROR(INDEX('שיבוץ'!$E$3:$E$152,MATCH('קבוצות'!$A$11&amp;"|"&amp;5,'שיבוץ'!$K$3:$K$152,0))&amp;"","")</f>
        <v/>
      </c>
    </row>
    <row r="210" ht="28" customHeight="1">
      <c r="A210" s="43">
        <f>IF($H210="","",IF($H210=$H209,"",$H210))</f>
        <v/>
      </c>
      <c r="B210" s="30">
        <f>IF(N($K210)=0,"",TEXT(HOUR($K210),"00")&amp;":"&amp;TEXT(MINUTE($K210),"00"))</f>
        <v/>
      </c>
      <c r="C210" s="31">
        <f>$L210</f>
        <v/>
      </c>
      <c r="D210" s="32">
        <f>$I210</f>
        <v/>
      </c>
      <c r="E210" s="33" t="n"/>
      <c r="F210" s="34">
        <f>$J210</f>
        <v/>
      </c>
      <c r="H210">
        <f>IFERROR(INDEX('שיבוץ'!$B$3:$B$152,MATCH('קבוצות'!$A$11&amp;"|"&amp;6,'שיבוץ'!$K$3:$K$152,0))&amp;"","")</f>
        <v/>
      </c>
      <c r="I210">
        <f>IFERROR(INDEX('שיבוץ'!$D$3:$D$152,MATCH('קבוצות'!$A$11&amp;"|"&amp;6,'שיבוץ'!$K$3:$K$152,0))&amp;"","")</f>
        <v/>
      </c>
      <c r="J210">
        <f>IFERROR(INDEX('שיבוץ'!$F$3:$F$152,MATCH('קבוצות'!$A$11&amp;"|"&amp;6,'שיבוץ'!$K$3:$K$152,0))&amp;"","")</f>
        <v/>
      </c>
      <c r="K210">
        <f>IFERROR(INDEX('שיבוץ'!$C$3:$C$152,MATCH('קבוצות'!$A$11&amp;"|"&amp;6,'שיבוץ'!$K$3:$K$152,0)),"")</f>
        <v/>
      </c>
      <c r="L210">
        <f>IFERROR(INDEX('שיבוץ'!$E$3:$E$152,MATCH('קבוצות'!$A$11&amp;"|"&amp;6,'שיבוץ'!$K$3:$K$152,0))&amp;"","")</f>
        <v/>
      </c>
    </row>
    <row r="211" ht="28" customHeight="1">
      <c r="A211" s="43">
        <f>IF($H211="","",IF($H211=$H210,"",$H211))</f>
        <v/>
      </c>
      <c r="B211" s="30">
        <f>IF(N($K211)=0,"",TEXT(HOUR($K211),"00")&amp;":"&amp;TEXT(MINUTE($K211),"00"))</f>
        <v/>
      </c>
      <c r="C211" s="31">
        <f>$L211</f>
        <v/>
      </c>
      <c r="D211" s="32">
        <f>$I211</f>
        <v/>
      </c>
      <c r="E211" s="33" t="n"/>
      <c r="F211" s="34">
        <f>$J211</f>
        <v/>
      </c>
      <c r="H211">
        <f>IFERROR(INDEX('שיבוץ'!$B$3:$B$152,MATCH('קבוצות'!$A$11&amp;"|"&amp;7,'שיבוץ'!$K$3:$K$152,0))&amp;"","")</f>
        <v/>
      </c>
      <c r="I211">
        <f>IFERROR(INDEX('שיבוץ'!$D$3:$D$152,MATCH('קבוצות'!$A$11&amp;"|"&amp;7,'שיבוץ'!$K$3:$K$152,0))&amp;"","")</f>
        <v/>
      </c>
      <c r="J211">
        <f>IFERROR(INDEX('שיבוץ'!$F$3:$F$152,MATCH('קבוצות'!$A$11&amp;"|"&amp;7,'שיבוץ'!$K$3:$K$152,0))&amp;"","")</f>
        <v/>
      </c>
      <c r="K211">
        <f>IFERROR(INDEX('שיבוץ'!$C$3:$C$152,MATCH('קבוצות'!$A$11&amp;"|"&amp;7,'שיבוץ'!$K$3:$K$152,0)),"")</f>
        <v/>
      </c>
      <c r="L211">
        <f>IFERROR(INDEX('שיבוץ'!$E$3:$E$152,MATCH('קבוצות'!$A$11&amp;"|"&amp;7,'שיבוץ'!$K$3:$K$152,0))&amp;"","")</f>
        <v/>
      </c>
    </row>
    <row r="212" ht="28" customHeight="1">
      <c r="A212" s="43">
        <f>IF($H212="","",IF($H212=$H211,"",$H212))</f>
        <v/>
      </c>
      <c r="B212" s="30">
        <f>IF(N($K212)=0,"",TEXT(HOUR($K212),"00")&amp;":"&amp;TEXT(MINUTE($K212),"00"))</f>
        <v/>
      </c>
      <c r="C212" s="31">
        <f>$L212</f>
        <v/>
      </c>
      <c r="D212" s="32">
        <f>$I212</f>
        <v/>
      </c>
      <c r="E212" s="33" t="n"/>
      <c r="F212" s="34">
        <f>$J212</f>
        <v/>
      </c>
      <c r="H212">
        <f>IFERROR(INDEX('שיבוץ'!$B$3:$B$152,MATCH('קבוצות'!$A$11&amp;"|"&amp;8,'שיבוץ'!$K$3:$K$152,0))&amp;"","")</f>
        <v/>
      </c>
      <c r="I212">
        <f>IFERROR(INDEX('שיבוץ'!$D$3:$D$152,MATCH('קבוצות'!$A$11&amp;"|"&amp;8,'שיבוץ'!$K$3:$K$152,0))&amp;"","")</f>
        <v/>
      </c>
      <c r="J212">
        <f>IFERROR(INDEX('שיבוץ'!$F$3:$F$152,MATCH('קבוצות'!$A$11&amp;"|"&amp;8,'שיבוץ'!$K$3:$K$152,0))&amp;"","")</f>
        <v/>
      </c>
      <c r="K212">
        <f>IFERROR(INDEX('שיבוץ'!$C$3:$C$152,MATCH('קבוצות'!$A$11&amp;"|"&amp;8,'שיבוץ'!$K$3:$K$152,0)),"")</f>
        <v/>
      </c>
      <c r="L212">
        <f>IFERROR(INDEX('שיבוץ'!$E$3:$E$152,MATCH('קבוצות'!$A$11&amp;"|"&amp;8,'שיבוץ'!$K$3:$K$152,0))&amp;"","")</f>
        <v/>
      </c>
    </row>
    <row r="213" ht="28" customHeight="1">
      <c r="A213" s="43">
        <f>IF($H213="","",IF($H213=$H212,"",$H213))</f>
        <v/>
      </c>
      <c r="B213" s="30">
        <f>IF(N($K213)=0,"",TEXT(HOUR($K213),"00")&amp;":"&amp;TEXT(MINUTE($K213),"00"))</f>
        <v/>
      </c>
      <c r="C213" s="31">
        <f>$L213</f>
        <v/>
      </c>
      <c r="D213" s="32">
        <f>$I213</f>
        <v/>
      </c>
      <c r="E213" s="33" t="n"/>
      <c r="F213" s="34">
        <f>$J213</f>
        <v/>
      </c>
      <c r="H213">
        <f>IFERROR(INDEX('שיבוץ'!$B$3:$B$152,MATCH('קבוצות'!$A$11&amp;"|"&amp;9,'שיבוץ'!$K$3:$K$152,0))&amp;"","")</f>
        <v/>
      </c>
      <c r="I213">
        <f>IFERROR(INDEX('שיבוץ'!$D$3:$D$152,MATCH('קבוצות'!$A$11&amp;"|"&amp;9,'שיבוץ'!$K$3:$K$152,0))&amp;"","")</f>
        <v/>
      </c>
      <c r="J213">
        <f>IFERROR(INDEX('שיבוץ'!$F$3:$F$152,MATCH('קבוצות'!$A$11&amp;"|"&amp;9,'שיבוץ'!$K$3:$K$152,0))&amp;"","")</f>
        <v/>
      </c>
      <c r="K213">
        <f>IFERROR(INDEX('שיבוץ'!$C$3:$C$152,MATCH('קבוצות'!$A$11&amp;"|"&amp;9,'שיבוץ'!$K$3:$K$152,0)),"")</f>
        <v/>
      </c>
      <c r="L213">
        <f>IFERROR(INDEX('שיבוץ'!$E$3:$E$152,MATCH('קבוצות'!$A$11&amp;"|"&amp;9,'שיבוץ'!$K$3:$K$152,0))&amp;"","")</f>
        <v/>
      </c>
    </row>
    <row r="214" ht="28" customHeight="1">
      <c r="A214" s="43">
        <f>IF($H214="","",IF($H214=$H213,"",$H214))</f>
        <v/>
      </c>
      <c r="B214" s="30">
        <f>IF(N($K214)=0,"",TEXT(HOUR($K214),"00")&amp;":"&amp;TEXT(MINUTE($K214),"00"))</f>
        <v/>
      </c>
      <c r="C214" s="31">
        <f>$L214</f>
        <v/>
      </c>
      <c r="D214" s="32">
        <f>$I214</f>
        <v/>
      </c>
      <c r="E214" s="33" t="n"/>
      <c r="F214" s="34">
        <f>$J214</f>
        <v/>
      </c>
      <c r="H214">
        <f>IFERROR(INDEX('שיבוץ'!$B$3:$B$152,MATCH('קבוצות'!$A$11&amp;"|"&amp;10,'שיבוץ'!$K$3:$K$152,0))&amp;"","")</f>
        <v/>
      </c>
      <c r="I214">
        <f>IFERROR(INDEX('שיבוץ'!$D$3:$D$152,MATCH('קבוצות'!$A$11&amp;"|"&amp;10,'שיבוץ'!$K$3:$K$152,0))&amp;"","")</f>
        <v/>
      </c>
      <c r="J214">
        <f>IFERROR(INDEX('שיבוץ'!$F$3:$F$152,MATCH('קבוצות'!$A$11&amp;"|"&amp;10,'שיבוץ'!$K$3:$K$152,0))&amp;"","")</f>
        <v/>
      </c>
      <c r="K214">
        <f>IFERROR(INDEX('שיבוץ'!$C$3:$C$152,MATCH('קבוצות'!$A$11&amp;"|"&amp;10,'שיבוץ'!$K$3:$K$152,0)),"")</f>
        <v/>
      </c>
      <c r="L214">
        <f>IFERROR(INDEX('שיבוץ'!$E$3:$E$152,MATCH('קבוצות'!$A$11&amp;"|"&amp;10,'שיבוץ'!$K$3:$K$152,0))&amp;"","")</f>
        <v/>
      </c>
    </row>
    <row r="215" ht="28" customHeight="1">
      <c r="A215" s="43">
        <f>IF($H215="","",IF($H215=$H214,"",$H215))</f>
        <v/>
      </c>
      <c r="B215" s="30">
        <f>IF(N($K215)=0,"",TEXT(HOUR($K215),"00")&amp;":"&amp;TEXT(MINUTE($K215),"00"))</f>
        <v/>
      </c>
      <c r="C215" s="31">
        <f>$L215</f>
        <v/>
      </c>
      <c r="D215" s="32">
        <f>$I215</f>
        <v/>
      </c>
      <c r="E215" s="33" t="n"/>
      <c r="F215" s="34">
        <f>$J215</f>
        <v/>
      </c>
      <c r="H215">
        <f>IFERROR(INDEX('שיבוץ'!$B$3:$B$152,MATCH('קבוצות'!$A$11&amp;"|"&amp;11,'שיבוץ'!$K$3:$K$152,0))&amp;"","")</f>
        <v/>
      </c>
      <c r="I215">
        <f>IFERROR(INDEX('שיבוץ'!$D$3:$D$152,MATCH('קבוצות'!$A$11&amp;"|"&amp;11,'שיבוץ'!$K$3:$K$152,0))&amp;"","")</f>
        <v/>
      </c>
      <c r="J215">
        <f>IFERROR(INDEX('שיבוץ'!$F$3:$F$152,MATCH('קבוצות'!$A$11&amp;"|"&amp;11,'שיבוץ'!$K$3:$K$152,0))&amp;"","")</f>
        <v/>
      </c>
      <c r="K215">
        <f>IFERROR(INDEX('שיבוץ'!$C$3:$C$152,MATCH('קבוצות'!$A$11&amp;"|"&amp;11,'שיבוץ'!$K$3:$K$152,0)),"")</f>
        <v/>
      </c>
      <c r="L215">
        <f>IFERROR(INDEX('שיבוץ'!$E$3:$E$152,MATCH('קבוצות'!$A$11&amp;"|"&amp;11,'שיבוץ'!$K$3:$K$152,0))&amp;"","")</f>
        <v/>
      </c>
    </row>
    <row r="216" ht="28" customHeight="1">
      <c r="A216" s="43">
        <f>IF($H216="","",IF($H216=$H215,"",$H216))</f>
        <v/>
      </c>
      <c r="B216" s="30">
        <f>IF(N($K216)=0,"",TEXT(HOUR($K216),"00")&amp;":"&amp;TEXT(MINUTE($K216),"00"))</f>
        <v/>
      </c>
      <c r="C216" s="31">
        <f>$L216</f>
        <v/>
      </c>
      <c r="D216" s="32">
        <f>$I216</f>
        <v/>
      </c>
      <c r="E216" s="33" t="n"/>
      <c r="F216" s="34">
        <f>$J216</f>
        <v/>
      </c>
      <c r="H216">
        <f>IFERROR(INDEX('שיבוץ'!$B$3:$B$152,MATCH('קבוצות'!$A$11&amp;"|"&amp;12,'שיבוץ'!$K$3:$K$152,0))&amp;"","")</f>
        <v/>
      </c>
      <c r="I216">
        <f>IFERROR(INDEX('שיבוץ'!$D$3:$D$152,MATCH('קבוצות'!$A$11&amp;"|"&amp;12,'שיבוץ'!$K$3:$K$152,0))&amp;"","")</f>
        <v/>
      </c>
      <c r="J216">
        <f>IFERROR(INDEX('שיבוץ'!$F$3:$F$152,MATCH('קבוצות'!$A$11&amp;"|"&amp;12,'שיבוץ'!$K$3:$K$152,0))&amp;"","")</f>
        <v/>
      </c>
      <c r="K216">
        <f>IFERROR(INDEX('שיבוץ'!$C$3:$C$152,MATCH('קבוצות'!$A$11&amp;"|"&amp;12,'שיבוץ'!$K$3:$K$152,0)),"")</f>
        <v/>
      </c>
      <c r="L216">
        <f>IFERROR(INDEX('שיבוץ'!$E$3:$E$152,MATCH('קבוצות'!$A$11&amp;"|"&amp;12,'שיבוץ'!$K$3:$K$152,0))&amp;"","")</f>
        <v/>
      </c>
    </row>
    <row r="217" ht="28" customHeight="1">
      <c r="A217" s="43">
        <f>IF($H217="","",IF($H217=$H216,"",$H217))</f>
        <v/>
      </c>
      <c r="B217" s="30">
        <f>IF(N($K217)=0,"",TEXT(HOUR($K217),"00")&amp;":"&amp;TEXT(MINUTE($K217),"00"))</f>
        <v/>
      </c>
      <c r="C217" s="31">
        <f>$L217</f>
        <v/>
      </c>
      <c r="D217" s="32">
        <f>$I217</f>
        <v/>
      </c>
      <c r="E217" s="33" t="n"/>
      <c r="F217" s="34">
        <f>$J217</f>
        <v/>
      </c>
      <c r="H217">
        <f>IFERROR(INDEX('שיבוץ'!$B$3:$B$152,MATCH('קבוצות'!$A$11&amp;"|"&amp;13,'שיבוץ'!$K$3:$K$152,0))&amp;"","")</f>
        <v/>
      </c>
      <c r="I217">
        <f>IFERROR(INDEX('שיבוץ'!$D$3:$D$152,MATCH('קבוצות'!$A$11&amp;"|"&amp;13,'שיבוץ'!$K$3:$K$152,0))&amp;"","")</f>
        <v/>
      </c>
      <c r="J217">
        <f>IFERROR(INDEX('שיבוץ'!$F$3:$F$152,MATCH('קבוצות'!$A$11&amp;"|"&amp;13,'שיבוץ'!$K$3:$K$152,0))&amp;"","")</f>
        <v/>
      </c>
      <c r="K217">
        <f>IFERROR(INDEX('שיבוץ'!$C$3:$C$152,MATCH('קבוצות'!$A$11&amp;"|"&amp;13,'שיבוץ'!$K$3:$K$152,0)),"")</f>
        <v/>
      </c>
      <c r="L217">
        <f>IFERROR(INDEX('שיבוץ'!$E$3:$E$152,MATCH('קבוצות'!$A$11&amp;"|"&amp;13,'שיבוץ'!$K$3:$K$152,0))&amp;"","")</f>
        <v/>
      </c>
    </row>
    <row r="218" ht="28" customHeight="1">
      <c r="A218" s="43">
        <f>IF($H218="","",IF($H218=$H217,"",$H218))</f>
        <v/>
      </c>
      <c r="B218" s="30">
        <f>IF(N($K218)=0,"",TEXT(HOUR($K218),"00")&amp;":"&amp;TEXT(MINUTE($K218),"00"))</f>
        <v/>
      </c>
      <c r="C218" s="31">
        <f>$L218</f>
        <v/>
      </c>
      <c r="D218" s="32">
        <f>$I218</f>
        <v/>
      </c>
      <c r="E218" s="33" t="n"/>
      <c r="F218" s="34">
        <f>$J218</f>
        <v/>
      </c>
      <c r="H218">
        <f>IFERROR(INDEX('שיבוץ'!$B$3:$B$152,MATCH('קבוצות'!$A$11&amp;"|"&amp;14,'שיבוץ'!$K$3:$K$152,0))&amp;"","")</f>
        <v/>
      </c>
      <c r="I218">
        <f>IFERROR(INDEX('שיבוץ'!$D$3:$D$152,MATCH('קבוצות'!$A$11&amp;"|"&amp;14,'שיבוץ'!$K$3:$K$152,0))&amp;"","")</f>
        <v/>
      </c>
      <c r="J218">
        <f>IFERROR(INDEX('שיבוץ'!$F$3:$F$152,MATCH('קבוצות'!$A$11&amp;"|"&amp;14,'שיבוץ'!$K$3:$K$152,0))&amp;"","")</f>
        <v/>
      </c>
      <c r="K218">
        <f>IFERROR(INDEX('שיבוץ'!$C$3:$C$152,MATCH('קבוצות'!$A$11&amp;"|"&amp;14,'שיבוץ'!$K$3:$K$152,0)),"")</f>
        <v/>
      </c>
      <c r="L218">
        <f>IFERROR(INDEX('שיבוץ'!$E$3:$E$152,MATCH('קבוצות'!$A$11&amp;"|"&amp;14,'שיבוץ'!$K$3:$K$152,0))&amp;"","")</f>
        <v/>
      </c>
    </row>
    <row r="219" ht="28" customHeight="1">
      <c r="A219" s="43">
        <f>IF($H219="","",IF($H219=$H218,"",$H219))</f>
        <v/>
      </c>
      <c r="B219" s="30">
        <f>IF(N($K219)=0,"",TEXT(HOUR($K219),"00")&amp;":"&amp;TEXT(MINUTE($K219),"00"))</f>
        <v/>
      </c>
      <c r="C219" s="31">
        <f>$L219</f>
        <v/>
      </c>
      <c r="D219" s="32">
        <f>$I219</f>
        <v/>
      </c>
      <c r="E219" s="33" t="n"/>
      <c r="F219" s="34">
        <f>$J219</f>
        <v/>
      </c>
      <c r="H219">
        <f>IFERROR(INDEX('שיבוץ'!$B$3:$B$152,MATCH('קבוצות'!$A$11&amp;"|"&amp;15,'שיבוץ'!$K$3:$K$152,0))&amp;"","")</f>
        <v/>
      </c>
      <c r="I219">
        <f>IFERROR(INDEX('שיבוץ'!$D$3:$D$152,MATCH('קבוצות'!$A$11&amp;"|"&amp;15,'שיבוץ'!$K$3:$K$152,0))&amp;"","")</f>
        <v/>
      </c>
      <c r="J219">
        <f>IFERROR(INDEX('שיבוץ'!$F$3:$F$152,MATCH('קבוצות'!$A$11&amp;"|"&amp;15,'שיבוץ'!$K$3:$K$152,0))&amp;"","")</f>
        <v/>
      </c>
      <c r="K219">
        <f>IFERROR(INDEX('שיבוץ'!$C$3:$C$152,MATCH('קבוצות'!$A$11&amp;"|"&amp;15,'שיבוץ'!$K$3:$K$152,0)),"")</f>
        <v/>
      </c>
      <c r="L219">
        <f>IFERROR(INDEX('שיבוץ'!$E$3:$E$152,MATCH('קבוצות'!$A$11&amp;"|"&amp;15,'שיבוץ'!$K$3:$K$152,0))&amp;"","")</f>
        <v/>
      </c>
    </row>
    <row r="220" ht="28" customHeight="1">
      <c r="A220" s="43">
        <f>IF($H220="","",IF($H220=$H219,"",$H220))</f>
        <v/>
      </c>
      <c r="B220" s="30">
        <f>IF(N($K220)=0,"",TEXT(HOUR($K220),"00")&amp;":"&amp;TEXT(MINUTE($K220),"00"))</f>
        <v/>
      </c>
      <c r="C220" s="31">
        <f>$L220</f>
        <v/>
      </c>
      <c r="D220" s="32">
        <f>$I220</f>
        <v/>
      </c>
      <c r="E220" s="33" t="n"/>
      <c r="F220" s="34">
        <f>$J220</f>
        <v/>
      </c>
      <c r="H220">
        <f>IFERROR(INDEX('שיבוץ'!$B$3:$B$152,MATCH('קבוצות'!$A$11&amp;"|"&amp;16,'שיבוץ'!$K$3:$K$152,0))&amp;"","")</f>
        <v/>
      </c>
      <c r="I220">
        <f>IFERROR(INDEX('שיבוץ'!$D$3:$D$152,MATCH('קבוצות'!$A$11&amp;"|"&amp;16,'שיבוץ'!$K$3:$K$152,0))&amp;"","")</f>
        <v/>
      </c>
      <c r="J220">
        <f>IFERROR(INDEX('שיבוץ'!$F$3:$F$152,MATCH('קבוצות'!$A$11&amp;"|"&amp;16,'שיבוץ'!$K$3:$K$152,0))&amp;"","")</f>
        <v/>
      </c>
      <c r="K220">
        <f>IFERROR(INDEX('שיבוץ'!$C$3:$C$152,MATCH('קבוצות'!$A$11&amp;"|"&amp;16,'שיבוץ'!$K$3:$K$152,0)),"")</f>
        <v/>
      </c>
      <c r="L220">
        <f>IFERROR(INDEX('שיבוץ'!$E$3:$E$152,MATCH('קבוצות'!$A$11&amp;"|"&amp;16,'שיבוץ'!$K$3:$K$152,0))&amp;"","")</f>
        <v/>
      </c>
    </row>
    <row r="221" ht="28" customHeight="1">
      <c r="A221" s="43">
        <f>IF($H221="","",IF($H221=$H220,"",$H221))</f>
        <v/>
      </c>
      <c r="B221" s="30">
        <f>IF(N($K221)=0,"",TEXT(HOUR($K221),"00")&amp;":"&amp;TEXT(MINUTE($K221),"00"))</f>
        <v/>
      </c>
      <c r="C221" s="31">
        <f>$L221</f>
        <v/>
      </c>
      <c r="D221" s="32">
        <f>$I221</f>
        <v/>
      </c>
      <c r="E221" s="33" t="n"/>
      <c r="F221" s="34">
        <f>$J221</f>
        <v/>
      </c>
      <c r="H221">
        <f>IFERROR(INDEX('שיבוץ'!$B$3:$B$152,MATCH('קבוצות'!$A$11&amp;"|"&amp;17,'שיבוץ'!$K$3:$K$152,0))&amp;"","")</f>
        <v/>
      </c>
      <c r="I221">
        <f>IFERROR(INDEX('שיבוץ'!$D$3:$D$152,MATCH('קבוצות'!$A$11&amp;"|"&amp;17,'שיבוץ'!$K$3:$K$152,0))&amp;"","")</f>
        <v/>
      </c>
      <c r="J221">
        <f>IFERROR(INDEX('שיבוץ'!$F$3:$F$152,MATCH('קבוצות'!$A$11&amp;"|"&amp;17,'שיבוץ'!$K$3:$K$152,0))&amp;"","")</f>
        <v/>
      </c>
      <c r="K221">
        <f>IFERROR(INDEX('שיבוץ'!$C$3:$C$152,MATCH('קבוצות'!$A$11&amp;"|"&amp;17,'שיבוץ'!$K$3:$K$152,0)),"")</f>
        <v/>
      </c>
      <c r="L221">
        <f>IFERROR(INDEX('שיבוץ'!$E$3:$E$152,MATCH('קבוצות'!$A$11&amp;"|"&amp;17,'שיבוץ'!$K$3:$K$152,0))&amp;"","")</f>
        <v/>
      </c>
    </row>
    <row r="222" ht="28" customHeight="1">
      <c r="A222" s="43">
        <f>IF($H222="","",IF($H222=$H221,"",$H222))</f>
        <v/>
      </c>
      <c r="B222" s="30">
        <f>IF(N($K222)=0,"",TEXT(HOUR($K222),"00")&amp;":"&amp;TEXT(MINUTE($K222),"00"))</f>
        <v/>
      </c>
      <c r="C222" s="31">
        <f>$L222</f>
        <v/>
      </c>
      <c r="D222" s="32">
        <f>$I222</f>
        <v/>
      </c>
      <c r="E222" s="33" t="n"/>
      <c r="F222" s="34">
        <f>$J222</f>
        <v/>
      </c>
      <c r="H222">
        <f>IFERROR(INDEX('שיבוץ'!$B$3:$B$152,MATCH('קבוצות'!$A$11&amp;"|"&amp;18,'שיבוץ'!$K$3:$K$152,0))&amp;"","")</f>
        <v/>
      </c>
      <c r="I222">
        <f>IFERROR(INDEX('שיבוץ'!$D$3:$D$152,MATCH('קבוצות'!$A$11&amp;"|"&amp;18,'שיבוץ'!$K$3:$K$152,0))&amp;"","")</f>
        <v/>
      </c>
      <c r="J222">
        <f>IFERROR(INDEX('שיבוץ'!$F$3:$F$152,MATCH('קבוצות'!$A$11&amp;"|"&amp;18,'שיבוץ'!$K$3:$K$152,0))&amp;"","")</f>
        <v/>
      </c>
      <c r="K222">
        <f>IFERROR(INDEX('שיבוץ'!$C$3:$C$152,MATCH('קבוצות'!$A$11&amp;"|"&amp;18,'שיבוץ'!$K$3:$K$152,0)),"")</f>
        <v/>
      </c>
      <c r="L222">
        <f>IFERROR(INDEX('שיבוץ'!$E$3:$E$152,MATCH('קבוצות'!$A$11&amp;"|"&amp;18,'שיבוץ'!$K$3:$K$152,0))&amp;"","")</f>
        <v/>
      </c>
    </row>
    <row r="223" ht="18" customHeight="1">
      <c r="A223" s="35">
        <f>IF(COUNTIF('שיבוץ'!$A$3:$A$152,'קבוצות'!$A$11)&gt;18,"⚠ לקבוצה יש עוד משימות שלא נכנסו לכרטיסייה — ראו «טופס נקי»","")</f>
        <v/>
      </c>
    </row>
    <row r="226" ht="42" customHeight="1">
      <c r="A226" s="44">
        <f>IF('קבוצות'!$A$12="","",'קבוצות'!$A$12)</f>
        <v/>
      </c>
    </row>
    <row r="227" ht="60" customHeight="1">
      <c r="A227" s="45">
        <f>IF('קבוצות'!$D$12="","",'קבוצות'!$D$12)</f>
        <v/>
      </c>
    </row>
    <row r="228" ht="20" customHeight="1">
      <c r="A22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29" ht="22" customHeight="1">
      <c r="A229" s="28" t="inlineStr">
        <is>
          <t>מתי</t>
        </is>
      </c>
      <c r="B229" s="28" t="inlineStr">
        <is>
          <t>שעה</t>
        </is>
      </c>
      <c r="C229" s="28" t="inlineStr">
        <is>
          <t>קטגוריה</t>
        </is>
      </c>
      <c r="D229" s="28" t="inlineStr">
        <is>
          <t>משימה</t>
        </is>
      </c>
      <c r="F229" s="28" t="inlineStr">
        <is>
          <t>פרטים</t>
        </is>
      </c>
    </row>
    <row r="230" ht="28" customHeight="1">
      <c r="A230" s="47">
        <f>IF($H230="","",IF($H230=$H229,"",$H230))</f>
        <v/>
      </c>
      <c r="B230" s="30">
        <f>IF(N($K230)=0,"",TEXT(HOUR($K230),"00")&amp;":"&amp;TEXT(MINUTE($K230),"00"))</f>
        <v/>
      </c>
      <c r="C230" s="31">
        <f>$L230</f>
        <v/>
      </c>
      <c r="D230" s="32">
        <f>$I230</f>
        <v/>
      </c>
      <c r="E230" s="33" t="n"/>
      <c r="F230" s="34">
        <f>$J230</f>
        <v/>
      </c>
      <c r="H230">
        <f>IFERROR(INDEX('שיבוץ'!$B$3:$B$152,MATCH('קבוצות'!$A$12&amp;"|"&amp;1,'שיבוץ'!$K$3:$K$152,0))&amp;"","")</f>
        <v/>
      </c>
      <c r="I230">
        <f>IFERROR(INDEX('שיבוץ'!$D$3:$D$152,MATCH('קבוצות'!$A$12&amp;"|"&amp;1,'שיבוץ'!$K$3:$K$152,0))&amp;"","")</f>
        <v/>
      </c>
      <c r="J230">
        <f>IFERROR(INDEX('שיבוץ'!$F$3:$F$152,MATCH('קבוצות'!$A$12&amp;"|"&amp;1,'שיבוץ'!$K$3:$K$152,0))&amp;"","")</f>
        <v/>
      </c>
      <c r="K230">
        <f>IFERROR(INDEX('שיבוץ'!$C$3:$C$152,MATCH('קבוצות'!$A$12&amp;"|"&amp;1,'שיבוץ'!$K$3:$K$152,0)),"")</f>
        <v/>
      </c>
      <c r="L230">
        <f>IFERROR(INDEX('שיבוץ'!$E$3:$E$152,MATCH('קבוצות'!$A$12&amp;"|"&amp;1,'שיבוץ'!$K$3:$K$152,0))&amp;"","")</f>
        <v/>
      </c>
    </row>
    <row r="231" ht="28" customHeight="1">
      <c r="A231" s="47">
        <f>IF($H231="","",IF($H231=$H230,"",$H231))</f>
        <v/>
      </c>
      <c r="B231" s="30">
        <f>IF(N($K231)=0,"",TEXT(HOUR($K231),"00")&amp;":"&amp;TEXT(MINUTE($K231),"00"))</f>
        <v/>
      </c>
      <c r="C231" s="31">
        <f>$L231</f>
        <v/>
      </c>
      <c r="D231" s="32">
        <f>$I231</f>
        <v/>
      </c>
      <c r="E231" s="33" t="n"/>
      <c r="F231" s="34">
        <f>$J231</f>
        <v/>
      </c>
      <c r="H231">
        <f>IFERROR(INDEX('שיבוץ'!$B$3:$B$152,MATCH('קבוצות'!$A$12&amp;"|"&amp;2,'שיבוץ'!$K$3:$K$152,0))&amp;"","")</f>
        <v/>
      </c>
      <c r="I231">
        <f>IFERROR(INDEX('שיבוץ'!$D$3:$D$152,MATCH('קבוצות'!$A$12&amp;"|"&amp;2,'שיבוץ'!$K$3:$K$152,0))&amp;"","")</f>
        <v/>
      </c>
      <c r="J231">
        <f>IFERROR(INDEX('שיבוץ'!$F$3:$F$152,MATCH('קבוצות'!$A$12&amp;"|"&amp;2,'שיבוץ'!$K$3:$K$152,0))&amp;"","")</f>
        <v/>
      </c>
      <c r="K231">
        <f>IFERROR(INDEX('שיבוץ'!$C$3:$C$152,MATCH('קבוצות'!$A$12&amp;"|"&amp;2,'שיבוץ'!$K$3:$K$152,0)),"")</f>
        <v/>
      </c>
      <c r="L231">
        <f>IFERROR(INDEX('שיבוץ'!$E$3:$E$152,MATCH('קבוצות'!$A$12&amp;"|"&amp;2,'שיבוץ'!$K$3:$K$152,0))&amp;"","")</f>
        <v/>
      </c>
    </row>
    <row r="232" ht="28" customHeight="1">
      <c r="A232" s="47">
        <f>IF($H232="","",IF($H232=$H231,"",$H232))</f>
        <v/>
      </c>
      <c r="B232" s="30">
        <f>IF(N($K232)=0,"",TEXT(HOUR($K232),"00")&amp;":"&amp;TEXT(MINUTE($K232),"00"))</f>
        <v/>
      </c>
      <c r="C232" s="31">
        <f>$L232</f>
        <v/>
      </c>
      <c r="D232" s="32">
        <f>$I232</f>
        <v/>
      </c>
      <c r="E232" s="33" t="n"/>
      <c r="F232" s="34">
        <f>$J232</f>
        <v/>
      </c>
      <c r="H232">
        <f>IFERROR(INDEX('שיבוץ'!$B$3:$B$152,MATCH('קבוצות'!$A$12&amp;"|"&amp;3,'שיבוץ'!$K$3:$K$152,0))&amp;"","")</f>
        <v/>
      </c>
      <c r="I232">
        <f>IFERROR(INDEX('שיבוץ'!$D$3:$D$152,MATCH('קבוצות'!$A$12&amp;"|"&amp;3,'שיבוץ'!$K$3:$K$152,0))&amp;"","")</f>
        <v/>
      </c>
      <c r="J232">
        <f>IFERROR(INDEX('שיבוץ'!$F$3:$F$152,MATCH('קבוצות'!$A$12&amp;"|"&amp;3,'שיבוץ'!$K$3:$K$152,0))&amp;"","")</f>
        <v/>
      </c>
      <c r="K232">
        <f>IFERROR(INDEX('שיבוץ'!$C$3:$C$152,MATCH('קבוצות'!$A$12&amp;"|"&amp;3,'שיבוץ'!$K$3:$K$152,0)),"")</f>
        <v/>
      </c>
      <c r="L232">
        <f>IFERROR(INDEX('שיבוץ'!$E$3:$E$152,MATCH('קבוצות'!$A$12&amp;"|"&amp;3,'שיבוץ'!$K$3:$K$152,0))&amp;"","")</f>
        <v/>
      </c>
    </row>
    <row r="233" ht="28" customHeight="1">
      <c r="A233" s="47">
        <f>IF($H233="","",IF($H233=$H232,"",$H233))</f>
        <v/>
      </c>
      <c r="B233" s="30">
        <f>IF(N($K233)=0,"",TEXT(HOUR($K233),"00")&amp;":"&amp;TEXT(MINUTE($K233),"00"))</f>
        <v/>
      </c>
      <c r="C233" s="31">
        <f>$L233</f>
        <v/>
      </c>
      <c r="D233" s="32">
        <f>$I233</f>
        <v/>
      </c>
      <c r="E233" s="33" t="n"/>
      <c r="F233" s="34">
        <f>$J233</f>
        <v/>
      </c>
      <c r="H233">
        <f>IFERROR(INDEX('שיבוץ'!$B$3:$B$152,MATCH('קבוצות'!$A$12&amp;"|"&amp;4,'שיבוץ'!$K$3:$K$152,0))&amp;"","")</f>
        <v/>
      </c>
      <c r="I233">
        <f>IFERROR(INDEX('שיבוץ'!$D$3:$D$152,MATCH('קבוצות'!$A$12&amp;"|"&amp;4,'שיבוץ'!$K$3:$K$152,0))&amp;"","")</f>
        <v/>
      </c>
      <c r="J233">
        <f>IFERROR(INDEX('שיבוץ'!$F$3:$F$152,MATCH('קבוצות'!$A$12&amp;"|"&amp;4,'שיבוץ'!$K$3:$K$152,0))&amp;"","")</f>
        <v/>
      </c>
      <c r="K233">
        <f>IFERROR(INDEX('שיבוץ'!$C$3:$C$152,MATCH('קבוצות'!$A$12&amp;"|"&amp;4,'שיבוץ'!$K$3:$K$152,0)),"")</f>
        <v/>
      </c>
      <c r="L233">
        <f>IFERROR(INDEX('שיבוץ'!$E$3:$E$152,MATCH('קבוצות'!$A$12&amp;"|"&amp;4,'שיבוץ'!$K$3:$K$152,0))&amp;"","")</f>
        <v/>
      </c>
    </row>
    <row r="234" ht="28" customHeight="1">
      <c r="A234" s="47">
        <f>IF($H234="","",IF($H234=$H233,"",$H234))</f>
        <v/>
      </c>
      <c r="B234" s="30">
        <f>IF(N($K234)=0,"",TEXT(HOUR($K234),"00")&amp;":"&amp;TEXT(MINUTE($K234),"00"))</f>
        <v/>
      </c>
      <c r="C234" s="31">
        <f>$L234</f>
        <v/>
      </c>
      <c r="D234" s="32">
        <f>$I234</f>
        <v/>
      </c>
      <c r="E234" s="33" t="n"/>
      <c r="F234" s="34">
        <f>$J234</f>
        <v/>
      </c>
      <c r="H234">
        <f>IFERROR(INDEX('שיבוץ'!$B$3:$B$152,MATCH('קבוצות'!$A$12&amp;"|"&amp;5,'שיבוץ'!$K$3:$K$152,0))&amp;"","")</f>
        <v/>
      </c>
      <c r="I234">
        <f>IFERROR(INDEX('שיבוץ'!$D$3:$D$152,MATCH('קבוצות'!$A$12&amp;"|"&amp;5,'שיבוץ'!$K$3:$K$152,0))&amp;"","")</f>
        <v/>
      </c>
      <c r="J234">
        <f>IFERROR(INDEX('שיבוץ'!$F$3:$F$152,MATCH('קבוצות'!$A$12&amp;"|"&amp;5,'שיבוץ'!$K$3:$K$152,0))&amp;"","")</f>
        <v/>
      </c>
      <c r="K234">
        <f>IFERROR(INDEX('שיבוץ'!$C$3:$C$152,MATCH('קבוצות'!$A$12&amp;"|"&amp;5,'שיבוץ'!$K$3:$K$152,0)),"")</f>
        <v/>
      </c>
      <c r="L234">
        <f>IFERROR(INDEX('שיבוץ'!$E$3:$E$152,MATCH('קבוצות'!$A$12&amp;"|"&amp;5,'שיבוץ'!$K$3:$K$152,0))&amp;"","")</f>
        <v/>
      </c>
    </row>
    <row r="235" ht="28" customHeight="1">
      <c r="A235" s="47">
        <f>IF($H235="","",IF($H235=$H234,"",$H235))</f>
        <v/>
      </c>
      <c r="B235" s="30">
        <f>IF(N($K235)=0,"",TEXT(HOUR($K235),"00")&amp;":"&amp;TEXT(MINUTE($K235),"00"))</f>
        <v/>
      </c>
      <c r="C235" s="31">
        <f>$L235</f>
        <v/>
      </c>
      <c r="D235" s="32">
        <f>$I235</f>
        <v/>
      </c>
      <c r="E235" s="33" t="n"/>
      <c r="F235" s="34">
        <f>$J235</f>
        <v/>
      </c>
      <c r="H235">
        <f>IFERROR(INDEX('שיבוץ'!$B$3:$B$152,MATCH('קבוצות'!$A$12&amp;"|"&amp;6,'שיבוץ'!$K$3:$K$152,0))&amp;"","")</f>
        <v/>
      </c>
      <c r="I235">
        <f>IFERROR(INDEX('שיבוץ'!$D$3:$D$152,MATCH('קבוצות'!$A$12&amp;"|"&amp;6,'שיבוץ'!$K$3:$K$152,0))&amp;"","")</f>
        <v/>
      </c>
      <c r="J235">
        <f>IFERROR(INDEX('שיבוץ'!$F$3:$F$152,MATCH('קבוצות'!$A$12&amp;"|"&amp;6,'שיבוץ'!$K$3:$K$152,0))&amp;"","")</f>
        <v/>
      </c>
      <c r="K235">
        <f>IFERROR(INDEX('שיבוץ'!$C$3:$C$152,MATCH('קבוצות'!$A$12&amp;"|"&amp;6,'שיבוץ'!$K$3:$K$152,0)),"")</f>
        <v/>
      </c>
      <c r="L235">
        <f>IFERROR(INDEX('שיבוץ'!$E$3:$E$152,MATCH('קבוצות'!$A$12&amp;"|"&amp;6,'שיבוץ'!$K$3:$K$152,0))&amp;"","")</f>
        <v/>
      </c>
    </row>
    <row r="236" ht="28" customHeight="1">
      <c r="A236" s="47">
        <f>IF($H236="","",IF($H236=$H235,"",$H236))</f>
        <v/>
      </c>
      <c r="B236" s="30">
        <f>IF(N($K236)=0,"",TEXT(HOUR($K236),"00")&amp;":"&amp;TEXT(MINUTE($K236),"00"))</f>
        <v/>
      </c>
      <c r="C236" s="31">
        <f>$L236</f>
        <v/>
      </c>
      <c r="D236" s="32">
        <f>$I236</f>
        <v/>
      </c>
      <c r="E236" s="33" t="n"/>
      <c r="F236" s="34">
        <f>$J236</f>
        <v/>
      </c>
      <c r="H236">
        <f>IFERROR(INDEX('שיבוץ'!$B$3:$B$152,MATCH('קבוצות'!$A$12&amp;"|"&amp;7,'שיבוץ'!$K$3:$K$152,0))&amp;"","")</f>
        <v/>
      </c>
      <c r="I236">
        <f>IFERROR(INDEX('שיבוץ'!$D$3:$D$152,MATCH('קבוצות'!$A$12&amp;"|"&amp;7,'שיבוץ'!$K$3:$K$152,0))&amp;"","")</f>
        <v/>
      </c>
      <c r="J236">
        <f>IFERROR(INDEX('שיבוץ'!$F$3:$F$152,MATCH('קבוצות'!$A$12&amp;"|"&amp;7,'שיבוץ'!$K$3:$K$152,0))&amp;"","")</f>
        <v/>
      </c>
      <c r="K236">
        <f>IFERROR(INDEX('שיבוץ'!$C$3:$C$152,MATCH('קבוצות'!$A$12&amp;"|"&amp;7,'שיבוץ'!$K$3:$K$152,0)),"")</f>
        <v/>
      </c>
      <c r="L236">
        <f>IFERROR(INDEX('שיבוץ'!$E$3:$E$152,MATCH('קבוצות'!$A$12&amp;"|"&amp;7,'שיבוץ'!$K$3:$K$152,0))&amp;"","")</f>
        <v/>
      </c>
    </row>
    <row r="237" ht="28" customHeight="1">
      <c r="A237" s="47">
        <f>IF($H237="","",IF($H237=$H236,"",$H237))</f>
        <v/>
      </c>
      <c r="B237" s="30">
        <f>IF(N($K237)=0,"",TEXT(HOUR($K237),"00")&amp;":"&amp;TEXT(MINUTE($K237),"00"))</f>
        <v/>
      </c>
      <c r="C237" s="31">
        <f>$L237</f>
        <v/>
      </c>
      <c r="D237" s="32">
        <f>$I237</f>
        <v/>
      </c>
      <c r="E237" s="33" t="n"/>
      <c r="F237" s="34">
        <f>$J237</f>
        <v/>
      </c>
      <c r="H237">
        <f>IFERROR(INDEX('שיבוץ'!$B$3:$B$152,MATCH('קבוצות'!$A$12&amp;"|"&amp;8,'שיבוץ'!$K$3:$K$152,0))&amp;"","")</f>
        <v/>
      </c>
      <c r="I237">
        <f>IFERROR(INDEX('שיבוץ'!$D$3:$D$152,MATCH('קבוצות'!$A$12&amp;"|"&amp;8,'שיבוץ'!$K$3:$K$152,0))&amp;"","")</f>
        <v/>
      </c>
      <c r="J237">
        <f>IFERROR(INDEX('שיבוץ'!$F$3:$F$152,MATCH('קבוצות'!$A$12&amp;"|"&amp;8,'שיבוץ'!$K$3:$K$152,0))&amp;"","")</f>
        <v/>
      </c>
      <c r="K237">
        <f>IFERROR(INDEX('שיבוץ'!$C$3:$C$152,MATCH('קבוצות'!$A$12&amp;"|"&amp;8,'שיבוץ'!$K$3:$K$152,0)),"")</f>
        <v/>
      </c>
      <c r="L237">
        <f>IFERROR(INDEX('שיבוץ'!$E$3:$E$152,MATCH('קבוצות'!$A$12&amp;"|"&amp;8,'שיבוץ'!$K$3:$K$152,0))&amp;"","")</f>
        <v/>
      </c>
    </row>
    <row r="238" ht="28" customHeight="1">
      <c r="A238" s="47">
        <f>IF($H238="","",IF($H238=$H237,"",$H238))</f>
        <v/>
      </c>
      <c r="B238" s="30">
        <f>IF(N($K238)=0,"",TEXT(HOUR($K238),"00")&amp;":"&amp;TEXT(MINUTE($K238),"00"))</f>
        <v/>
      </c>
      <c r="C238" s="31">
        <f>$L238</f>
        <v/>
      </c>
      <c r="D238" s="32">
        <f>$I238</f>
        <v/>
      </c>
      <c r="E238" s="33" t="n"/>
      <c r="F238" s="34">
        <f>$J238</f>
        <v/>
      </c>
      <c r="H238">
        <f>IFERROR(INDEX('שיבוץ'!$B$3:$B$152,MATCH('קבוצות'!$A$12&amp;"|"&amp;9,'שיבוץ'!$K$3:$K$152,0))&amp;"","")</f>
        <v/>
      </c>
      <c r="I238">
        <f>IFERROR(INDEX('שיבוץ'!$D$3:$D$152,MATCH('קבוצות'!$A$12&amp;"|"&amp;9,'שיבוץ'!$K$3:$K$152,0))&amp;"","")</f>
        <v/>
      </c>
      <c r="J238">
        <f>IFERROR(INDEX('שיבוץ'!$F$3:$F$152,MATCH('קבוצות'!$A$12&amp;"|"&amp;9,'שיבוץ'!$K$3:$K$152,0))&amp;"","")</f>
        <v/>
      </c>
      <c r="K238">
        <f>IFERROR(INDEX('שיבוץ'!$C$3:$C$152,MATCH('קבוצות'!$A$12&amp;"|"&amp;9,'שיבוץ'!$K$3:$K$152,0)),"")</f>
        <v/>
      </c>
      <c r="L238">
        <f>IFERROR(INDEX('שיבוץ'!$E$3:$E$152,MATCH('קבוצות'!$A$12&amp;"|"&amp;9,'שיבוץ'!$K$3:$K$152,0))&amp;"","")</f>
        <v/>
      </c>
    </row>
    <row r="239" ht="28" customHeight="1">
      <c r="A239" s="47">
        <f>IF($H239="","",IF($H239=$H238,"",$H239))</f>
        <v/>
      </c>
      <c r="B239" s="30">
        <f>IF(N($K239)=0,"",TEXT(HOUR($K239),"00")&amp;":"&amp;TEXT(MINUTE($K239),"00"))</f>
        <v/>
      </c>
      <c r="C239" s="31">
        <f>$L239</f>
        <v/>
      </c>
      <c r="D239" s="32">
        <f>$I239</f>
        <v/>
      </c>
      <c r="E239" s="33" t="n"/>
      <c r="F239" s="34">
        <f>$J239</f>
        <v/>
      </c>
      <c r="H239">
        <f>IFERROR(INDEX('שיבוץ'!$B$3:$B$152,MATCH('קבוצות'!$A$12&amp;"|"&amp;10,'שיבוץ'!$K$3:$K$152,0))&amp;"","")</f>
        <v/>
      </c>
      <c r="I239">
        <f>IFERROR(INDEX('שיבוץ'!$D$3:$D$152,MATCH('קבוצות'!$A$12&amp;"|"&amp;10,'שיבוץ'!$K$3:$K$152,0))&amp;"","")</f>
        <v/>
      </c>
      <c r="J239">
        <f>IFERROR(INDEX('שיבוץ'!$F$3:$F$152,MATCH('קבוצות'!$A$12&amp;"|"&amp;10,'שיבוץ'!$K$3:$K$152,0))&amp;"","")</f>
        <v/>
      </c>
      <c r="K239">
        <f>IFERROR(INDEX('שיבוץ'!$C$3:$C$152,MATCH('קבוצות'!$A$12&amp;"|"&amp;10,'שיבוץ'!$K$3:$K$152,0)),"")</f>
        <v/>
      </c>
      <c r="L239">
        <f>IFERROR(INDEX('שיבוץ'!$E$3:$E$152,MATCH('קבוצות'!$A$12&amp;"|"&amp;10,'שיבוץ'!$K$3:$K$152,0))&amp;"","")</f>
        <v/>
      </c>
    </row>
    <row r="240" ht="28" customHeight="1">
      <c r="A240" s="47">
        <f>IF($H240="","",IF($H240=$H239,"",$H240))</f>
        <v/>
      </c>
      <c r="B240" s="30">
        <f>IF(N($K240)=0,"",TEXT(HOUR($K240),"00")&amp;":"&amp;TEXT(MINUTE($K240),"00"))</f>
        <v/>
      </c>
      <c r="C240" s="31">
        <f>$L240</f>
        <v/>
      </c>
      <c r="D240" s="32">
        <f>$I240</f>
        <v/>
      </c>
      <c r="E240" s="33" t="n"/>
      <c r="F240" s="34">
        <f>$J240</f>
        <v/>
      </c>
      <c r="H240">
        <f>IFERROR(INDEX('שיבוץ'!$B$3:$B$152,MATCH('קבוצות'!$A$12&amp;"|"&amp;11,'שיבוץ'!$K$3:$K$152,0))&amp;"","")</f>
        <v/>
      </c>
      <c r="I240">
        <f>IFERROR(INDEX('שיבוץ'!$D$3:$D$152,MATCH('קבוצות'!$A$12&amp;"|"&amp;11,'שיבוץ'!$K$3:$K$152,0))&amp;"","")</f>
        <v/>
      </c>
      <c r="J240">
        <f>IFERROR(INDEX('שיבוץ'!$F$3:$F$152,MATCH('קבוצות'!$A$12&amp;"|"&amp;11,'שיבוץ'!$K$3:$K$152,0))&amp;"","")</f>
        <v/>
      </c>
      <c r="K240">
        <f>IFERROR(INDEX('שיבוץ'!$C$3:$C$152,MATCH('קבוצות'!$A$12&amp;"|"&amp;11,'שיבוץ'!$K$3:$K$152,0)),"")</f>
        <v/>
      </c>
      <c r="L240">
        <f>IFERROR(INDEX('שיבוץ'!$E$3:$E$152,MATCH('קבוצות'!$A$12&amp;"|"&amp;11,'שיבוץ'!$K$3:$K$152,0))&amp;"","")</f>
        <v/>
      </c>
    </row>
    <row r="241" ht="28" customHeight="1">
      <c r="A241" s="47">
        <f>IF($H241="","",IF($H241=$H240,"",$H241))</f>
        <v/>
      </c>
      <c r="B241" s="30">
        <f>IF(N($K241)=0,"",TEXT(HOUR($K241),"00")&amp;":"&amp;TEXT(MINUTE($K241),"00"))</f>
        <v/>
      </c>
      <c r="C241" s="31">
        <f>$L241</f>
        <v/>
      </c>
      <c r="D241" s="32">
        <f>$I241</f>
        <v/>
      </c>
      <c r="E241" s="33" t="n"/>
      <c r="F241" s="34">
        <f>$J241</f>
        <v/>
      </c>
      <c r="H241">
        <f>IFERROR(INDEX('שיבוץ'!$B$3:$B$152,MATCH('קבוצות'!$A$12&amp;"|"&amp;12,'שיבוץ'!$K$3:$K$152,0))&amp;"","")</f>
        <v/>
      </c>
      <c r="I241">
        <f>IFERROR(INDEX('שיבוץ'!$D$3:$D$152,MATCH('קבוצות'!$A$12&amp;"|"&amp;12,'שיבוץ'!$K$3:$K$152,0))&amp;"","")</f>
        <v/>
      </c>
      <c r="J241">
        <f>IFERROR(INDEX('שיבוץ'!$F$3:$F$152,MATCH('קבוצות'!$A$12&amp;"|"&amp;12,'שיבוץ'!$K$3:$K$152,0))&amp;"","")</f>
        <v/>
      </c>
      <c r="K241">
        <f>IFERROR(INDEX('שיבוץ'!$C$3:$C$152,MATCH('קבוצות'!$A$12&amp;"|"&amp;12,'שיבוץ'!$K$3:$K$152,0)),"")</f>
        <v/>
      </c>
      <c r="L241">
        <f>IFERROR(INDEX('שיבוץ'!$E$3:$E$152,MATCH('קבוצות'!$A$12&amp;"|"&amp;12,'שיבוץ'!$K$3:$K$152,0))&amp;"","")</f>
        <v/>
      </c>
    </row>
    <row r="242" ht="28" customHeight="1">
      <c r="A242" s="47">
        <f>IF($H242="","",IF($H242=$H241,"",$H242))</f>
        <v/>
      </c>
      <c r="B242" s="30">
        <f>IF(N($K242)=0,"",TEXT(HOUR($K242),"00")&amp;":"&amp;TEXT(MINUTE($K242),"00"))</f>
        <v/>
      </c>
      <c r="C242" s="31">
        <f>$L242</f>
        <v/>
      </c>
      <c r="D242" s="32">
        <f>$I242</f>
        <v/>
      </c>
      <c r="E242" s="33" t="n"/>
      <c r="F242" s="34">
        <f>$J242</f>
        <v/>
      </c>
      <c r="H242">
        <f>IFERROR(INDEX('שיבוץ'!$B$3:$B$152,MATCH('קבוצות'!$A$12&amp;"|"&amp;13,'שיבוץ'!$K$3:$K$152,0))&amp;"","")</f>
        <v/>
      </c>
      <c r="I242">
        <f>IFERROR(INDEX('שיבוץ'!$D$3:$D$152,MATCH('קבוצות'!$A$12&amp;"|"&amp;13,'שיבוץ'!$K$3:$K$152,0))&amp;"","")</f>
        <v/>
      </c>
      <c r="J242">
        <f>IFERROR(INDEX('שיבוץ'!$F$3:$F$152,MATCH('קבוצות'!$A$12&amp;"|"&amp;13,'שיבוץ'!$K$3:$K$152,0))&amp;"","")</f>
        <v/>
      </c>
      <c r="K242">
        <f>IFERROR(INDEX('שיבוץ'!$C$3:$C$152,MATCH('קבוצות'!$A$12&amp;"|"&amp;13,'שיבוץ'!$K$3:$K$152,0)),"")</f>
        <v/>
      </c>
      <c r="L242">
        <f>IFERROR(INDEX('שיבוץ'!$E$3:$E$152,MATCH('קבוצות'!$A$12&amp;"|"&amp;13,'שיבוץ'!$K$3:$K$152,0))&amp;"","")</f>
        <v/>
      </c>
    </row>
    <row r="243" ht="28" customHeight="1">
      <c r="A243" s="47">
        <f>IF($H243="","",IF($H243=$H242,"",$H243))</f>
        <v/>
      </c>
      <c r="B243" s="30">
        <f>IF(N($K243)=0,"",TEXT(HOUR($K243),"00")&amp;":"&amp;TEXT(MINUTE($K243),"00"))</f>
        <v/>
      </c>
      <c r="C243" s="31">
        <f>$L243</f>
        <v/>
      </c>
      <c r="D243" s="32">
        <f>$I243</f>
        <v/>
      </c>
      <c r="E243" s="33" t="n"/>
      <c r="F243" s="34">
        <f>$J243</f>
        <v/>
      </c>
      <c r="H243">
        <f>IFERROR(INDEX('שיבוץ'!$B$3:$B$152,MATCH('קבוצות'!$A$12&amp;"|"&amp;14,'שיבוץ'!$K$3:$K$152,0))&amp;"","")</f>
        <v/>
      </c>
      <c r="I243">
        <f>IFERROR(INDEX('שיבוץ'!$D$3:$D$152,MATCH('קבוצות'!$A$12&amp;"|"&amp;14,'שיבוץ'!$K$3:$K$152,0))&amp;"","")</f>
        <v/>
      </c>
      <c r="J243">
        <f>IFERROR(INDEX('שיבוץ'!$F$3:$F$152,MATCH('קבוצות'!$A$12&amp;"|"&amp;14,'שיבוץ'!$K$3:$K$152,0))&amp;"","")</f>
        <v/>
      </c>
      <c r="K243">
        <f>IFERROR(INDEX('שיבוץ'!$C$3:$C$152,MATCH('קבוצות'!$A$12&amp;"|"&amp;14,'שיבוץ'!$K$3:$K$152,0)),"")</f>
        <v/>
      </c>
      <c r="L243">
        <f>IFERROR(INDEX('שיבוץ'!$E$3:$E$152,MATCH('קבוצות'!$A$12&amp;"|"&amp;14,'שיבוץ'!$K$3:$K$152,0))&amp;"","")</f>
        <v/>
      </c>
    </row>
    <row r="244" ht="28" customHeight="1">
      <c r="A244" s="47">
        <f>IF($H244="","",IF($H244=$H243,"",$H244))</f>
        <v/>
      </c>
      <c r="B244" s="30">
        <f>IF(N($K244)=0,"",TEXT(HOUR($K244),"00")&amp;":"&amp;TEXT(MINUTE($K244),"00"))</f>
        <v/>
      </c>
      <c r="C244" s="31">
        <f>$L244</f>
        <v/>
      </c>
      <c r="D244" s="32">
        <f>$I244</f>
        <v/>
      </c>
      <c r="E244" s="33" t="n"/>
      <c r="F244" s="34">
        <f>$J244</f>
        <v/>
      </c>
      <c r="H244">
        <f>IFERROR(INDEX('שיבוץ'!$B$3:$B$152,MATCH('קבוצות'!$A$12&amp;"|"&amp;15,'שיבוץ'!$K$3:$K$152,0))&amp;"","")</f>
        <v/>
      </c>
      <c r="I244">
        <f>IFERROR(INDEX('שיבוץ'!$D$3:$D$152,MATCH('קבוצות'!$A$12&amp;"|"&amp;15,'שיבוץ'!$K$3:$K$152,0))&amp;"","")</f>
        <v/>
      </c>
      <c r="J244">
        <f>IFERROR(INDEX('שיבוץ'!$F$3:$F$152,MATCH('קבוצות'!$A$12&amp;"|"&amp;15,'שיבוץ'!$K$3:$K$152,0))&amp;"","")</f>
        <v/>
      </c>
      <c r="K244">
        <f>IFERROR(INDEX('שיבוץ'!$C$3:$C$152,MATCH('קבוצות'!$A$12&amp;"|"&amp;15,'שיבוץ'!$K$3:$K$152,0)),"")</f>
        <v/>
      </c>
      <c r="L244">
        <f>IFERROR(INDEX('שיבוץ'!$E$3:$E$152,MATCH('קבוצות'!$A$12&amp;"|"&amp;15,'שיבוץ'!$K$3:$K$152,0))&amp;"","")</f>
        <v/>
      </c>
    </row>
    <row r="245" ht="28" customHeight="1">
      <c r="A245" s="47">
        <f>IF($H245="","",IF($H245=$H244,"",$H245))</f>
        <v/>
      </c>
      <c r="B245" s="30">
        <f>IF(N($K245)=0,"",TEXT(HOUR($K245),"00")&amp;":"&amp;TEXT(MINUTE($K245),"00"))</f>
        <v/>
      </c>
      <c r="C245" s="31">
        <f>$L245</f>
        <v/>
      </c>
      <c r="D245" s="32">
        <f>$I245</f>
        <v/>
      </c>
      <c r="E245" s="33" t="n"/>
      <c r="F245" s="34">
        <f>$J245</f>
        <v/>
      </c>
      <c r="H245">
        <f>IFERROR(INDEX('שיבוץ'!$B$3:$B$152,MATCH('קבוצות'!$A$12&amp;"|"&amp;16,'שיבוץ'!$K$3:$K$152,0))&amp;"","")</f>
        <v/>
      </c>
      <c r="I245">
        <f>IFERROR(INDEX('שיבוץ'!$D$3:$D$152,MATCH('קבוצות'!$A$12&amp;"|"&amp;16,'שיבוץ'!$K$3:$K$152,0))&amp;"","")</f>
        <v/>
      </c>
      <c r="J245">
        <f>IFERROR(INDEX('שיבוץ'!$F$3:$F$152,MATCH('קבוצות'!$A$12&amp;"|"&amp;16,'שיבוץ'!$K$3:$K$152,0))&amp;"","")</f>
        <v/>
      </c>
      <c r="K245">
        <f>IFERROR(INDEX('שיבוץ'!$C$3:$C$152,MATCH('קבוצות'!$A$12&amp;"|"&amp;16,'שיבוץ'!$K$3:$K$152,0)),"")</f>
        <v/>
      </c>
      <c r="L245">
        <f>IFERROR(INDEX('שיבוץ'!$E$3:$E$152,MATCH('קבוצות'!$A$12&amp;"|"&amp;16,'שיבוץ'!$K$3:$K$152,0))&amp;"","")</f>
        <v/>
      </c>
    </row>
    <row r="246" ht="28" customHeight="1">
      <c r="A246" s="47">
        <f>IF($H246="","",IF($H246=$H245,"",$H246))</f>
        <v/>
      </c>
      <c r="B246" s="30">
        <f>IF(N($K246)=0,"",TEXT(HOUR($K246),"00")&amp;":"&amp;TEXT(MINUTE($K246),"00"))</f>
        <v/>
      </c>
      <c r="C246" s="31">
        <f>$L246</f>
        <v/>
      </c>
      <c r="D246" s="32">
        <f>$I246</f>
        <v/>
      </c>
      <c r="E246" s="33" t="n"/>
      <c r="F246" s="34">
        <f>$J246</f>
        <v/>
      </c>
      <c r="H246">
        <f>IFERROR(INDEX('שיבוץ'!$B$3:$B$152,MATCH('קבוצות'!$A$12&amp;"|"&amp;17,'שיבוץ'!$K$3:$K$152,0))&amp;"","")</f>
        <v/>
      </c>
      <c r="I246">
        <f>IFERROR(INDEX('שיבוץ'!$D$3:$D$152,MATCH('קבוצות'!$A$12&amp;"|"&amp;17,'שיבוץ'!$K$3:$K$152,0))&amp;"","")</f>
        <v/>
      </c>
      <c r="J246">
        <f>IFERROR(INDEX('שיבוץ'!$F$3:$F$152,MATCH('קבוצות'!$A$12&amp;"|"&amp;17,'שיבוץ'!$K$3:$K$152,0))&amp;"","")</f>
        <v/>
      </c>
      <c r="K246">
        <f>IFERROR(INDEX('שיבוץ'!$C$3:$C$152,MATCH('קבוצות'!$A$12&amp;"|"&amp;17,'שיבוץ'!$K$3:$K$152,0)),"")</f>
        <v/>
      </c>
      <c r="L246">
        <f>IFERROR(INDEX('שיבוץ'!$E$3:$E$152,MATCH('קבוצות'!$A$12&amp;"|"&amp;17,'שיבוץ'!$K$3:$K$152,0))&amp;"","")</f>
        <v/>
      </c>
    </row>
    <row r="247" ht="28" customHeight="1">
      <c r="A247" s="47">
        <f>IF($H247="","",IF($H247=$H246,"",$H247))</f>
        <v/>
      </c>
      <c r="B247" s="30">
        <f>IF(N($K247)=0,"",TEXT(HOUR($K247),"00")&amp;":"&amp;TEXT(MINUTE($K247),"00"))</f>
        <v/>
      </c>
      <c r="C247" s="31">
        <f>$L247</f>
        <v/>
      </c>
      <c r="D247" s="32">
        <f>$I247</f>
        <v/>
      </c>
      <c r="E247" s="33" t="n"/>
      <c r="F247" s="34">
        <f>$J247</f>
        <v/>
      </c>
      <c r="H247">
        <f>IFERROR(INDEX('שיבוץ'!$B$3:$B$152,MATCH('קבוצות'!$A$12&amp;"|"&amp;18,'שיבוץ'!$K$3:$K$152,0))&amp;"","")</f>
        <v/>
      </c>
      <c r="I247">
        <f>IFERROR(INDEX('שיבוץ'!$D$3:$D$152,MATCH('קבוצות'!$A$12&amp;"|"&amp;18,'שיבוץ'!$K$3:$K$152,0))&amp;"","")</f>
        <v/>
      </c>
      <c r="J247">
        <f>IFERROR(INDEX('שיבוץ'!$F$3:$F$152,MATCH('קבוצות'!$A$12&amp;"|"&amp;18,'שיבוץ'!$K$3:$K$152,0))&amp;"","")</f>
        <v/>
      </c>
      <c r="K247">
        <f>IFERROR(INDEX('שיבוץ'!$C$3:$C$152,MATCH('קבוצות'!$A$12&amp;"|"&amp;18,'שיבוץ'!$K$3:$K$152,0)),"")</f>
        <v/>
      </c>
      <c r="L247">
        <f>IFERROR(INDEX('שיבוץ'!$E$3:$E$152,MATCH('קבוצות'!$A$12&amp;"|"&amp;18,'שיבוץ'!$K$3:$K$152,0))&amp;"","")</f>
        <v/>
      </c>
    </row>
    <row r="248" ht="18" customHeight="1">
      <c r="A248" s="35">
        <f>IF(COUNTIF('שיבוץ'!$A$3:$A$152,'קבוצות'!$A$12)&gt;18,"⚠ לקבוצה יש עוד משימות שלא נכנסו לכרטיסייה — ראו «טופס נקי»","")</f>
        <v/>
      </c>
    </row>
    <row r="251" ht="42" customHeight="1">
      <c r="A251" s="48">
        <f>IF('קבוצות'!$A$13="","",'קבוצות'!$A$13)</f>
        <v/>
      </c>
    </row>
    <row r="252" ht="60" customHeight="1">
      <c r="A252" s="49">
        <f>IF('קבוצות'!$D$13="","",'קבוצות'!$D$13)</f>
        <v/>
      </c>
    </row>
    <row r="253" ht="20" customHeight="1">
      <c r="A25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54" ht="22" customHeight="1">
      <c r="A254" s="28" t="inlineStr">
        <is>
          <t>מתי</t>
        </is>
      </c>
      <c r="B254" s="28" t="inlineStr">
        <is>
          <t>שעה</t>
        </is>
      </c>
      <c r="C254" s="28" t="inlineStr">
        <is>
          <t>קטגוריה</t>
        </is>
      </c>
      <c r="D254" s="28" t="inlineStr">
        <is>
          <t>משימה</t>
        </is>
      </c>
      <c r="F254" s="28" t="inlineStr">
        <is>
          <t>פרטים</t>
        </is>
      </c>
    </row>
    <row r="255" ht="28" customHeight="1">
      <c r="A255" s="51">
        <f>IF($H255="","",IF($H255=$H254,"",$H255))</f>
        <v/>
      </c>
      <c r="B255" s="30">
        <f>IF(N($K255)=0,"",TEXT(HOUR($K255),"00")&amp;":"&amp;TEXT(MINUTE($K255),"00"))</f>
        <v/>
      </c>
      <c r="C255" s="31">
        <f>$L255</f>
        <v/>
      </c>
      <c r="D255" s="32">
        <f>$I255</f>
        <v/>
      </c>
      <c r="E255" s="33" t="n"/>
      <c r="F255" s="34">
        <f>$J255</f>
        <v/>
      </c>
      <c r="H255">
        <f>IFERROR(INDEX('שיבוץ'!$B$3:$B$152,MATCH('קבוצות'!$A$13&amp;"|"&amp;1,'שיבוץ'!$K$3:$K$152,0))&amp;"","")</f>
        <v/>
      </c>
      <c r="I255">
        <f>IFERROR(INDEX('שיבוץ'!$D$3:$D$152,MATCH('קבוצות'!$A$13&amp;"|"&amp;1,'שיבוץ'!$K$3:$K$152,0))&amp;"","")</f>
        <v/>
      </c>
      <c r="J255">
        <f>IFERROR(INDEX('שיבוץ'!$F$3:$F$152,MATCH('קבוצות'!$A$13&amp;"|"&amp;1,'שיבוץ'!$K$3:$K$152,0))&amp;"","")</f>
        <v/>
      </c>
      <c r="K255">
        <f>IFERROR(INDEX('שיבוץ'!$C$3:$C$152,MATCH('קבוצות'!$A$13&amp;"|"&amp;1,'שיבוץ'!$K$3:$K$152,0)),"")</f>
        <v/>
      </c>
      <c r="L255">
        <f>IFERROR(INDEX('שיבוץ'!$E$3:$E$152,MATCH('קבוצות'!$A$13&amp;"|"&amp;1,'שיבוץ'!$K$3:$K$152,0))&amp;"","")</f>
        <v/>
      </c>
    </row>
    <row r="256" ht="28" customHeight="1">
      <c r="A256" s="51">
        <f>IF($H256="","",IF($H256=$H255,"",$H256))</f>
        <v/>
      </c>
      <c r="B256" s="30">
        <f>IF(N($K256)=0,"",TEXT(HOUR($K256),"00")&amp;":"&amp;TEXT(MINUTE($K256),"00"))</f>
        <v/>
      </c>
      <c r="C256" s="31">
        <f>$L256</f>
        <v/>
      </c>
      <c r="D256" s="32">
        <f>$I256</f>
        <v/>
      </c>
      <c r="E256" s="33" t="n"/>
      <c r="F256" s="34">
        <f>$J256</f>
        <v/>
      </c>
      <c r="H256">
        <f>IFERROR(INDEX('שיבוץ'!$B$3:$B$152,MATCH('קבוצות'!$A$13&amp;"|"&amp;2,'שיבוץ'!$K$3:$K$152,0))&amp;"","")</f>
        <v/>
      </c>
      <c r="I256">
        <f>IFERROR(INDEX('שיבוץ'!$D$3:$D$152,MATCH('קבוצות'!$A$13&amp;"|"&amp;2,'שיבוץ'!$K$3:$K$152,0))&amp;"","")</f>
        <v/>
      </c>
      <c r="J256">
        <f>IFERROR(INDEX('שיבוץ'!$F$3:$F$152,MATCH('קבוצות'!$A$13&amp;"|"&amp;2,'שיבוץ'!$K$3:$K$152,0))&amp;"","")</f>
        <v/>
      </c>
      <c r="K256">
        <f>IFERROR(INDEX('שיבוץ'!$C$3:$C$152,MATCH('קבוצות'!$A$13&amp;"|"&amp;2,'שיבוץ'!$K$3:$K$152,0)),"")</f>
        <v/>
      </c>
      <c r="L256">
        <f>IFERROR(INDEX('שיבוץ'!$E$3:$E$152,MATCH('קבוצות'!$A$13&amp;"|"&amp;2,'שיבוץ'!$K$3:$K$152,0))&amp;"","")</f>
        <v/>
      </c>
    </row>
    <row r="257" ht="28" customHeight="1">
      <c r="A257" s="51">
        <f>IF($H257="","",IF($H257=$H256,"",$H257))</f>
        <v/>
      </c>
      <c r="B257" s="30">
        <f>IF(N($K257)=0,"",TEXT(HOUR($K257),"00")&amp;":"&amp;TEXT(MINUTE($K257),"00"))</f>
        <v/>
      </c>
      <c r="C257" s="31">
        <f>$L257</f>
        <v/>
      </c>
      <c r="D257" s="32">
        <f>$I257</f>
        <v/>
      </c>
      <c r="E257" s="33" t="n"/>
      <c r="F257" s="34">
        <f>$J257</f>
        <v/>
      </c>
      <c r="H257">
        <f>IFERROR(INDEX('שיבוץ'!$B$3:$B$152,MATCH('קבוצות'!$A$13&amp;"|"&amp;3,'שיבוץ'!$K$3:$K$152,0))&amp;"","")</f>
        <v/>
      </c>
      <c r="I257">
        <f>IFERROR(INDEX('שיבוץ'!$D$3:$D$152,MATCH('קבוצות'!$A$13&amp;"|"&amp;3,'שיבוץ'!$K$3:$K$152,0))&amp;"","")</f>
        <v/>
      </c>
      <c r="J257">
        <f>IFERROR(INDEX('שיבוץ'!$F$3:$F$152,MATCH('קבוצות'!$A$13&amp;"|"&amp;3,'שיבוץ'!$K$3:$K$152,0))&amp;"","")</f>
        <v/>
      </c>
      <c r="K257">
        <f>IFERROR(INDEX('שיבוץ'!$C$3:$C$152,MATCH('קבוצות'!$A$13&amp;"|"&amp;3,'שיבוץ'!$K$3:$K$152,0)),"")</f>
        <v/>
      </c>
      <c r="L257">
        <f>IFERROR(INDEX('שיבוץ'!$E$3:$E$152,MATCH('קבוצות'!$A$13&amp;"|"&amp;3,'שיבוץ'!$K$3:$K$152,0))&amp;"","")</f>
        <v/>
      </c>
    </row>
    <row r="258" ht="28" customHeight="1">
      <c r="A258" s="51">
        <f>IF($H258="","",IF($H258=$H257,"",$H258))</f>
        <v/>
      </c>
      <c r="B258" s="30">
        <f>IF(N($K258)=0,"",TEXT(HOUR($K258),"00")&amp;":"&amp;TEXT(MINUTE($K258),"00"))</f>
        <v/>
      </c>
      <c r="C258" s="31">
        <f>$L258</f>
        <v/>
      </c>
      <c r="D258" s="32">
        <f>$I258</f>
        <v/>
      </c>
      <c r="E258" s="33" t="n"/>
      <c r="F258" s="34">
        <f>$J258</f>
        <v/>
      </c>
      <c r="H258">
        <f>IFERROR(INDEX('שיבוץ'!$B$3:$B$152,MATCH('קבוצות'!$A$13&amp;"|"&amp;4,'שיבוץ'!$K$3:$K$152,0))&amp;"","")</f>
        <v/>
      </c>
      <c r="I258">
        <f>IFERROR(INDEX('שיבוץ'!$D$3:$D$152,MATCH('קבוצות'!$A$13&amp;"|"&amp;4,'שיבוץ'!$K$3:$K$152,0))&amp;"","")</f>
        <v/>
      </c>
      <c r="J258">
        <f>IFERROR(INDEX('שיבוץ'!$F$3:$F$152,MATCH('קבוצות'!$A$13&amp;"|"&amp;4,'שיבוץ'!$K$3:$K$152,0))&amp;"","")</f>
        <v/>
      </c>
      <c r="K258">
        <f>IFERROR(INDEX('שיבוץ'!$C$3:$C$152,MATCH('קבוצות'!$A$13&amp;"|"&amp;4,'שיבוץ'!$K$3:$K$152,0)),"")</f>
        <v/>
      </c>
      <c r="L258">
        <f>IFERROR(INDEX('שיבוץ'!$E$3:$E$152,MATCH('קבוצות'!$A$13&amp;"|"&amp;4,'שיבוץ'!$K$3:$K$152,0))&amp;"","")</f>
        <v/>
      </c>
    </row>
    <row r="259" ht="28" customHeight="1">
      <c r="A259" s="51">
        <f>IF($H259="","",IF($H259=$H258,"",$H259))</f>
        <v/>
      </c>
      <c r="B259" s="30">
        <f>IF(N($K259)=0,"",TEXT(HOUR($K259),"00")&amp;":"&amp;TEXT(MINUTE($K259),"00"))</f>
        <v/>
      </c>
      <c r="C259" s="31">
        <f>$L259</f>
        <v/>
      </c>
      <c r="D259" s="32">
        <f>$I259</f>
        <v/>
      </c>
      <c r="E259" s="33" t="n"/>
      <c r="F259" s="34">
        <f>$J259</f>
        <v/>
      </c>
      <c r="H259">
        <f>IFERROR(INDEX('שיבוץ'!$B$3:$B$152,MATCH('קבוצות'!$A$13&amp;"|"&amp;5,'שיבוץ'!$K$3:$K$152,0))&amp;"","")</f>
        <v/>
      </c>
      <c r="I259">
        <f>IFERROR(INDEX('שיבוץ'!$D$3:$D$152,MATCH('קבוצות'!$A$13&amp;"|"&amp;5,'שיבוץ'!$K$3:$K$152,0))&amp;"","")</f>
        <v/>
      </c>
      <c r="J259">
        <f>IFERROR(INDEX('שיבוץ'!$F$3:$F$152,MATCH('קבוצות'!$A$13&amp;"|"&amp;5,'שיבוץ'!$K$3:$K$152,0))&amp;"","")</f>
        <v/>
      </c>
      <c r="K259">
        <f>IFERROR(INDEX('שיבוץ'!$C$3:$C$152,MATCH('קבוצות'!$A$13&amp;"|"&amp;5,'שיבוץ'!$K$3:$K$152,0)),"")</f>
        <v/>
      </c>
      <c r="L259">
        <f>IFERROR(INDEX('שיבוץ'!$E$3:$E$152,MATCH('קבוצות'!$A$13&amp;"|"&amp;5,'שיבוץ'!$K$3:$K$152,0))&amp;"","")</f>
        <v/>
      </c>
    </row>
    <row r="260" ht="28" customHeight="1">
      <c r="A260" s="51">
        <f>IF($H260="","",IF($H260=$H259,"",$H260))</f>
        <v/>
      </c>
      <c r="B260" s="30">
        <f>IF(N($K260)=0,"",TEXT(HOUR($K260),"00")&amp;":"&amp;TEXT(MINUTE($K260),"00"))</f>
        <v/>
      </c>
      <c r="C260" s="31">
        <f>$L260</f>
        <v/>
      </c>
      <c r="D260" s="32">
        <f>$I260</f>
        <v/>
      </c>
      <c r="E260" s="33" t="n"/>
      <c r="F260" s="34">
        <f>$J260</f>
        <v/>
      </c>
      <c r="H260">
        <f>IFERROR(INDEX('שיבוץ'!$B$3:$B$152,MATCH('קבוצות'!$A$13&amp;"|"&amp;6,'שיבוץ'!$K$3:$K$152,0))&amp;"","")</f>
        <v/>
      </c>
      <c r="I260">
        <f>IFERROR(INDEX('שיבוץ'!$D$3:$D$152,MATCH('קבוצות'!$A$13&amp;"|"&amp;6,'שיבוץ'!$K$3:$K$152,0))&amp;"","")</f>
        <v/>
      </c>
      <c r="J260">
        <f>IFERROR(INDEX('שיבוץ'!$F$3:$F$152,MATCH('קבוצות'!$A$13&amp;"|"&amp;6,'שיבוץ'!$K$3:$K$152,0))&amp;"","")</f>
        <v/>
      </c>
      <c r="K260">
        <f>IFERROR(INDEX('שיבוץ'!$C$3:$C$152,MATCH('קבוצות'!$A$13&amp;"|"&amp;6,'שיבוץ'!$K$3:$K$152,0)),"")</f>
        <v/>
      </c>
      <c r="L260">
        <f>IFERROR(INDEX('שיבוץ'!$E$3:$E$152,MATCH('קבוצות'!$A$13&amp;"|"&amp;6,'שיבוץ'!$K$3:$K$152,0))&amp;"","")</f>
        <v/>
      </c>
    </row>
    <row r="261" ht="28" customHeight="1">
      <c r="A261" s="51">
        <f>IF($H261="","",IF($H261=$H260,"",$H261))</f>
        <v/>
      </c>
      <c r="B261" s="30">
        <f>IF(N($K261)=0,"",TEXT(HOUR($K261),"00")&amp;":"&amp;TEXT(MINUTE($K261),"00"))</f>
        <v/>
      </c>
      <c r="C261" s="31">
        <f>$L261</f>
        <v/>
      </c>
      <c r="D261" s="32">
        <f>$I261</f>
        <v/>
      </c>
      <c r="E261" s="33" t="n"/>
      <c r="F261" s="34">
        <f>$J261</f>
        <v/>
      </c>
      <c r="H261">
        <f>IFERROR(INDEX('שיבוץ'!$B$3:$B$152,MATCH('קבוצות'!$A$13&amp;"|"&amp;7,'שיבוץ'!$K$3:$K$152,0))&amp;"","")</f>
        <v/>
      </c>
      <c r="I261">
        <f>IFERROR(INDEX('שיבוץ'!$D$3:$D$152,MATCH('קבוצות'!$A$13&amp;"|"&amp;7,'שיבוץ'!$K$3:$K$152,0))&amp;"","")</f>
        <v/>
      </c>
      <c r="J261">
        <f>IFERROR(INDEX('שיבוץ'!$F$3:$F$152,MATCH('קבוצות'!$A$13&amp;"|"&amp;7,'שיבוץ'!$K$3:$K$152,0))&amp;"","")</f>
        <v/>
      </c>
      <c r="K261">
        <f>IFERROR(INDEX('שיבוץ'!$C$3:$C$152,MATCH('קבוצות'!$A$13&amp;"|"&amp;7,'שיבוץ'!$K$3:$K$152,0)),"")</f>
        <v/>
      </c>
      <c r="L261">
        <f>IFERROR(INDEX('שיבוץ'!$E$3:$E$152,MATCH('קבוצות'!$A$13&amp;"|"&amp;7,'שיבוץ'!$K$3:$K$152,0))&amp;"","")</f>
        <v/>
      </c>
    </row>
    <row r="262" ht="28" customHeight="1">
      <c r="A262" s="51">
        <f>IF($H262="","",IF($H262=$H261,"",$H262))</f>
        <v/>
      </c>
      <c r="B262" s="30">
        <f>IF(N($K262)=0,"",TEXT(HOUR($K262),"00")&amp;":"&amp;TEXT(MINUTE($K262),"00"))</f>
        <v/>
      </c>
      <c r="C262" s="31">
        <f>$L262</f>
        <v/>
      </c>
      <c r="D262" s="32">
        <f>$I262</f>
        <v/>
      </c>
      <c r="E262" s="33" t="n"/>
      <c r="F262" s="34">
        <f>$J262</f>
        <v/>
      </c>
      <c r="H262">
        <f>IFERROR(INDEX('שיבוץ'!$B$3:$B$152,MATCH('קבוצות'!$A$13&amp;"|"&amp;8,'שיבוץ'!$K$3:$K$152,0))&amp;"","")</f>
        <v/>
      </c>
      <c r="I262">
        <f>IFERROR(INDEX('שיבוץ'!$D$3:$D$152,MATCH('קבוצות'!$A$13&amp;"|"&amp;8,'שיבוץ'!$K$3:$K$152,0))&amp;"","")</f>
        <v/>
      </c>
      <c r="J262">
        <f>IFERROR(INDEX('שיבוץ'!$F$3:$F$152,MATCH('קבוצות'!$A$13&amp;"|"&amp;8,'שיבוץ'!$K$3:$K$152,0))&amp;"","")</f>
        <v/>
      </c>
      <c r="K262">
        <f>IFERROR(INDEX('שיבוץ'!$C$3:$C$152,MATCH('קבוצות'!$A$13&amp;"|"&amp;8,'שיבוץ'!$K$3:$K$152,0)),"")</f>
        <v/>
      </c>
      <c r="L262">
        <f>IFERROR(INDEX('שיבוץ'!$E$3:$E$152,MATCH('קבוצות'!$A$13&amp;"|"&amp;8,'שיבוץ'!$K$3:$K$152,0))&amp;"","")</f>
        <v/>
      </c>
    </row>
    <row r="263" ht="28" customHeight="1">
      <c r="A263" s="51">
        <f>IF($H263="","",IF($H263=$H262,"",$H263))</f>
        <v/>
      </c>
      <c r="B263" s="30">
        <f>IF(N($K263)=0,"",TEXT(HOUR($K263),"00")&amp;":"&amp;TEXT(MINUTE($K263),"00"))</f>
        <v/>
      </c>
      <c r="C263" s="31">
        <f>$L263</f>
        <v/>
      </c>
      <c r="D263" s="32">
        <f>$I263</f>
        <v/>
      </c>
      <c r="E263" s="33" t="n"/>
      <c r="F263" s="34">
        <f>$J263</f>
        <v/>
      </c>
      <c r="H263">
        <f>IFERROR(INDEX('שיבוץ'!$B$3:$B$152,MATCH('קבוצות'!$A$13&amp;"|"&amp;9,'שיבוץ'!$K$3:$K$152,0))&amp;"","")</f>
        <v/>
      </c>
      <c r="I263">
        <f>IFERROR(INDEX('שיבוץ'!$D$3:$D$152,MATCH('קבוצות'!$A$13&amp;"|"&amp;9,'שיבוץ'!$K$3:$K$152,0))&amp;"","")</f>
        <v/>
      </c>
      <c r="J263">
        <f>IFERROR(INDEX('שיבוץ'!$F$3:$F$152,MATCH('קבוצות'!$A$13&amp;"|"&amp;9,'שיבוץ'!$K$3:$K$152,0))&amp;"","")</f>
        <v/>
      </c>
      <c r="K263">
        <f>IFERROR(INDEX('שיבוץ'!$C$3:$C$152,MATCH('קבוצות'!$A$13&amp;"|"&amp;9,'שיבוץ'!$K$3:$K$152,0)),"")</f>
        <v/>
      </c>
      <c r="L263">
        <f>IFERROR(INDEX('שיבוץ'!$E$3:$E$152,MATCH('קבוצות'!$A$13&amp;"|"&amp;9,'שיבוץ'!$K$3:$K$152,0))&amp;"","")</f>
        <v/>
      </c>
    </row>
    <row r="264" ht="28" customHeight="1">
      <c r="A264" s="51">
        <f>IF($H264="","",IF($H264=$H263,"",$H264))</f>
        <v/>
      </c>
      <c r="B264" s="30">
        <f>IF(N($K264)=0,"",TEXT(HOUR($K264),"00")&amp;":"&amp;TEXT(MINUTE($K264),"00"))</f>
        <v/>
      </c>
      <c r="C264" s="31">
        <f>$L264</f>
        <v/>
      </c>
      <c r="D264" s="32">
        <f>$I264</f>
        <v/>
      </c>
      <c r="E264" s="33" t="n"/>
      <c r="F264" s="34">
        <f>$J264</f>
        <v/>
      </c>
      <c r="H264">
        <f>IFERROR(INDEX('שיבוץ'!$B$3:$B$152,MATCH('קבוצות'!$A$13&amp;"|"&amp;10,'שיבוץ'!$K$3:$K$152,0))&amp;"","")</f>
        <v/>
      </c>
      <c r="I264">
        <f>IFERROR(INDEX('שיבוץ'!$D$3:$D$152,MATCH('קבוצות'!$A$13&amp;"|"&amp;10,'שיבוץ'!$K$3:$K$152,0))&amp;"","")</f>
        <v/>
      </c>
      <c r="J264">
        <f>IFERROR(INDEX('שיבוץ'!$F$3:$F$152,MATCH('קבוצות'!$A$13&amp;"|"&amp;10,'שיבוץ'!$K$3:$K$152,0))&amp;"","")</f>
        <v/>
      </c>
      <c r="K264">
        <f>IFERROR(INDEX('שיבוץ'!$C$3:$C$152,MATCH('קבוצות'!$A$13&amp;"|"&amp;10,'שיבוץ'!$K$3:$K$152,0)),"")</f>
        <v/>
      </c>
      <c r="L264">
        <f>IFERROR(INDEX('שיבוץ'!$E$3:$E$152,MATCH('קבוצות'!$A$13&amp;"|"&amp;10,'שיבוץ'!$K$3:$K$152,0))&amp;"","")</f>
        <v/>
      </c>
    </row>
    <row r="265" ht="28" customHeight="1">
      <c r="A265" s="51">
        <f>IF($H265="","",IF($H265=$H264,"",$H265))</f>
        <v/>
      </c>
      <c r="B265" s="30">
        <f>IF(N($K265)=0,"",TEXT(HOUR($K265),"00")&amp;":"&amp;TEXT(MINUTE($K265),"00"))</f>
        <v/>
      </c>
      <c r="C265" s="31">
        <f>$L265</f>
        <v/>
      </c>
      <c r="D265" s="32">
        <f>$I265</f>
        <v/>
      </c>
      <c r="E265" s="33" t="n"/>
      <c r="F265" s="34">
        <f>$J265</f>
        <v/>
      </c>
      <c r="H265">
        <f>IFERROR(INDEX('שיבוץ'!$B$3:$B$152,MATCH('קבוצות'!$A$13&amp;"|"&amp;11,'שיבוץ'!$K$3:$K$152,0))&amp;"","")</f>
        <v/>
      </c>
      <c r="I265">
        <f>IFERROR(INDEX('שיבוץ'!$D$3:$D$152,MATCH('קבוצות'!$A$13&amp;"|"&amp;11,'שיבוץ'!$K$3:$K$152,0))&amp;"","")</f>
        <v/>
      </c>
      <c r="J265">
        <f>IFERROR(INDEX('שיבוץ'!$F$3:$F$152,MATCH('קבוצות'!$A$13&amp;"|"&amp;11,'שיבוץ'!$K$3:$K$152,0))&amp;"","")</f>
        <v/>
      </c>
      <c r="K265">
        <f>IFERROR(INDEX('שיבוץ'!$C$3:$C$152,MATCH('קבוצות'!$A$13&amp;"|"&amp;11,'שיבוץ'!$K$3:$K$152,0)),"")</f>
        <v/>
      </c>
      <c r="L265">
        <f>IFERROR(INDEX('שיבוץ'!$E$3:$E$152,MATCH('קבוצות'!$A$13&amp;"|"&amp;11,'שיבוץ'!$K$3:$K$152,0))&amp;"","")</f>
        <v/>
      </c>
    </row>
    <row r="266" ht="28" customHeight="1">
      <c r="A266" s="51">
        <f>IF($H266="","",IF($H266=$H265,"",$H266))</f>
        <v/>
      </c>
      <c r="B266" s="30">
        <f>IF(N($K266)=0,"",TEXT(HOUR($K266),"00")&amp;":"&amp;TEXT(MINUTE($K266),"00"))</f>
        <v/>
      </c>
      <c r="C266" s="31">
        <f>$L266</f>
        <v/>
      </c>
      <c r="D266" s="32">
        <f>$I266</f>
        <v/>
      </c>
      <c r="E266" s="33" t="n"/>
      <c r="F266" s="34">
        <f>$J266</f>
        <v/>
      </c>
      <c r="H266">
        <f>IFERROR(INDEX('שיבוץ'!$B$3:$B$152,MATCH('קבוצות'!$A$13&amp;"|"&amp;12,'שיבוץ'!$K$3:$K$152,0))&amp;"","")</f>
        <v/>
      </c>
      <c r="I266">
        <f>IFERROR(INDEX('שיבוץ'!$D$3:$D$152,MATCH('קבוצות'!$A$13&amp;"|"&amp;12,'שיבוץ'!$K$3:$K$152,0))&amp;"","")</f>
        <v/>
      </c>
      <c r="J266">
        <f>IFERROR(INDEX('שיבוץ'!$F$3:$F$152,MATCH('קבוצות'!$A$13&amp;"|"&amp;12,'שיבוץ'!$K$3:$K$152,0))&amp;"","")</f>
        <v/>
      </c>
      <c r="K266">
        <f>IFERROR(INDEX('שיבוץ'!$C$3:$C$152,MATCH('קבוצות'!$A$13&amp;"|"&amp;12,'שיבוץ'!$K$3:$K$152,0)),"")</f>
        <v/>
      </c>
      <c r="L266">
        <f>IFERROR(INDEX('שיבוץ'!$E$3:$E$152,MATCH('קבוצות'!$A$13&amp;"|"&amp;12,'שיבוץ'!$K$3:$K$152,0))&amp;"","")</f>
        <v/>
      </c>
    </row>
    <row r="267" ht="28" customHeight="1">
      <c r="A267" s="51">
        <f>IF($H267="","",IF($H267=$H266,"",$H267))</f>
        <v/>
      </c>
      <c r="B267" s="30">
        <f>IF(N($K267)=0,"",TEXT(HOUR($K267),"00")&amp;":"&amp;TEXT(MINUTE($K267),"00"))</f>
        <v/>
      </c>
      <c r="C267" s="31">
        <f>$L267</f>
        <v/>
      </c>
      <c r="D267" s="32">
        <f>$I267</f>
        <v/>
      </c>
      <c r="E267" s="33" t="n"/>
      <c r="F267" s="34">
        <f>$J267</f>
        <v/>
      </c>
      <c r="H267">
        <f>IFERROR(INDEX('שיבוץ'!$B$3:$B$152,MATCH('קבוצות'!$A$13&amp;"|"&amp;13,'שיבוץ'!$K$3:$K$152,0))&amp;"","")</f>
        <v/>
      </c>
      <c r="I267">
        <f>IFERROR(INDEX('שיבוץ'!$D$3:$D$152,MATCH('קבוצות'!$A$13&amp;"|"&amp;13,'שיבוץ'!$K$3:$K$152,0))&amp;"","")</f>
        <v/>
      </c>
      <c r="J267">
        <f>IFERROR(INDEX('שיבוץ'!$F$3:$F$152,MATCH('קבוצות'!$A$13&amp;"|"&amp;13,'שיבוץ'!$K$3:$K$152,0))&amp;"","")</f>
        <v/>
      </c>
      <c r="K267">
        <f>IFERROR(INDEX('שיבוץ'!$C$3:$C$152,MATCH('קבוצות'!$A$13&amp;"|"&amp;13,'שיבוץ'!$K$3:$K$152,0)),"")</f>
        <v/>
      </c>
      <c r="L267">
        <f>IFERROR(INDEX('שיבוץ'!$E$3:$E$152,MATCH('קבוצות'!$A$13&amp;"|"&amp;13,'שיבוץ'!$K$3:$K$152,0))&amp;"","")</f>
        <v/>
      </c>
    </row>
    <row r="268" ht="28" customHeight="1">
      <c r="A268" s="51">
        <f>IF($H268="","",IF($H268=$H267,"",$H268))</f>
        <v/>
      </c>
      <c r="B268" s="30">
        <f>IF(N($K268)=0,"",TEXT(HOUR($K268),"00")&amp;":"&amp;TEXT(MINUTE($K268),"00"))</f>
        <v/>
      </c>
      <c r="C268" s="31">
        <f>$L268</f>
        <v/>
      </c>
      <c r="D268" s="32">
        <f>$I268</f>
        <v/>
      </c>
      <c r="E268" s="33" t="n"/>
      <c r="F268" s="34">
        <f>$J268</f>
        <v/>
      </c>
      <c r="H268">
        <f>IFERROR(INDEX('שיבוץ'!$B$3:$B$152,MATCH('קבוצות'!$A$13&amp;"|"&amp;14,'שיבוץ'!$K$3:$K$152,0))&amp;"","")</f>
        <v/>
      </c>
      <c r="I268">
        <f>IFERROR(INDEX('שיבוץ'!$D$3:$D$152,MATCH('קבוצות'!$A$13&amp;"|"&amp;14,'שיבוץ'!$K$3:$K$152,0))&amp;"","")</f>
        <v/>
      </c>
      <c r="J268">
        <f>IFERROR(INDEX('שיבוץ'!$F$3:$F$152,MATCH('קבוצות'!$A$13&amp;"|"&amp;14,'שיבוץ'!$K$3:$K$152,0))&amp;"","")</f>
        <v/>
      </c>
      <c r="K268">
        <f>IFERROR(INDEX('שיבוץ'!$C$3:$C$152,MATCH('קבוצות'!$A$13&amp;"|"&amp;14,'שיבוץ'!$K$3:$K$152,0)),"")</f>
        <v/>
      </c>
      <c r="L268">
        <f>IFERROR(INDEX('שיבוץ'!$E$3:$E$152,MATCH('קבוצות'!$A$13&amp;"|"&amp;14,'שיבוץ'!$K$3:$K$152,0))&amp;"","")</f>
        <v/>
      </c>
    </row>
    <row r="269" ht="28" customHeight="1">
      <c r="A269" s="51">
        <f>IF($H269="","",IF($H269=$H268,"",$H269))</f>
        <v/>
      </c>
      <c r="B269" s="30">
        <f>IF(N($K269)=0,"",TEXT(HOUR($K269),"00")&amp;":"&amp;TEXT(MINUTE($K269),"00"))</f>
        <v/>
      </c>
      <c r="C269" s="31">
        <f>$L269</f>
        <v/>
      </c>
      <c r="D269" s="32">
        <f>$I269</f>
        <v/>
      </c>
      <c r="E269" s="33" t="n"/>
      <c r="F269" s="34">
        <f>$J269</f>
        <v/>
      </c>
      <c r="H269">
        <f>IFERROR(INDEX('שיבוץ'!$B$3:$B$152,MATCH('קבוצות'!$A$13&amp;"|"&amp;15,'שיבוץ'!$K$3:$K$152,0))&amp;"","")</f>
        <v/>
      </c>
      <c r="I269">
        <f>IFERROR(INDEX('שיבוץ'!$D$3:$D$152,MATCH('קבוצות'!$A$13&amp;"|"&amp;15,'שיבוץ'!$K$3:$K$152,0))&amp;"","")</f>
        <v/>
      </c>
      <c r="J269">
        <f>IFERROR(INDEX('שיבוץ'!$F$3:$F$152,MATCH('קבוצות'!$A$13&amp;"|"&amp;15,'שיבוץ'!$K$3:$K$152,0))&amp;"","")</f>
        <v/>
      </c>
      <c r="K269">
        <f>IFERROR(INDEX('שיבוץ'!$C$3:$C$152,MATCH('קבוצות'!$A$13&amp;"|"&amp;15,'שיבוץ'!$K$3:$K$152,0)),"")</f>
        <v/>
      </c>
      <c r="L269">
        <f>IFERROR(INDEX('שיבוץ'!$E$3:$E$152,MATCH('קבוצות'!$A$13&amp;"|"&amp;15,'שיבוץ'!$K$3:$K$152,0))&amp;"","")</f>
        <v/>
      </c>
    </row>
    <row r="270" ht="28" customHeight="1">
      <c r="A270" s="51">
        <f>IF($H270="","",IF($H270=$H269,"",$H270))</f>
        <v/>
      </c>
      <c r="B270" s="30">
        <f>IF(N($K270)=0,"",TEXT(HOUR($K270),"00")&amp;":"&amp;TEXT(MINUTE($K270),"00"))</f>
        <v/>
      </c>
      <c r="C270" s="31">
        <f>$L270</f>
        <v/>
      </c>
      <c r="D270" s="32">
        <f>$I270</f>
        <v/>
      </c>
      <c r="E270" s="33" t="n"/>
      <c r="F270" s="34">
        <f>$J270</f>
        <v/>
      </c>
      <c r="H270">
        <f>IFERROR(INDEX('שיבוץ'!$B$3:$B$152,MATCH('קבוצות'!$A$13&amp;"|"&amp;16,'שיבוץ'!$K$3:$K$152,0))&amp;"","")</f>
        <v/>
      </c>
      <c r="I270">
        <f>IFERROR(INDEX('שיבוץ'!$D$3:$D$152,MATCH('קבוצות'!$A$13&amp;"|"&amp;16,'שיבוץ'!$K$3:$K$152,0))&amp;"","")</f>
        <v/>
      </c>
      <c r="J270">
        <f>IFERROR(INDEX('שיבוץ'!$F$3:$F$152,MATCH('קבוצות'!$A$13&amp;"|"&amp;16,'שיבוץ'!$K$3:$K$152,0))&amp;"","")</f>
        <v/>
      </c>
      <c r="K270">
        <f>IFERROR(INDEX('שיבוץ'!$C$3:$C$152,MATCH('קבוצות'!$A$13&amp;"|"&amp;16,'שיבוץ'!$K$3:$K$152,0)),"")</f>
        <v/>
      </c>
      <c r="L270">
        <f>IFERROR(INDEX('שיבוץ'!$E$3:$E$152,MATCH('קבוצות'!$A$13&amp;"|"&amp;16,'שיבוץ'!$K$3:$K$152,0))&amp;"","")</f>
        <v/>
      </c>
    </row>
    <row r="271" ht="28" customHeight="1">
      <c r="A271" s="51">
        <f>IF($H271="","",IF($H271=$H270,"",$H271))</f>
        <v/>
      </c>
      <c r="B271" s="30">
        <f>IF(N($K271)=0,"",TEXT(HOUR($K271),"00")&amp;":"&amp;TEXT(MINUTE($K271),"00"))</f>
        <v/>
      </c>
      <c r="C271" s="31">
        <f>$L271</f>
        <v/>
      </c>
      <c r="D271" s="32">
        <f>$I271</f>
        <v/>
      </c>
      <c r="E271" s="33" t="n"/>
      <c r="F271" s="34">
        <f>$J271</f>
        <v/>
      </c>
      <c r="H271">
        <f>IFERROR(INDEX('שיבוץ'!$B$3:$B$152,MATCH('קבוצות'!$A$13&amp;"|"&amp;17,'שיבוץ'!$K$3:$K$152,0))&amp;"","")</f>
        <v/>
      </c>
      <c r="I271">
        <f>IFERROR(INDEX('שיבוץ'!$D$3:$D$152,MATCH('קבוצות'!$A$13&amp;"|"&amp;17,'שיבוץ'!$K$3:$K$152,0))&amp;"","")</f>
        <v/>
      </c>
      <c r="J271">
        <f>IFERROR(INDEX('שיבוץ'!$F$3:$F$152,MATCH('קבוצות'!$A$13&amp;"|"&amp;17,'שיבוץ'!$K$3:$K$152,0))&amp;"","")</f>
        <v/>
      </c>
      <c r="K271">
        <f>IFERROR(INDEX('שיבוץ'!$C$3:$C$152,MATCH('קבוצות'!$A$13&amp;"|"&amp;17,'שיבוץ'!$K$3:$K$152,0)),"")</f>
        <v/>
      </c>
      <c r="L271">
        <f>IFERROR(INDEX('שיבוץ'!$E$3:$E$152,MATCH('קבוצות'!$A$13&amp;"|"&amp;17,'שיבוץ'!$K$3:$K$152,0))&amp;"","")</f>
        <v/>
      </c>
    </row>
    <row r="272" ht="28" customHeight="1">
      <c r="A272" s="51">
        <f>IF($H272="","",IF($H272=$H271,"",$H272))</f>
        <v/>
      </c>
      <c r="B272" s="30">
        <f>IF(N($K272)=0,"",TEXT(HOUR($K272),"00")&amp;":"&amp;TEXT(MINUTE($K272),"00"))</f>
        <v/>
      </c>
      <c r="C272" s="31">
        <f>$L272</f>
        <v/>
      </c>
      <c r="D272" s="32">
        <f>$I272</f>
        <v/>
      </c>
      <c r="E272" s="33" t="n"/>
      <c r="F272" s="34">
        <f>$J272</f>
        <v/>
      </c>
      <c r="H272">
        <f>IFERROR(INDEX('שיבוץ'!$B$3:$B$152,MATCH('קבוצות'!$A$13&amp;"|"&amp;18,'שיבוץ'!$K$3:$K$152,0))&amp;"","")</f>
        <v/>
      </c>
      <c r="I272">
        <f>IFERROR(INDEX('שיבוץ'!$D$3:$D$152,MATCH('קבוצות'!$A$13&amp;"|"&amp;18,'שיבוץ'!$K$3:$K$152,0))&amp;"","")</f>
        <v/>
      </c>
      <c r="J272">
        <f>IFERROR(INDEX('שיבוץ'!$F$3:$F$152,MATCH('קבוצות'!$A$13&amp;"|"&amp;18,'שיבוץ'!$K$3:$K$152,0))&amp;"","")</f>
        <v/>
      </c>
      <c r="K272">
        <f>IFERROR(INDEX('שיבוץ'!$C$3:$C$152,MATCH('קבוצות'!$A$13&amp;"|"&amp;18,'שיבוץ'!$K$3:$K$152,0)),"")</f>
        <v/>
      </c>
      <c r="L272">
        <f>IFERROR(INDEX('שיבוץ'!$E$3:$E$152,MATCH('קבוצות'!$A$13&amp;"|"&amp;18,'שיבוץ'!$K$3:$K$152,0))&amp;"","")</f>
        <v/>
      </c>
    </row>
    <row r="273" ht="18" customHeight="1">
      <c r="A273" s="35">
        <f>IF(COUNTIF('שיבוץ'!$A$3:$A$152,'קבוצות'!$A$13)&gt;18,"⚠ לקבוצה יש עוד משימות שלא נכנסו לכרטיסייה — ראו «טופס נקי»","")</f>
        <v/>
      </c>
    </row>
    <row r="276" ht="42" customHeight="1">
      <c r="A276" s="52">
        <f>IF('קבוצות'!$A$14="","",'קבוצות'!$A$14)</f>
        <v/>
      </c>
    </row>
    <row r="277" ht="60" customHeight="1">
      <c r="A277" s="53">
        <f>IF('קבוצות'!$D$14="","",'קבוצות'!$D$14)</f>
        <v/>
      </c>
    </row>
    <row r="278" ht="20" customHeight="1">
      <c r="A27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79" ht="22" customHeight="1">
      <c r="A279" s="28" t="inlineStr">
        <is>
          <t>מתי</t>
        </is>
      </c>
      <c r="B279" s="28" t="inlineStr">
        <is>
          <t>שעה</t>
        </is>
      </c>
      <c r="C279" s="28" t="inlineStr">
        <is>
          <t>קטגוריה</t>
        </is>
      </c>
      <c r="D279" s="28" t="inlineStr">
        <is>
          <t>משימה</t>
        </is>
      </c>
      <c r="F279" s="28" t="inlineStr">
        <is>
          <t>פרטים</t>
        </is>
      </c>
    </row>
    <row r="280" ht="28" customHeight="1">
      <c r="A280" s="55">
        <f>IF($H280="","",IF($H280=$H279,"",$H280))</f>
        <v/>
      </c>
      <c r="B280" s="30">
        <f>IF(N($K280)=0,"",TEXT(HOUR($K280),"00")&amp;":"&amp;TEXT(MINUTE($K280),"00"))</f>
        <v/>
      </c>
      <c r="C280" s="31">
        <f>$L280</f>
        <v/>
      </c>
      <c r="D280" s="32">
        <f>$I280</f>
        <v/>
      </c>
      <c r="E280" s="33" t="n"/>
      <c r="F280" s="34">
        <f>$J280</f>
        <v/>
      </c>
      <c r="H280">
        <f>IFERROR(INDEX('שיבוץ'!$B$3:$B$152,MATCH('קבוצות'!$A$14&amp;"|"&amp;1,'שיבוץ'!$K$3:$K$152,0))&amp;"","")</f>
        <v/>
      </c>
      <c r="I280">
        <f>IFERROR(INDEX('שיבוץ'!$D$3:$D$152,MATCH('קבוצות'!$A$14&amp;"|"&amp;1,'שיבוץ'!$K$3:$K$152,0))&amp;"","")</f>
        <v/>
      </c>
      <c r="J280">
        <f>IFERROR(INDEX('שיבוץ'!$F$3:$F$152,MATCH('קבוצות'!$A$14&amp;"|"&amp;1,'שיבוץ'!$K$3:$K$152,0))&amp;"","")</f>
        <v/>
      </c>
      <c r="K280">
        <f>IFERROR(INDEX('שיבוץ'!$C$3:$C$152,MATCH('קבוצות'!$A$14&amp;"|"&amp;1,'שיבוץ'!$K$3:$K$152,0)),"")</f>
        <v/>
      </c>
      <c r="L280">
        <f>IFERROR(INDEX('שיבוץ'!$E$3:$E$152,MATCH('קבוצות'!$A$14&amp;"|"&amp;1,'שיבוץ'!$K$3:$K$152,0))&amp;"","")</f>
        <v/>
      </c>
    </row>
    <row r="281" ht="28" customHeight="1">
      <c r="A281" s="55">
        <f>IF($H281="","",IF($H281=$H280,"",$H281))</f>
        <v/>
      </c>
      <c r="B281" s="30">
        <f>IF(N($K281)=0,"",TEXT(HOUR($K281),"00")&amp;":"&amp;TEXT(MINUTE($K281),"00"))</f>
        <v/>
      </c>
      <c r="C281" s="31">
        <f>$L281</f>
        <v/>
      </c>
      <c r="D281" s="32">
        <f>$I281</f>
        <v/>
      </c>
      <c r="E281" s="33" t="n"/>
      <c r="F281" s="34">
        <f>$J281</f>
        <v/>
      </c>
      <c r="H281">
        <f>IFERROR(INDEX('שיבוץ'!$B$3:$B$152,MATCH('קבוצות'!$A$14&amp;"|"&amp;2,'שיבוץ'!$K$3:$K$152,0))&amp;"","")</f>
        <v/>
      </c>
      <c r="I281">
        <f>IFERROR(INDEX('שיבוץ'!$D$3:$D$152,MATCH('קבוצות'!$A$14&amp;"|"&amp;2,'שיבוץ'!$K$3:$K$152,0))&amp;"","")</f>
        <v/>
      </c>
      <c r="J281">
        <f>IFERROR(INDEX('שיבוץ'!$F$3:$F$152,MATCH('קבוצות'!$A$14&amp;"|"&amp;2,'שיבוץ'!$K$3:$K$152,0))&amp;"","")</f>
        <v/>
      </c>
      <c r="K281">
        <f>IFERROR(INDEX('שיבוץ'!$C$3:$C$152,MATCH('קבוצות'!$A$14&amp;"|"&amp;2,'שיבוץ'!$K$3:$K$152,0)),"")</f>
        <v/>
      </c>
      <c r="L281">
        <f>IFERROR(INDEX('שיבוץ'!$E$3:$E$152,MATCH('קבוצות'!$A$14&amp;"|"&amp;2,'שיבוץ'!$K$3:$K$152,0))&amp;"","")</f>
        <v/>
      </c>
    </row>
    <row r="282" ht="28" customHeight="1">
      <c r="A282" s="55">
        <f>IF($H282="","",IF($H282=$H281,"",$H282))</f>
        <v/>
      </c>
      <c r="B282" s="30">
        <f>IF(N($K282)=0,"",TEXT(HOUR($K282),"00")&amp;":"&amp;TEXT(MINUTE($K282),"00"))</f>
        <v/>
      </c>
      <c r="C282" s="31">
        <f>$L282</f>
        <v/>
      </c>
      <c r="D282" s="32">
        <f>$I282</f>
        <v/>
      </c>
      <c r="E282" s="33" t="n"/>
      <c r="F282" s="34">
        <f>$J282</f>
        <v/>
      </c>
      <c r="H282">
        <f>IFERROR(INDEX('שיבוץ'!$B$3:$B$152,MATCH('קבוצות'!$A$14&amp;"|"&amp;3,'שיבוץ'!$K$3:$K$152,0))&amp;"","")</f>
        <v/>
      </c>
      <c r="I282">
        <f>IFERROR(INDEX('שיבוץ'!$D$3:$D$152,MATCH('קבוצות'!$A$14&amp;"|"&amp;3,'שיבוץ'!$K$3:$K$152,0))&amp;"","")</f>
        <v/>
      </c>
      <c r="J282">
        <f>IFERROR(INDEX('שיבוץ'!$F$3:$F$152,MATCH('קבוצות'!$A$14&amp;"|"&amp;3,'שיבוץ'!$K$3:$K$152,0))&amp;"","")</f>
        <v/>
      </c>
      <c r="K282">
        <f>IFERROR(INDEX('שיבוץ'!$C$3:$C$152,MATCH('קבוצות'!$A$14&amp;"|"&amp;3,'שיבוץ'!$K$3:$K$152,0)),"")</f>
        <v/>
      </c>
      <c r="L282">
        <f>IFERROR(INDEX('שיבוץ'!$E$3:$E$152,MATCH('קבוצות'!$A$14&amp;"|"&amp;3,'שיבוץ'!$K$3:$K$152,0))&amp;"","")</f>
        <v/>
      </c>
    </row>
    <row r="283" ht="28" customHeight="1">
      <c r="A283" s="55">
        <f>IF($H283="","",IF($H283=$H282,"",$H283))</f>
        <v/>
      </c>
      <c r="B283" s="30">
        <f>IF(N($K283)=0,"",TEXT(HOUR($K283),"00")&amp;":"&amp;TEXT(MINUTE($K283),"00"))</f>
        <v/>
      </c>
      <c r="C283" s="31">
        <f>$L283</f>
        <v/>
      </c>
      <c r="D283" s="32">
        <f>$I283</f>
        <v/>
      </c>
      <c r="E283" s="33" t="n"/>
      <c r="F283" s="34">
        <f>$J283</f>
        <v/>
      </c>
      <c r="H283">
        <f>IFERROR(INDEX('שיבוץ'!$B$3:$B$152,MATCH('קבוצות'!$A$14&amp;"|"&amp;4,'שיבוץ'!$K$3:$K$152,0))&amp;"","")</f>
        <v/>
      </c>
      <c r="I283">
        <f>IFERROR(INDEX('שיבוץ'!$D$3:$D$152,MATCH('קבוצות'!$A$14&amp;"|"&amp;4,'שיבוץ'!$K$3:$K$152,0))&amp;"","")</f>
        <v/>
      </c>
      <c r="J283">
        <f>IFERROR(INDEX('שיבוץ'!$F$3:$F$152,MATCH('קבוצות'!$A$14&amp;"|"&amp;4,'שיבוץ'!$K$3:$K$152,0))&amp;"","")</f>
        <v/>
      </c>
      <c r="K283">
        <f>IFERROR(INDEX('שיבוץ'!$C$3:$C$152,MATCH('קבוצות'!$A$14&amp;"|"&amp;4,'שיבוץ'!$K$3:$K$152,0)),"")</f>
        <v/>
      </c>
      <c r="L283">
        <f>IFERROR(INDEX('שיבוץ'!$E$3:$E$152,MATCH('קבוצות'!$A$14&amp;"|"&amp;4,'שיבוץ'!$K$3:$K$152,0))&amp;"","")</f>
        <v/>
      </c>
    </row>
    <row r="284" ht="28" customHeight="1">
      <c r="A284" s="55">
        <f>IF($H284="","",IF($H284=$H283,"",$H284))</f>
        <v/>
      </c>
      <c r="B284" s="30">
        <f>IF(N($K284)=0,"",TEXT(HOUR($K284),"00")&amp;":"&amp;TEXT(MINUTE($K284),"00"))</f>
        <v/>
      </c>
      <c r="C284" s="31">
        <f>$L284</f>
        <v/>
      </c>
      <c r="D284" s="32">
        <f>$I284</f>
        <v/>
      </c>
      <c r="E284" s="33" t="n"/>
      <c r="F284" s="34">
        <f>$J284</f>
        <v/>
      </c>
      <c r="H284">
        <f>IFERROR(INDEX('שיבוץ'!$B$3:$B$152,MATCH('קבוצות'!$A$14&amp;"|"&amp;5,'שיבוץ'!$K$3:$K$152,0))&amp;"","")</f>
        <v/>
      </c>
      <c r="I284">
        <f>IFERROR(INDEX('שיבוץ'!$D$3:$D$152,MATCH('קבוצות'!$A$14&amp;"|"&amp;5,'שיבוץ'!$K$3:$K$152,0))&amp;"","")</f>
        <v/>
      </c>
      <c r="J284">
        <f>IFERROR(INDEX('שיבוץ'!$F$3:$F$152,MATCH('קבוצות'!$A$14&amp;"|"&amp;5,'שיבוץ'!$K$3:$K$152,0))&amp;"","")</f>
        <v/>
      </c>
      <c r="K284">
        <f>IFERROR(INDEX('שיבוץ'!$C$3:$C$152,MATCH('קבוצות'!$A$14&amp;"|"&amp;5,'שיבוץ'!$K$3:$K$152,0)),"")</f>
        <v/>
      </c>
      <c r="L284">
        <f>IFERROR(INDEX('שיבוץ'!$E$3:$E$152,MATCH('קבוצות'!$A$14&amp;"|"&amp;5,'שיבוץ'!$K$3:$K$152,0))&amp;"","")</f>
        <v/>
      </c>
    </row>
    <row r="285" ht="28" customHeight="1">
      <c r="A285" s="55">
        <f>IF($H285="","",IF($H285=$H284,"",$H285))</f>
        <v/>
      </c>
      <c r="B285" s="30">
        <f>IF(N($K285)=0,"",TEXT(HOUR($K285),"00")&amp;":"&amp;TEXT(MINUTE($K285),"00"))</f>
        <v/>
      </c>
      <c r="C285" s="31">
        <f>$L285</f>
        <v/>
      </c>
      <c r="D285" s="32">
        <f>$I285</f>
        <v/>
      </c>
      <c r="E285" s="33" t="n"/>
      <c r="F285" s="34">
        <f>$J285</f>
        <v/>
      </c>
      <c r="H285">
        <f>IFERROR(INDEX('שיבוץ'!$B$3:$B$152,MATCH('קבוצות'!$A$14&amp;"|"&amp;6,'שיבוץ'!$K$3:$K$152,0))&amp;"","")</f>
        <v/>
      </c>
      <c r="I285">
        <f>IFERROR(INDEX('שיבוץ'!$D$3:$D$152,MATCH('קבוצות'!$A$14&amp;"|"&amp;6,'שיבוץ'!$K$3:$K$152,0))&amp;"","")</f>
        <v/>
      </c>
      <c r="J285">
        <f>IFERROR(INDEX('שיבוץ'!$F$3:$F$152,MATCH('קבוצות'!$A$14&amp;"|"&amp;6,'שיבוץ'!$K$3:$K$152,0))&amp;"","")</f>
        <v/>
      </c>
      <c r="K285">
        <f>IFERROR(INDEX('שיבוץ'!$C$3:$C$152,MATCH('קבוצות'!$A$14&amp;"|"&amp;6,'שיבוץ'!$K$3:$K$152,0)),"")</f>
        <v/>
      </c>
      <c r="L285">
        <f>IFERROR(INDEX('שיבוץ'!$E$3:$E$152,MATCH('קבוצות'!$A$14&amp;"|"&amp;6,'שיבוץ'!$K$3:$K$152,0))&amp;"","")</f>
        <v/>
      </c>
    </row>
    <row r="286" ht="28" customHeight="1">
      <c r="A286" s="55">
        <f>IF($H286="","",IF($H286=$H285,"",$H286))</f>
        <v/>
      </c>
      <c r="B286" s="30">
        <f>IF(N($K286)=0,"",TEXT(HOUR($K286),"00")&amp;":"&amp;TEXT(MINUTE($K286),"00"))</f>
        <v/>
      </c>
      <c r="C286" s="31">
        <f>$L286</f>
        <v/>
      </c>
      <c r="D286" s="32">
        <f>$I286</f>
        <v/>
      </c>
      <c r="E286" s="33" t="n"/>
      <c r="F286" s="34">
        <f>$J286</f>
        <v/>
      </c>
      <c r="H286">
        <f>IFERROR(INDEX('שיבוץ'!$B$3:$B$152,MATCH('קבוצות'!$A$14&amp;"|"&amp;7,'שיבוץ'!$K$3:$K$152,0))&amp;"","")</f>
        <v/>
      </c>
      <c r="I286">
        <f>IFERROR(INDEX('שיבוץ'!$D$3:$D$152,MATCH('קבוצות'!$A$14&amp;"|"&amp;7,'שיבוץ'!$K$3:$K$152,0))&amp;"","")</f>
        <v/>
      </c>
      <c r="J286">
        <f>IFERROR(INDEX('שיבוץ'!$F$3:$F$152,MATCH('קבוצות'!$A$14&amp;"|"&amp;7,'שיבוץ'!$K$3:$K$152,0))&amp;"","")</f>
        <v/>
      </c>
      <c r="K286">
        <f>IFERROR(INDEX('שיבוץ'!$C$3:$C$152,MATCH('קבוצות'!$A$14&amp;"|"&amp;7,'שיבוץ'!$K$3:$K$152,0)),"")</f>
        <v/>
      </c>
      <c r="L286">
        <f>IFERROR(INDEX('שיבוץ'!$E$3:$E$152,MATCH('קבוצות'!$A$14&amp;"|"&amp;7,'שיבוץ'!$K$3:$K$152,0))&amp;"","")</f>
        <v/>
      </c>
    </row>
    <row r="287" ht="28" customHeight="1">
      <c r="A287" s="55">
        <f>IF($H287="","",IF($H287=$H286,"",$H287))</f>
        <v/>
      </c>
      <c r="B287" s="30">
        <f>IF(N($K287)=0,"",TEXT(HOUR($K287),"00")&amp;":"&amp;TEXT(MINUTE($K287),"00"))</f>
        <v/>
      </c>
      <c r="C287" s="31">
        <f>$L287</f>
        <v/>
      </c>
      <c r="D287" s="32">
        <f>$I287</f>
        <v/>
      </c>
      <c r="E287" s="33" t="n"/>
      <c r="F287" s="34">
        <f>$J287</f>
        <v/>
      </c>
      <c r="H287">
        <f>IFERROR(INDEX('שיבוץ'!$B$3:$B$152,MATCH('קבוצות'!$A$14&amp;"|"&amp;8,'שיבוץ'!$K$3:$K$152,0))&amp;"","")</f>
        <v/>
      </c>
      <c r="I287">
        <f>IFERROR(INDEX('שיבוץ'!$D$3:$D$152,MATCH('קבוצות'!$A$14&amp;"|"&amp;8,'שיבוץ'!$K$3:$K$152,0))&amp;"","")</f>
        <v/>
      </c>
      <c r="J287">
        <f>IFERROR(INDEX('שיבוץ'!$F$3:$F$152,MATCH('קבוצות'!$A$14&amp;"|"&amp;8,'שיבוץ'!$K$3:$K$152,0))&amp;"","")</f>
        <v/>
      </c>
      <c r="K287">
        <f>IFERROR(INDEX('שיבוץ'!$C$3:$C$152,MATCH('קבוצות'!$A$14&amp;"|"&amp;8,'שיבוץ'!$K$3:$K$152,0)),"")</f>
        <v/>
      </c>
      <c r="L287">
        <f>IFERROR(INDEX('שיבוץ'!$E$3:$E$152,MATCH('קבוצות'!$A$14&amp;"|"&amp;8,'שיבוץ'!$K$3:$K$152,0))&amp;"","")</f>
        <v/>
      </c>
    </row>
    <row r="288" ht="28" customHeight="1">
      <c r="A288" s="55">
        <f>IF($H288="","",IF($H288=$H287,"",$H288))</f>
        <v/>
      </c>
      <c r="B288" s="30">
        <f>IF(N($K288)=0,"",TEXT(HOUR($K288),"00")&amp;":"&amp;TEXT(MINUTE($K288),"00"))</f>
        <v/>
      </c>
      <c r="C288" s="31">
        <f>$L288</f>
        <v/>
      </c>
      <c r="D288" s="32">
        <f>$I288</f>
        <v/>
      </c>
      <c r="E288" s="33" t="n"/>
      <c r="F288" s="34">
        <f>$J288</f>
        <v/>
      </c>
      <c r="H288">
        <f>IFERROR(INDEX('שיבוץ'!$B$3:$B$152,MATCH('קבוצות'!$A$14&amp;"|"&amp;9,'שיבוץ'!$K$3:$K$152,0))&amp;"","")</f>
        <v/>
      </c>
      <c r="I288">
        <f>IFERROR(INDEX('שיבוץ'!$D$3:$D$152,MATCH('קבוצות'!$A$14&amp;"|"&amp;9,'שיבוץ'!$K$3:$K$152,0))&amp;"","")</f>
        <v/>
      </c>
      <c r="J288">
        <f>IFERROR(INDEX('שיבוץ'!$F$3:$F$152,MATCH('קבוצות'!$A$14&amp;"|"&amp;9,'שיבוץ'!$K$3:$K$152,0))&amp;"","")</f>
        <v/>
      </c>
      <c r="K288">
        <f>IFERROR(INDEX('שיבוץ'!$C$3:$C$152,MATCH('קבוצות'!$A$14&amp;"|"&amp;9,'שיבוץ'!$K$3:$K$152,0)),"")</f>
        <v/>
      </c>
      <c r="L288">
        <f>IFERROR(INDEX('שיבוץ'!$E$3:$E$152,MATCH('קבוצות'!$A$14&amp;"|"&amp;9,'שיבוץ'!$K$3:$K$152,0))&amp;"","")</f>
        <v/>
      </c>
    </row>
    <row r="289" ht="28" customHeight="1">
      <c r="A289" s="55">
        <f>IF($H289="","",IF($H289=$H288,"",$H289))</f>
        <v/>
      </c>
      <c r="B289" s="30">
        <f>IF(N($K289)=0,"",TEXT(HOUR($K289),"00")&amp;":"&amp;TEXT(MINUTE($K289),"00"))</f>
        <v/>
      </c>
      <c r="C289" s="31">
        <f>$L289</f>
        <v/>
      </c>
      <c r="D289" s="32">
        <f>$I289</f>
        <v/>
      </c>
      <c r="E289" s="33" t="n"/>
      <c r="F289" s="34">
        <f>$J289</f>
        <v/>
      </c>
      <c r="H289">
        <f>IFERROR(INDEX('שיבוץ'!$B$3:$B$152,MATCH('קבוצות'!$A$14&amp;"|"&amp;10,'שיבוץ'!$K$3:$K$152,0))&amp;"","")</f>
        <v/>
      </c>
      <c r="I289">
        <f>IFERROR(INDEX('שיבוץ'!$D$3:$D$152,MATCH('קבוצות'!$A$14&amp;"|"&amp;10,'שיבוץ'!$K$3:$K$152,0))&amp;"","")</f>
        <v/>
      </c>
      <c r="J289">
        <f>IFERROR(INDEX('שיבוץ'!$F$3:$F$152,MATCH('קבוצות'!$A$14&amp;"|"&amp;10,'שיבוץ'!$K$3:$K$152,0))&amp;"","")</f>
        <v/>
      </c>
      <c r="K289">
        <f>IFERROR(INDEX('שיבוץ'!$C$3:$C$152,MATCH('קבוצות'!$A$14&amp;"|"&amp;10,'שיבוץ'!$K$3:$K$152,0)),"")</f>
        <v/>
      </c>
      <c r="L289">
        <f>IFERROR(INDEX('שיבוץ'!$E$3:$E$152,MATCH('קבוצות'!$A$14&amp;"|"&amp;10,'שיבוץ'!$K$3:$K$152,0))&amp;"","")</f>
        <v/>
      </c>
    </row>
    <row r="290" ht="28" customHeight="1">
      <c r="A290" s="55">
        <f>IF($H290="","",IF($H290=$H289,"",$H290))</f>
        <v/>
      </c>
      <c r="B290" s="30">
        <f>IF(N($K290)=0,"",TEXT(HOUR($K290),"00")&amp;":"&amp;TEXT(MINUTE($K290),"00"))</f>
        <v/>
      </c>
      <c r="C290" s="31">
        <f>$L290</f>
        <v/>
      </c>
      <c r="D290" s="32">
        <f>$I290</f>
        <v/>
      </c>
      <c r="E290" s="33" t="n"/>
      <c r="F290" s="34">
        <f>$J290</f>
        <v/>
      </c>
      <c r="H290">
        <f>IFERROR(INDEX('שיבוץ'!$B$3:$B$152,MATCH('קבוצות'!$A$14&amp;"|"&amp;11,'שיבוץ'!$K$3:$K$152,0))&amp;"","")</f>
        <v/>
      </c>
      <c r="I290">
        <f>IFERROR(INDEX('שיבוץ'!$D$3:$D$152,MATCH('קבוצות'!$A$14&amp;"|"&amp;11,'שיבוץ'!$K$3:$K$152,0))&amp;"","")</f>
        <v/>
      </c>
      <c r="J290">
        <f>IFERROR(INDEX('שיבוץ'!$F$3:$F$152,MATCH('קבוצות'!$A$14&amp;"|"&amp;11,'שיבוץ'!$K$3:$K$152,0))&amp;"","")</f>
        <v/>
      </c>
      <c r="K290">
        <f>IFERROR(INDEX('שיבוץ'!$C$3:$C$152,MATCH('קבוצות'!$A$14&amp;"|"&amp;11,'שיבוץ'!$K$3:$K$152,0)),"")</f>
        <v/>
      </c>
      <c r="L290">
        <f>IFERROR(INDEX('שיבוץ'!$E$3:$E$152,MATCH('קבוצות'!$A$14&amp;"|"&amp;11,'שיבוץ'!$K$3:$K$152,0))&amp;"","")</f>
        <v/>
      </c>
    </row>
    <row r="291" ht="28" customHeight="1">
      <c r="A291" s="55">
        <f>IF($H291="","",IF($H291=$H290,"",$H291))</f>
        <v/>
      </c>
      <c r="B291" s="30">
        <f>IF(N($K291)=0,"",TEXT(HOUR($K291),"00")&amp;":"&amp;TEXT(MINUTE($K291),"00"))</f>
        <v/>
      </c>
      <c r="C291" s="31">
        <f>$L291</f>
        <v/>
      </c>
      <c r="D291" s="32">
        <f>$I291</f>
        <v/>
      </c>
      <c r="E291" s="33" t="n"/>
      <c r="F291" s="34">
        <f>$J291</f>
        <v/>
      </c>
      <c r="H291">
        <f>IFERROR(INDEX('שיבוץ'!$B$3:$B$152,MATCH('קבוצות'!$A$14&amp;"|"&amp;12,'שיבוץ'!$K$3:$K$152,0))&amp;"","")</f>
        <v/>
      </c>
      <c r="I291">
        <f>IFERROR(INDEX('שיבוץ'!$D$3:$D$152,MATCH('קבוצות'!$A$14&amp;"|"&amp;12,'שיבוץ'!$K$3:$K$152,0))&amp;"","")</f>
        <v/>
      </c>
      <c r="J291">
        <f>IFERROR(INDEX('שיבוץ'!$F$3:$F$152,MATCH('קבוצות'!$A$14&amp;"|"&amp;12,'שיבוץ'!$K$3:$K$152,0))&amp;"","")</f>
        <v/>
      </c>
      <c r="K291">
        <f>IFERROR(INDEX('שיבוץ'!$C$3:$C$152,MATCH('קבוצות'!$A$14&amp;"|"&amp;12,'שיבוץ'!$K$3:$K$152,0)),"")</f>
        <v/>
      </c>
      <c r="L291">
        <f>IFERROR(INDEX('שיבוץ'!$E$3:$E$152,MATCH('קבוצות'!$A$14&amp;"|"&amp;12,'שיבוץ'!$K$3:$K$152,0))&amp;"","")</f>
        <v/>
      </c>
    </row>
    <row r="292" ht="28" customHeight="1">
      <c r="A292" s="55">
        <f>IF($H292="","",IF($H292=$H291,"",$H292))</f>
        <v/>
      </c>
      <c r="B292" s="30">
        <f>IF(N($K292)=0,"",TEXT(HOUR($K292),"00")&amp;":"&amp;TEXT(MINUTE($K292),"00"))</f>
        <v/>
      </c>
      <c r="C292" s="31">
        <f>$L292</f>
        <v/>
      </c>
      <c r="D292" s="32">
        <f>$I292</f>
        <v/>
      </c>
      <c r="E292" s="33" t="n"/>
      <c r="F292" s="34">
        <f>$J292</f>
        <v/>
      </c>
      <c r="H292">
        <f>IFERROR(INDEX('שיבוץ'!$B$3:$B$152,MATCH('קבוצות'!$A$14&amp;"|"&amp;13,'שיבוץ'!$K$3:$K$152,0))&amp;"","")</f>
        <v/>
      </c>
      <c r="I292">
        <f>IFERROR(INDEX('שיבוץ'!$D$3:$D$152,MATCH('קבוצות'!$A$14&amp;"|"&amp;13,'שיבוץ'!$K$3:$K$152,0))&amp;"","")</f>
        <v/>
      </c>
      <c r="J292">
        <f>IFERROR(INDEX('שיבוץ'!$F$3:$F$152,MATCH('קבוצות'!$A$14&amp;"|"&amp;13,'שיבוץ'!$K$3:$K$152,0))&amp;"","")</f>
        <v/>
      </c>
      <c r="K292">
        <f>IFERROR(INDEX('שיבוץ'!$C$3:$C$152,MATCH('קבוצות'!$A$14&amp;"|"&amp;13,'שיבוץ'!$K$3:$K$152,0)),"")</f>
        <v/>
      </c>
      <c r="L292">
        <f>IFERROR(INDEX('שיבוץ'!$E$3:$E$152,MATCH('קבוצות'!$A$14&amp;"|"&amp;13,'שיבוץ'!$K$3:$K$152,0))&amp;"","")</f>
        <v/>
      </c>
    </row>
    <row r="293" ht="28" customHeight="1">
      <c r="A293" s="55">
        <f>IF($H293="","",IF($H293=$H292,"",$H293))</f>
        <v/>
      </c>
      <c r="B293" s="30">
        <f>IF(N($K293)=0,"",TEXT(HOUR($K293),"00")&amp;":"&amp;TEXT(MINUTE($K293),"00"))</f>
        <v/>
      </c>
      <c r="C293" s="31">
        <f>$L293</f>
        <v/>
      </c>
      <c r="D293" s="32">
        <f>$I293</f>
        <v/>
      </c>
      <c r="E293" s="33" t="n"/>
      <c r="F293" s="34">
        <f>$J293</f>
        <v/>
      </c>
      <c r="H293">
        <f>IFERROR(INDEX('שיבוץ'!$B$3:$B$152,MATCH('קבוצות'!$A$14&amp;"|"&amp;14,'שיבוץ'!$K$3:$K$152,0))&amp;"","")</f>
        <v/>
      </c>
      <c r="I293">
        <f>IFERROR(INDEX('שיבוץ'!$D$3:$D$152,MATCH('קבוצות'!$A$14&amp;"|"&amp;14,'שיבוץ'!$K$3:$K$152,0))&amp;"","")</f>
        <v/>
      </c>
      <c r="J293">
        <f>IFERROR(INDEX('שיבוץ'!$F$3:$F$152,MATCH('קבוצות'!$A$14&amp;"|"&amp;14,'שיבוץ'!$K$3:$K$152,0))&amp;"","")</f>
        <v/>
      </c>
      <c r="K293">
        <f>IFERROR(INDEX('שיבוץ'!$C$3:$C$152,MATCH('קבוצות'!$A$14&amp;"|"&amp;14,'שיבוץ'!$K$3:$K$152,0)),"")</f>
        <v/>
      </c>
      <c r="L293">
        <f>IFERROR(INDEX('שיבוץ'!$E$3:$E$152,MATCH('קבוצות'!$A$14&amp;"|"&amp;14,'שיבוץ'!$K$3:$K$152,0))&amp;"","")</f>
        <v/>
      </c>
    </row>
    <row r="294" ht="28" customHeight="1">
      <c r="A294" s="55">
        <f>IF($H294="","",IF($H294=$H293,"",$H294))</f>
        <v/>
      </c>
      <c r="B294" s="30">
        <f>IF(N($K294)=0,"",TEXT(HOUR($K294),"00")&amp;":"&amp;TEXT(MINUTE($K294),"00"))</f>
        <v/>
      </c>
      <c r="C294" s="31">
        <f>$L294</f>
        <v/>
      </c>
      <c r="D294" s="32">
        <f>$I294</f>
        <v/>
      </c>
      <c r="E294" s="33" t="n"/>
      <c r="F294" s="34">
        <f>$J294</f>
        <v/>
      </c>
      <c r="H294">
        <f>IFERROR(INDEX('שיבוץ'!$B$3:$B$152,MATCH('קבוצות'!$A$14&amp;"|"&amp;15,'שיבוץ'!$K$3:$K$152,0))&amp;"","")</f>
        <v/>
      </c>
      <c r="I294">
        <f>IFERROR(INDEX('שיבוץ'!$D$3:$D$152,MATCH('קבוצות'!$A$14&amp;"|"&amp;15,'שיבוץ'!$K$3:$K$152,0))&amp;"","")</f>
        <v/>
      </c>
      <c r="J294">
        <f>IFERROR(INDEX('שיבוץ'!$F$3:$F$152,MATCH('קבוצות'!$A$14&amp;"|"&amp;15,'שיבוץ'!$K$3:$K$152,0))&amp;"","")</f>
        <v/>
      </c>
      <c r="K294">
        <f>IFERROR(INDEX('שיבוץ'!$C$3:$C$152,MATCH('קבוצות'!$A$14&amp;"|"&amp;15,'שיבוץ'!$K$3:$K$152,0)),"")</f>
        <v/>
      </c>
      <c r="L294">
        <f>IFERROR(INDEX('שיבוץ'!$E$3:$E$152,MATCH('קבוצות'!$A$14&amp;"|"&amp;15,'שיבוץ'!$K$3:$K$152,0))&amp;"","")</f>
        <v/>
      </c>
    </row>
    <row r="295" ht="28" customHeight="1">
      <c r="A295" s="55">
        <f>IF($H295="","",IF($H295=$H294,"",$H295))</f>
        <v/>
      </c>
      <c r="B295" s="30">
        <f>IF(N($K295)=0,"",TEXT(HOUR($K295),"00")&amp;":"&amp;TEXT(MINUTE($K295),"00"))</f>
        <v/>
      </c>
      <c r="C295" s="31">
        <f>$L295</f>
        <v/>
      </c>
      <c r="D295" s="32">
        <f>$I295</f>
        <v/>
      </c>
      <c r="E295" s="33" t="n"/>
      <c r="F295" s="34">
        <f>$J295</f>
        <v/>
      </c>
      <c r="H295">
        <f>IFERROR(INDEX('שיבוץ'!$B$3:$B$152,MATCH('קבוצות'!$A$14&amp;"|"&amp;16,'שיבוץ'!$K$3:$K$152,0))&amp;"","")</f>
        <v/>
      </c>
      <c r="I295">
        <f>IFERROR(INDEX('שיבוץ'!$D$3:$D$152,MATCH('קבוצות'!$A$14&amp;"|"&amp;16,'שיבוץ'!$K$3:$K$152,0))&amp;"","")</f>
        <v/>
      </c>
      <c r="J295">
        <f>IFERROR(INDEX('שיבוץ'!$F$3:$F$152,MATCH('קבוצות'!$A$14&amp;"|"&amp;16,'שיבוץ'!$K$3:$K$152,0))&amp;"","")</f>
        <v/>
      </c>
      <c r="K295">
        <f>IFERROR(INDEX('שיבוץ'!$C$3:$C$152,MATCH('קבוצות'!$A$14&amp;"|"&amp;16,'שיבוץ'!$K$3:$K$152,0)),"")</f>
        <v/>
      </c>
      <c r="L295">
        <f>IFERROR(INDEX('שיבוץ'!$E$3:$E$152,MATCH('קבוצות'!$A$14&amp;"|"&amp;16,'שיבוץ'!$K$3:$K$152,0))&amp;"","")</f>
        <v/>
      </c>
    </row>
    <row r="296" ht="28" customHeight="1">
      <c r="A296" s="55">
        <f>IF($H296="","",IF($H296=$H295,"",$H296))</f>
        <v/>
      </c>
      <c r="B296" s="30">
        <f>IF(N($K296)=0,"",TEXT(HOUR($K296),"00")&amp;":"&amp;TEXT(MINUTE($K296),"00"))</f>
        <v/>
      </c>
      <c r="C296" s="31">
        <f>$L296</f>
        <v/>
      </c>
      <c r="D296" s="32">
        <f>$I296</f>
        <v/>
      </c>
      <c r="E296" s="33" t="n"/>
      <c r="F296" s="34">
        <f>$J296</f>
        <v/>
      </c>
      <c r="H296">
        <f>IFERROR(INDEX('שיבוץ'!$B$3:$B$152,MATCH('קבוצות'!$A$14&amp;"|"&amp;17,'שיבוץ'!$K$3:$K$152,0))&amp;"","")</f>
        <v/>
      </c>
      <c r="I296">
        <f>IFERROR(INDEX('שיבוץ'!$D$3:$D$152,MATCH('קבוצות'!$A$14&amp;"|"&amp;17,'שיבוץ'!$K$3:$K$152,0))&amp;"","")</f>
        <v/>
      </c>
      <c r="J296">
        <f>IFERROR(INDEX('שיבוץ'!$F$3:$F$152,MATCH('קבוצות'!$A$14&amp;"|"&amp;17,'שיבוץ'!$K$3:$K$152,0))&amp;"","")</f>
        <v/>
      </c>
      <c r="K296">
        <f>IFERROR(INDEX('שיבוץ'!$C$3:$C$152,MATCH('קבוצות'!$A$14&amp;"|"&amp;17,'שיבוץ'!$K$3:$K$152,0)),"")</f>
        <v/>
      </c>
      <c r="L296">
        <f>IFERROR(INDEX('שיבוץ'!$E$3:$E$152,MATCH('קבוצות'!$A$14&amp;"|"&amp;17,'שיבוץ'!$K$3:$K$152,0))&amp;"","")</f>
        <v/>
      </c>
    </row>
    <row r="297" ht="28" customHeight="1">
      <c r="A297" s="55">
        <f>IF($H297="","",IF($H297=$H296,"",$H297))</f>
        <v/>
      </c>
      <c r="B297" s="30">
        <f>IF(N($K297)=0,"",TEXT(HOUR($K297),"00")&amp;":"&amp;TEXT(MINUTE($K297),"00"))</f>
        <v/>
      </c>
      <c r="C297" s="31">
        <f>$L297</f>
        <v/>
      </c>
      <c r="D297" s="32">
        <f>$I297</f>
        <v/>
      </c>
      <c r="E297" s="33" t="n"/>
      <c r="F297" s="34">
        <f>$J297</f>
        <v/>
      </c>
      <c r="H297">
        <f>IFERROR(INDEX('שיבוץ'!$B$3:$B$152,MATCH('קבוצות'!$A$14&amp;"|"&amp;18,'שיבוץ'!$K$3:$K$152,0))&amp;"","")</f>
        <v/>
      </c>
      <c r="I297">
        <f>IFERROR(INDEX('שיבוץ'!$D$3:$D$152,MATCH('קבוצות'!$A$14&amp;"|"&amp;18,'שיבוץ'!$K$3:$K$152,0))&amp;"","")</f>
        <v/>
      </c>
      <c r="J297">
        <f>IFERROR(INDEX('שיבוץ'!$F$3:$F$152,MATCH('קבוצות'!$A$14&amp;"|"&amp;18,'שיבוץ'!$K$3:$K$152,0))&amp;"","")</f>
        <v/>
      </c>
      <c r="K297">
        <f>IFERROR(INDEX('שיבוץ'!$C$3:$C$152,MATCH('קבוצות'!$A$14&amp;"|"&amp;18,'שיבוץ'!$K$3:$K$152,0)),"")</f>
        <v/>
      </c>
      <c r="L297">
        <f>IFERROR(INDEX('שיבוץ'!$E$3:$E$152,MATCH('קבוצות'!$A$14&amp;"|"&amp;18,'שיבוץ'!$K$3:$K$152,0))&amp;"","")</f>
        <v/>
      </c>
    </row>
    <row r="298" ht="18" customHeight="1">
      <c r="A298" s="35">
        <f>IF(COUNTIF('שיבוץ'!$A$3:$A$152,'קבוצות'!$A$14)&gt;18,"⚠ לקבוצה יש עוד משימות שלא נכנסו לכרטיסייה — ראו «טופס נקי»","")</f>
        <v/>
      </c>
    </row>
  </sheetData>
  <mergeCells count="276">
    <mergeCell ref="D20:E20"/>
    <mergeCell ref="D295:E295"/>
    <mergeCell ref="D60:E60"/>
    <mergeCell ref="D172:E172"/>
    <mergeCell ref="D187:E187"/>
    <mergeCell ref="A198:F198"/>
    <mergeCell ref="D84:E84"/>
    <mergeCell ref="D22:E22"/>
    <mergeCell ref="D155:E155"/>
    <mergeCell ref="A3:F3"/>
    <mergeCell ref="D31:E31"/>
    <mergeCell ref="D36:E36"/>
    <mergeCell ref="D45:E45"/>
    <mergeCell ref="D158:E158"/>
    <mergeCell ref="D229:E229"/>
    <mergeCell ref="D6:E6"/>
    <mergeCell ref="D281:E281"/>
    <mergeCell ref="D108:E108"/>
    <mergeCell ref="D86:E86"/>
    <mergeCell ref="D257:E257"/>
    <mergeCell ref="D213:E213"/>
    <mergeCell ref="D13:E13"/>
    <mergeCell ref="D297:E297"/>
    <mergeCell ref="D160:E160"/>
    <mergeCell ref="D61:E61"/>
    <mergeCell ref="D141:E141"/>
    <mergeCell ref="D254:E254"/>
    <mergeCell ref="D70:E70"/>
    <mergeCell ref="D135:E135"/>
    <mergeCell ref="D263:E263"/>
    <mergeCell ref="D215:E215"/>
    <mergeCell ref="A152:F152"/>
    <mergeCell ref="D238:E238"/>
    <mergeCell ref="D7:E7"/>
    <mergeCell ref="D72:E72"/>
    <mergeCell ref="D134:E134"/>
    <mergeCell ref="D112:E112"/>
    <mergeCell ref="D205:E205"/>
    <mergeCell ref="D283:E283"/>
    <mergeCell ref="A202:F202"/>
    <mergeCell ref="D235:E235"/>
    <mergeCell ref="D4:E4"/>
    <mergeCell ref="D62:E62"/>
    <mergeCell ref="D56:E56"/>
    <mergeCell ref="D71:E71"/>
    <mergeCell ref="D193:E193"/>
    <mergeCell ref="D255:E255"/>
    <mergeCell ref="D114:E114"/>
    <mergeCell ref="A73:F73"/>
    <mergeCell ref="A226:F226"/>
    <mergeCell ref="A51:F51"/>
    <mergeCell ref="D285:E285"/>
    <mergeCell ref="D64:E64"/>
    <mergeCell ref="D33:E33"/>
    <mergeCell ref="D260:E260"/>
    <mergeCell ref="D164:E164"/>
    <mergeCell ref="D113:E113"/>
    <mergeCell ref="A228:F228"/>
    <mergeCell ref="D88:E88"/>
    <mergeCell ref="D241:E241"/>
    <mergeCell ref="D35:E35"/>
    <mergeCell ref="A252:F252"/>
    <mergeCell ref="D115:E115"/>
    <mergeCell ref="A277:F277"/>
    <mergeCell ref="D10:E10"/>
    <mergeCell ref="D138:E138"/>
    <mergeCell ref="D19:E19"/>
    <mergeCell ref="D34:E34"/>
    <mergeCell ref="D90:E90"/>
    <mergeCell ref="D261:E261"/>
    <mergeCell ref="D243:E243"/>
    <mergeCell ref="A27:F27"/>
    <mergeCell ref="D270:E270"/>
    <mergeCell ref="D131:E131"/>
    <mergeCell ref="A101:F101"/>
    <mergeCell ref="A223:F223"/>
    <mergeCell ref="D258:E258"/>
    <mergeCell ref="D140:E140"/>
    <mergeCell ref="D267:E267"/>
    <mergeCell ref="A2:F2"/>
    <mergeCell ref="A278:F278"/>
    <mergeCell ref="A151:F151"/>
    <mergeCell ref="D195:E195"/>
    <mergeCell ref="D11:E11"/>
    <mergeCell ref="D189:E189"/>
    <mergeCell ref="D204:E204"/>
    <mergeCell ref="A126:F126"/>
    <mergeCell ref="D287:E287"/>
    <mergeCell ref="D269:E269"/>
    <mergeCell ref="D296:E296"/>
    <mergeCell ref="D66:E66"/>
    <mergeCell ref="D179:E179"/>
    <mergeCell ref="D197:E197"/>
    <mergeCell ref="D166:E166"/>
    <mergeCell ref="D206:E206"/>
    <mergeCell ref="D47:E47"/>
    <mergeCell ref="D289:E289"/>
    <mergeCell ref="A28:F28"/>
    <mergeCell ref="D181:E181"/>
    <mergeCell ref="D221:E221"/>
    <mergeCell ref="D37:E37"/>
    <mergeCell ref="D230:E230"/>
    <mergeCell ref="D168:E168"/>
    <mergeCell ref="A127:F127"/>
    <mergeCell ref="A48:F48"/>
    <mergeCell ref="A176:F176"/>
    <mergeCell ref="D165:E165"/>
    <mergeCell ref="D9:E9"/>
    <mergeCell ref="D180:E180"/>
    <mergeCell ref="D118:E118"/>
    <mergeCell ref="D39:E39"/>
    <mergeCell ref="D167:E167"/>
    <mergeCell ref="D279:E279"/>
    <mergeCell ref="D161:E161"/>
    <mergeCell ref="D232:E232"/>
    <mergeCell ref="A98:F98"/>
    <mergeCell ref="D15:E15"/>
    <mergeCell ref="D29:E29"/>
    <mergeCell ref="D142:E142"/>
    <mergeCell ref="A178:F178"/>
    <mergeCell ref="D38:E38"/>
    <mergeCell ref="D216:E216"/>
    <mergeCell ref="D89:E89"/>
    <mergeCell ref="D129:E129"/>
    <mergeCell ref="D169:E169"/>
    <mergeCell ref="D265:E265"/>
    <mergeCell ref="A153:F153"/>
    <mergeCell ref="D79:E79"/>
    <mergeCell ref="A227:F227"/>
    <mergeCell ref="D144:E144"/>
    <mergeCell ref="D218:E218"/>
    <mergeCell ref="A177:F177"/>
    <mergeCell ref="D247:E247"/>
    <mergeCell ref="D63:E63"/>
    <mergeCell ref="D81:E81"/>
    <mergeCell ref="D208:E208"/>
    <mergeCell ref="D186:E186"/>
    <mergeCell ref="D217:E217"/>
    <mergeCell ref="A26:F26"/>
    <mergeCell ref="D65:E65"/>
    <mergeCell ref="D96:E96"/>
    <mergeCell ref="D105:E105"/>
    <mergeCell ref="D139:E139"/>
    <mergeCell ref="D170:E170"/>
    <mergeCell ref="A251:F251"/>
    <mergeCell ref="A76:F76"/>
    <mergeCell ref="A203:F203"/>
    <mergeCell ref="D120:E120"/>
    <mergeCell ref="D242:E242"/>
    <mergeCell ref="D194:E194"/>
    <mergeCell ref="D107:E107"/>
    <mergeCell ref="D163:E163"/>
    <mergeCell ref="D234:E234"/>
    <mergeCell ref="D116:E116"/>
    <mergeCell ref="A253:F253"/>
    <mergeCell ref="D17:E17"/>
    <mergeCell ref="A53:F53"/>
    <mergeCell ref="D91:E91"/>
    <mergeCell ref="D162:E162"/>
    <mergeCell ref="D244:E244"/>
    <mergeCell ref="D156:E156"/>
    <mergeCell ref="D171:E171"/>
    <mergeCell ref="D214:E214"/>
    <mergeCell ref="D284:E284"/>
    <mergeCell ref="A102:F102"/>
    <mergeCell ref="D106:E106"/>
    <mergeCell ref="A173:F173"/>
    <mergeCell ref="D259:E259"/>
    <mergeCell ref="D212:E212"/>
    <mergeCell ref="D146:E146"/>
    <mergeCell ref="D93:E93"/>
    <mergeCell ref="D264:E264"/>
    <mergeCell ref="D220:E220"/>
    <mergeCell ref="A276:F276"/>
    <mergeCell ref="D12:E12"/>
    <mergeCell ref="D83:E83"/>
    <mergeCell ref="D196:E196"/>
    <mergeCell ref="D143:E143"/>
    <mergeCell ref="D117:E117"/>
    <mergeCell ref="D92:E92"/>
    <mergeCell ref="D55:E55"/>
    <mergeCell ref="D30:E30"/>
    <mergeCell ref="D157:E157"/>
    <mergeCell ref="D236:E236"/>
    <mergeCell ref="A1:F1"/>
    <mergeCell ref="D67:E67"/>
    <mergeCell ref="D5:E5"/>
    <mergeCell ref="A103:F103"/>
    <mergeCell ref="D133:E133"/>
    <mergeCell ref="D14:E14"/>
    <mergeCell ref="D85:E85"/>
    <mergeCell ref="D207:E207"/>
    <mergeCell ref="D54:E54"/>
    <mergeCell ref="D256:E256"/>
    <mergeCell ref="A78:F78"/>
    <mergeCell ref="D94:E94"/>
    <mergeCell ref="D290:E290"/>
    <mergeCell ref="D69:E69"/>
    <mergeCell ref="D182:E182"/>
    <mergeCell ref="D222:E222"/>
    <mergeCell ref="D271:E271"/>
    <mergeCell ref="D109:E109"/>
    <mergeCell ref="D191:E191"/>
    <mergeCell ref="D262:E262"/>
    <mergeCell ref="A128:F128"/>
    <mergeCell ref="D280:E280"/>
    <mergeCell ref="D237:E237"/>
    <mergeCell ref="D119:E119"/>
    <mergeCell ref="A273:F273"/>
    <mergeCell ref="D190:E190"/>
    <mergeCell ref="D246:E246"/>
    <mergeCell ref="D46:E46"/>
    <mergeCell ref="D159:E159"/>
    <mergeCell ref="D40:E40"/>
    <mergeCell ref="D80:E80"/>
    <mergeCell ref="D111:E111"/>
    <mergeCell ref="D233:E233"/>
    <mergeCell ref="A248:F248"/>
    <mergeCell ref="D282:E282"/>
    <mergeCell ref="D291:E291"/>
    <mergeCell ref="D21:E21"/>
    <mergeCell ref="D183:E183"/>
    <mergeCell ref="D239:E239"/>
    <mergeCell ref="D95:E95"/>
    <mergeCell ref="D266:E266"/>
    <mergeCell ref="D219:E219"/>
    <mergeCell ref="D104:E104"/>
    <mergeCell ref="A298:F298"/>
    <mergeCell ref="D288:E288"/>
    <mergeCell ref="D57:E57"/>
    <mergeCell ref="A23:F23"/>
    <mergeCell ref="D136:E136"/>
    <mergeCell ref="D293:E293"/>
    <mergeCell ref="D32:E32"/>
    <mergeCell ref="D145:E145"/>
    <mergeCell ref="D185:E185"/>
    <mergeCell ref="D272:E272"/>
    <mergeCell ref="D41:E41"/>
    <mergeCell ref="D97:E97"/>
    <mergeCell ref="D154:E154"/>
    <mergeCell ref="D210:E210"/>
    <mergeCell ref="D268:E268"/>
    <mergeCell ref="D16:E16"/>
    <mergeCell ref="A52:F52"/>
    <mergeCell ref="D87:E87"/>
    <mergeCell ref="D209:E209"/>
    <mergeCell ref="D147:E147"/>
    <mergeCell ref="D292:E292"/>
    <mergeCell ref="D43:E43"/>
    <mergeCell ref="D245:E245"/>
    <mergeCell ref="D122:E122"/>
    <mergeCell ref="D184:E184"/>
    <mergeCell ref="D137:E137"/>
    <mergeCell ref="D18:E18"/>
    <mergeCell ref="D58:E58"/>
    <mergeCell ref="D211:E211"/>
    <mergeCell ref="A77:F77"/>
    <mergeCell ref="A201:F201"/>
    <mergeCell ref="A148:F148"/>
    <mergeCell ref="D294:E294"/>
    <mergeCell ref="D8:E8"/>
    <mergeCell ref="D121:E121"/>
    <mergeCell ref="D192:E192"/>
    <mergeCell ref="D130:E130"/>
    <mergeCell ref="D68:E68"/>
    <mergeCell ref="D42:E42"/>
    <mergeCell ref="A123:F123"/>
    <mergeCell ref="D82:E82"/>
    <mergeCell ref="D231:E231"/>
    <mergeCell ref="D188:E188"/>
    <mergeCell ref="D240:E240"/>
    <mergeCell ref="D132:E132"/>
    <mergeCell ref="D110:E110"/>
    <mergeCell ref="D44:E44"/>
    <mergeCell ref="D59:E59"/>
    <mergeCell ref="D286:E286"/>
  </mergeCells>
  <conditionalFormatting sqref="A2:F3">
    <cfRule type="expression" priority="1" dxfId="1">
      <formula>'קבוצות'!$E$3="ורוד"</formula>
    </cfRule>
    <cfRule type="expression" priority="4" dxfId="2">
      <formula>'קבוצות'!$E$3="ים"</formula>
    </cfRule>
    <cfRule type="expression" priority="7" dxfId="3">
      <formula>'קבוצות'!$E$3="ספארי"</formula>
    </cfRule>
    <cfRule type="expression" priority="10" dxfId="4">
      <formula>'קבוצות'!$E$3="שדה"</formula>
    </cfRule>
    <cfRule type="expression" priority="13" dxfId="5">
      <formula>'קבוצות'!$E$3="סגול"</formula>
    </cfRule>
    <cfRule type="expression" priority="16" dxfId="6">
      <formula>'קבוצות'!$E$3="ירוק"</formula>
    </cfRule>
  </conditionalFormatting>
  <conditionalFormatting sqref="A5:A22">
    <cfRule type="expression" priority="2" dxfId="1">
      <formula>'קבוצות'!$E$3="ורוד"</formula>
    </cfRule>
    <cfRule type="expression" priority="5" dxfId="2">
      <formula>'קבוצות'!$E$3="ים"</formula>
    </cfRule>
    <cfRule type="expression" priority="8" dxfId="3">
      <formula>'קבוצות'!$E$3="ספארי"</formula>
    </cfRule>
    <cfRule type="expression" priority="11" dxfId="4">
      <formula>'קבוצות'!$E$3="שדה"</formula>
    </cfRule>
    <cfRule type="expression" priority="14" dxfId="5">
      <formula>'קבוצות'!$E$3="סגול"</formula>
    </cfRule>
    <cfRule type="expression" priority="17" dxfId="6">
      <formula>'קבוצות'!$E$3="ירוק"</formula>
    </cfRule>
  </conditionalFormatting>
  <conditionalFormatting sqref="A1:F1">
    <cfRule type="expression" priority="3" dxfId="7">
      <formula>'קבוצות'!$E$3="ורוד"</formula>
    </cfRule>
    <cfRule type="expression" priority="6" dxfId="8">
      <formula>'קבוצות'!$E$3="ים"</formula>
    </cfRule>
    <cfRule type="expression" priority="9" dxfId="9">
      <formula>'קבוצות'!$E$3="ספארי"</formula>
    </cfRule>
    <cfRule type="expression" priority="12" dxfId="10">
      <formula>'קבוצות'!$E$3="שדה"</formula>
    </cfRule>
    <cfRule type="expression" priority="15" dxfId="11">
      <formula>'קבוצות'!$E$3="סגול"</formula>
    </cfRule>
    <cfRule type="expression" priority="18" dxfId="12">
      <formula>'קבוצות'!$E$3="ירוק"</formula>
    </cfRule>
  </conditionalFormatting>
  <conditionalFormatting sqref="A27:F28">
    <cfRule type="expression" priority="19" dxfId="1">
      <formula>'קבוצות'!$E$4="ורוד"</formula>
    </cfRule>
    <cfRule type="expression" priority="22" dxfId="2">
      <formula>'קבוצות'!$E$4="ים"</formula>
    </cfRule>
    <cfRule type="expression" priority="25" dxfId="3">
      <formula>'קבוצות'!$E$4="ספארי"</formula>
    </cfRule>
    <cfRule type="expression" priority="28" dxfId="4">
      <formula>'קבוצות'!$E$4="שדה"</formula>
    </cfRule>
    <cfRule type="expression" priority="31" dxfId="5">
      <formula>'קבוצות'!$E$4="סגול"</formula>
    </cfRule>
    <cfRule type="expression" priority="34" dxfId="6">
      <formula>'קבוצות'!$E$4="ירוק"</formula>
    </cfRule>
  </conditionalFormatting>
  <conditionalFormatting sqref="A30:A47">
    <cfRule type="expression" priority="20" dxfId="1">
      <formula>'קבוצות'!$E$4="ורוד"</formula>
    </cfRule>
    <cfRule type="expression" priority="23" dxfId="2">
      <formula>'קבוצות'!$E$4="ים"</formula>
    </cfRule>
    <cfRule type="expression" priority="26" dxfId="3">
      <formula>'קבוצות'!$E$4="ספארי"</formula>
    </cfRule>
    <cfRule type="expression" priority="29" dxfId="4">
      <formula>'קבוצות'!$E$4="שדה"</formula>
    </cfRule>
    <cfRule type="expression" priority="32" dxfId="5">
      <formula>'קבוצות'!$E$4="סגול"</formula>
    </cfRule>
    <cfRule type="expression" priority="35" dxfId="6">
      <formula>'קבוצות'!$E$4="ירוק"</formula>
    </cfRule>
  </conditionalFormatting>
  <conditionalFormatting sqref="A26:F26">
    <cfRule type="expression" priority="21" dxfId="7">
      <formula>'קבוצות'!$E$4="ורוד"</formula>
    </cfRule>
    <cfRule type="expression" priority="24" dxfId="8">
      <formula>'קבוצות'!$E$4="ים"</formula>
    </cfRule>
    <cfRule type="expression" priority="27" dxfId="9">
      <formula>'קבוצות'!$E$4="ספארי"</formula>
    </cfRule>
    <cfRule type="expression" priority="30" dxfId="10">
      <formula>'קבוצות'!$E$4="שדה"</formula>
    </cfRule>
    <cfRule type="expression" priority="33" dxfId="11">
      <formula>'קבוצות'!$E$4="סגול"</formula>
    </cfRule>
    <cfRule type="expression" priority="36" dxfId="12">
      <formula>'קבוצות'!$E$4="ירוק"</formula>
    </cfRule>
  </conditionalFormatting>
  <conditionalFormatting sqref="A52:F53">
    <cfRule type="expression" priority="37" dxfId="1">
      <formula>'קבוצות'!$E$5="ורוד"</formula>
    </cfRule>
    <cfRule type="expression" priority="40" dxfId="2">
      <formula>'קבוצות'!$E$5="ים"</formula>
    </cfRule>
    <cfRule type="expression" priority="43" dxfId="3">
      <formula>'קבוצות'!$E$5="ספארי"</formula>
    </cfRule>
    <cfRule type="expression" priority="46" dxfId="4">
      <formula>'קבוצות'!$E$5="שדה"</formula>
    </cfRule>
    <cfRule type="expression" priority="49" dxfId="5">
      <formula>'קבוצות'!$E$5="סגול"</formula>
    </cfRule>
    <cfRule type="expression" priority="52" dxfId="6">
      <formula>'קבוצות'!$E$5="ירוק"</formula>
    </cfRule>
  </conditionalFormatting>
  <conditionalFormatting sqref="A55:A72">
    <cfRule type="expression" priority="38" dxfId="1">
      <formula>'קבוצות'!$E$5="ורוד"</formula>
    </cfRule>
    <cfRule type="expression" priority="41" dxfId="2">
      <formula>'קבוצות'!$E$5="ים"</formula>
    </cfRule>
    <cfRule type="expression" priority="44" dxfId="3">
      <formula>'קבוצות'!$E$5="ספארי"</formula>
    </cfRule>
    <cfRule type="expression" priority="47" dxfId="4">
      <formula>'קבוצות'!$E$5="שדה"</formula>
    </cfRule>
    <cfRule type="expression" priority="50" dxfId="5">
      <formula>'קבוצות'!$E$5="סגול"</formula>
    </cfRule>
    <cfRule type="expression" priority="53" dxfId="6">
      <formula>'קבוצות'!$E$5="ירוק"</formula>
    </cfRule>
  </conditionalFormatting>
  <conditionalFormatting sqref="A51:F51">
    <cfRule type="expression" priority="39" dxfId="7">
      <formula>'קבוצות'!$E$5="ורוד"</formula>
    </cfRule>
    <cfRule type="expression" priority="42" dxfId="8">
      <formula>'קבוצות'!$E$5="ים"</formula>
    </cfRule>
    <cfRule type="expression" priority="45" dxfId="9">
      <formula>'קבוצות'!$E$5="ספארי"</formula>
    </cfRule>
    <cfRule type="expression" priority="48" dxfId="10">
      <formula>'קבוצות'!$E$5="שדה"</formula>
    </cfRule>
    <cfRule type="expression" priority="51" dxfId="11">
      <formula>'קבוצות'!$E$5="סגול"</formula>
    </cfRule>
    <cfRule type="expression" priority="54" dxfId="12">
      <formula>'קבוצות'!$E$5="ירוק"</formula>
    </cfRule>
  </conditionalFormatting>
  <conditionalFormatting sqref="A77:F78">
    <cfRule type="expression" priority="55" dxfId="1">
      <formula>'קבוצות'!$E$6="ורוד"</formula>
    </cfRule>
    <cfRule type="expression" priority="58" dxfId="2">
      <formula>'קבוצות'!$E$6="ים"</formula>
    </cfRule>
    <cfRule type="expression" priority="61" dxfId="3">
      <formula>'קבוצות'!$E$6="ספארי"</formula>
    </cfRule>
    <cfRule type="expression" priority="64" dxfId="4">
      <formula>'קבוצות'!$E$6="שדה"</formula>
    </cfRule>
    <cfRule type="expression" priority="67" dxfId="5">
      <formula>'קבוצות'!$E$6="סגול"</formula>
    </cfRule>
    <cfRule type="expression" priority="70" dxfId="6">
      <formula>'קבוצות'!$E$6="ירוק"</formula>
    </cfRule>
  </conditionalFormatting>
  <conditionalFormatting sqref="A80:A97">
    <cfRule type="expression" priority="56" dxfId="1">
      <formula>'קבוצות'!$E$6="ורוד"</formula>
    </cfRule>
    <cfRule type="expression" priority="59" dxfId="2">
      <formula>'קבוצות'!$E$6="ים"</formula>
    </cfRule>
    <cfRule type="expression" priority="62" dxfId="3">
      <formula>'קבוצות'!$E$6="ספארי"</formula>
    </cfRule>
    <cfRule type="expression" priority="65" dxfId="4">
      <formula>'קבוצות'!$E$6="שדה"</formula>
    </cfRule>
    <cfRule type="expression" priority="68" dxfId="5">
      <formula>'קבוצות'!$E$6="סגול"</formula>
    </cfRule>
    <cfRule type="expression" priority="71" dxfId="6">
      <formula>'קבוצות'!$E$6="ירוק"</formula>
    </cfRule>
  </conditionalFormatting>
  <conditionalFormatting sqref="A76:F76">
    <cfRule type="expression" priority="57" dxfId="7">
      <formula>'קבוצות'!$E$6="ורוד"</formula>
    </cfRule>
    <cfRule type="expression" priority="60" dxfId="8">
      <formula>'קבוצות'!$E$6="ים"</formula>
    </cfRule>
    <cfRule type="expression" priority="63" dxfId="9">
      <formula>'קבוצות'!$E$6="ספארי"</formula>
    </cfRule>
    <cfRule type="expression" priority="66" dxfId="10">
      <formula>'קבוצות'!$E$6="שדה"</formula>
    </cfRule>
    <cfRule type="expression" priority="69" dxfId="11">
      <formula>'קבוצות'!$E$6="סגול"</formula>
    </cfRule>
    <cfRule type="expression" priority="72" dxfId="12">
      <formula>'קבוצות'!$E$6="ירוק"</formula>
    </cfRule>
  </conditionalFormatting>
  <conditionalFormatting sqref="A102:F103">
    <cfRule type="expression" priority="73" dxfId="1">
      <formula>'קבוצות'!$E$7="ורוד"</formula>
    </cfRule>
    <cfRule type="expression" priority="76" dxfId="2">
      <formula>'קבוצות'!$E$7="ים"</formula>
    </cfRule>
    <cfRule type="expression" priority="79" dxfId="3">
      <formula>'קבוצות'!$E$7="ספארי"</formula>
    </cfRule>
    <cfRule type="expression" priority="82" dxfId="4">
      <formula>'קבוצות'!$E$7="שדה"</formula>
    </cfRule>
    <cfRule type="expression" priority="85" dxfId="5">
      <formula>'קבוצות'!$E$7="סגול"</formula>
    </cfRule>
    <cfRule type="expression" priority="88" dxfId="6">
      <formula>'קבוצות'!$E$7="ירוק"</formula>
    </cfRule>
  </conditionalFormatting>
  <conditionalFormatting sqref="A105:A122">
    <cfRule type="expression" priority="74" dxfId="1">
      <formula>'קבוצות'!$E$7="ורוד"</formula>
    </cfRule>
    <cfRule type="expression" priority="77" dxfId="2">
      <formula>'קבוצות'!$E$7="ים"</formula>
    </cfRule>
    <cfRule type="expression" priority="80" dxfId="3">
      <formula>'קבוצות'!$E$7="ספארי"</formula>
    </cfRule>
    <cfRule type="expression" priority="83" dxfId="4">
      <formula>'קבוצות'!$E$7="שדה"</formula>
    </cfRule>
    <cfRule type="expression" priority="86" dxfId="5">
      <formula>'קבוצות'!$E$7="סגול"</formula>
    </cfRule>
    <cfRule type="expression" priority="89" dxfId="6">
      <formula>'קבוצות'!$E$7="ירוק"</formula>
    </cfRule>
  </conditionalFormatting>
  <conditionalFormatting sqref="A101:F101">
    <cfRule type="expression" priority="75" dxfId="7">
      <formula>'קבוצות'!$E$7="ורוד"</formula>
    </cfRule>
    <cfRule type="expression" priority="78" dxfId="8">
      <formula>'קבוצות'!$E$7="ים"</formula>
    </cfRule>
    <cfRule type="expression" priority="81" dxfId="9">
      <formula>'קבוצות'!$E$7="ספארי"</formula>
    </cfRule>
    <cfRule type="expression" priority="84" dxfId="10">
      <formula>'קבוצות'!$E$7="שדה"</formula>
    </cfRule>
    <cfRule type="expression" priority="87" dxfId="11">
      <formula>'קבוצות'!$E$7="סגול"</formula>
    </cfRule>
    <cfRule type="expression" priority="90" dxfId="12">
      <formula>'קבוצות'!$E$7="ירוק"</formula>
    </cfRule>
  </conditionalFormatting>
  <conditionalFormatting sqref="A127:F128">
    <cfRule type="expression" priority="91" dxfId="1">
      <formula>'קבוצות'!$E$8="ורוד"</formula>
    </cfRule>
    <cfRule type="expression" priority="94" dxfId="2">
      <formula>'קבוצות'!$E$8="ים"</formula>
    </cfRule>
    <cfRule type="expression" priority="97" dxfId="3">
      <formula>'קבוצות'!$E$8="ספארי"</formula>
    </cfRule>
    <cfRule type="expression" priority="100" dxfId="4">
      <formula>'קבוצות'!$E$8="שדה"</formula>
    </cfRule>
    <cfRule type="expression" priority="103" dxfId="5">
      <formula>'קבוצות'!$E$8="סגול"</formula>
    </cfRule>
    <cfRule type="expression" priority="106" dxfId="6">
      <formula>'קבוצות'!$E$8="ירוק"</formula>
    </cfRule>
  </conditionalFormatting>
  <conditionalFormatting sqref="A130:A147">
    <cfRule type="expression" priority="92" dxfId="1">
      <formula>'קבוצות'!$E$8="ורוד"</formula>
    </cfRule>
    <cfRule type="expression" priority="95" dxfId="2">
      <formula>'קבוצות'!$E$8="ים"</formula>
    </cfRule>
    <cfRule type="expression" priority="98" dxfId="3">
      <formula>'קבוצות'!$E$8="ספארי"</formula>
    </cfRule>
    <cfRule type="expression" priority="101" dxfId="4">
      <formula>'קבוצות'!$E$8="שדה"</formula>
    </cfRule>
    <cfRule type="expression" priority="104" dxfId="5">
      <formula>'קבוצות'!$E$8="סגול"</formula>
    </cfRule>
    <cfRule type="expression" priority="107" dxfId="6">
      <formula>'קבוצות'!$E$8="ירוק"</formula>
    </cfRule>
  </conditionalFormatting>
  <conditionalFormatting sqref="A126:F126">
    <cfRule type="expression" priority="93" dxfId="7">
      <formula>'קבוצות'!$E$8="ורוד"</formula>
    </cfRule>
    <cfRule type="expression" priority="96" dxfId="8">
      <formula>'קבוצות'!$E$8="ים"</formula>
    </cfRule>
    <cfRule type="expression" priority="99" dxfId="9">
      <formula>'קבוצות'!$E$8="ספארי"</formula>
    </cfRule>
    <cfRule type="expression" priority="102" dxfId="10">
      <formula>'קבוצות'!$E$8="שדה"</formula>
    </cfRule>
    <cfRule type="expression" priority="105" dxfId="11">
      <formula>'קבוצות'!$E$8="סגול"</formula>
    </cfRule>
    <cfRule type="expression" priority="108" dxfId="12">
      <formula>'קבוצות'!$E$8="ירוק"</formula>
    </cfRule>
  </conditionalFormatting>
  <conditionalFormatting sqref="A152:F153">
    <cfRule type="expression" priority="109" dxfId="1">
      <formula>'קבוצות'!$E$9="ורוד"</formula>
    </cfRule>
    <cfRule type="expression" priority="112" dxfId="2">
      <formula>'קבוצות'!$E$9="ים"</formula>
    </cfRule>
    <cfRule type="expression" priority="115" dxfId="3">
      <formula>'קבוצות'!$E$9="ספארי"</formula>
    </cfRule>
    <cfRule type="expression" priority="118" dxfId="4">
      <formula>'קבוצות'!$E$9="שדה"</formula>
    </cfRule>
    <cfRule type="expression" priority="121" dxfId="5">
      <formula>'קבוצות'!$E$9="סגול"</formula>
    </cfRule>
    <cfRule type="expression" priority="124" dxfId="6">
      <formula>'קבוצות'!$E$9="ירוק"</formula>
    </cfRule>
  </conditionalFormatting>
  <conditionalFormatting sqref="A155:A172">
    <cfRule type="expression" priority="110" dxfId="1">
      <formula>'קבוצות'!$E$9="ורוד"</formula>
    </cfRule>
    <cfRule type="expression" priority="113" dxfId="2">
      <formula>'קבוצות'!$E$9="ים"</formula>
    </cfRule>
    <cfRule type="expression" priority="116" dxfId="3">
      <formula>'קבוצות'!$E$9="ספארי"</formula>
    </cfRule>
    <cfRule type="expression" priority="119" dxfId="4">
      <formula>'קבוצות'!$E$9="שדה"</formula>
    </cfRule>
    <cfRule type="expression" priority="122" dxfId="5">
      <formula>'קבוצות'!$E$9="סגול"</formula>
    </cfRule>
    <cfRule type="expression" priority="125" dxfId="6">
      <formula>'קבוצות'!$E$9="ירוק"</formula>
    </cfRule>
  </conditionalFormatting>
  <conditionalFormatting sqref="A151:F151">
    <cfRule type="expression" priority="111" dxfId="7">
      <formula>'קבוצות'!$E$9="ורוד"</formula>
    </cfRule>
    <cfRule type="expression" priority="114" dxfId="8">
      <formula>'קבוצות'!$E$9="ים"</formula>
    </cfRule>
    <cfRule type="expression" priority="117" dxfId="9">
      <formula>'קבוצות'!$E$9="ספארי"</formula>
    </cfRule>
    <cfRule type="expression" priority="120" dxfId="10">
      <formula>'קבוצות'!$E$9="שדה"</formula>
    </cfRule>
    <cfRule type="expression" priority="123" dxfId="11">
      <formula>'קבוצות'!$E$9="סגול"</formula>
    </cfRule>
    <cfRule type="expression" priority="126" dxfId="12">
      <formula>'קבוצות'!$E$9="ירוק"</formula>
    </cfRule>
  </conditionalFormatting>
  <conditionalFormatting sqref="A177:F178">
    <cfRule type="expression" priority="127" dxfId="1">
      <formula>'קבוצות'!$E$10="ורוד"</formula>
    </cfRule>
    <cfRule type="expression" priority="130" dxfId="2">
      <formula>'קבוצות'!$E$10="ים"</formula>
    </cfRule>
    <cfRule type="expression" priority="133" dxfId="3">
      <formula>'קבוצות'!$E$10="ספארי"</formula>
    </cfRule>
    <cfRule type="expression" priority="136" dxfId="4">
      <formula>'קבוצות'!$E$10="שדה"</formula>
    </cfRule>
    <cfRule type="expression" priority="139" dxfId="5">
      <formula>'קבוצות'!$E$10="סגול"</formula>
    </cfRule>
    <cfRule type="expression" priority="142" dxfId="6">
      <formula>'קבוצות'!$E$10="ירוק"</formula>
    </cfRule>
  </conditionalFormatting>
  <conditionalFormatting sqref="A180:A197">
    <cfRule type="expression" priority="128" dxfId="1">
      <formula>'קבוצות'!$E$10="ורוד"</formula>
    </cfRule>
    <cfRule type="expression" priority="131" dxfId="2">
      <formula>'קבוצות'!$E$10="ים"</formula>
    </cfRule>
    <cfRule type="expression" priority="134" dxfId="3">
      <formula>'קבוצות'!$E$10="ספארי"</formula>
    </cfRule>
    <cfRule type="expression" priority="137" dxfId="4">
      <formula>'קבוצות'!$E$10="שדה"</formula>
    </cfRule>
    <cfRule type="expression" priority="140" dxfId="5">
      <formula>'קבוצות'!$E$10="סגול"</formula>
    </cfRule>
    <cfRule type="expression" priority="143" dxfId="6">
      <formula>'קבוצות'!$E$10="ירוק"</formula>
    </cfRule>
  </conditionalFormatting>
  <conditionalFormatting sqref="A176:F176">
    <cfRule type="expression" priority="129" dxfId="7">
      <formula>'קבוצות'!$E$10="ורוד"</formula>
    </cfRule>
    <cfRule type="expression" priority="132" dxfId="8">
      <formula>'קבוצות'!$E$10="ים"</formula>
    </cfRule>
    <cfRule type="expression" priority="135" dxfId="9">
      <formula>'קבוצות'!$E$10="ספארי"</formula>
    </cfRule>
    <cfRule type="expression" priority="138" dxfId="10">
      <formula>'קבוצות'!$E$10="שדה"</formula>
    </cfRule>
    <cfRule type="expression" priority="141" dxfId="11">
      <formula>'קבוצות'!$E$10="סגול"</formula>
    </cfRule>
    <cfRule type="expression" priority="144" dxfId="12">
      <formula>'קבוצות'!$E$10="ירוק"</formula>
    </cfRule>
  </conditionalFormatting>
  <conditionalFormatting sqref="A202:F203">
    <cfRule type="expression" priority="145" dxfId="1">
      <formula>'קבוצות'!$E$11="ורוד"</formula>
    </cfRule>
    <cfRule type="expression" priority="148" dxfId="2">
      <formula>'קבוצות'!$E$11="ים"</formula>
    </cfRule>
    <cfRule type="expression" priority="151" dxfId="3">
      <formula>'קבוצות'!$E$11="ספארי"</formula>
    </cfRule>
    <cfRule type="expression" priority="154" dxfId="4">
      <formula>'קבוצות'!$E$11="שדה"</formula>
    </cfRule>
    <cfRule type="expression" priority="157" dxfId="5">
      <formula>'קבוצות'!$E$11="סגול"</formula>
    </cfRule>
    <cfRule type="expression" priority="160" dxfId="6">
      <formula>'קבוצות'!$E$11="ירוק"</formula>
    </cfRule>
  </conditionalFormatting>
  <conditionalFormatting sqref="A205:A222">
    <cfRule type="expression" priority="146" dxfId="1">
      <formula>'קבוצות'!$E$11="ורוד"</formula>
    </cfRule>
    <cfRule type="expression" priority="149" dxfId="2">
      <formula>'קבוצות'!$E$11="ים"</formula>
    </cfRule>
    <cfRule type="expression" priority="152" dxfId="3">
      <formula>'קבוצות'!$E$11="ספארי"</formula>
    </cfRule>
    <cfRule type="expression" priority="155" dxfId="4">
      <formula>'קבוצות'!$E$11="שדה"</formula>
    </cfRule>
    <cfRule type="expression" priority="158" dxfId="5">
      <formula>'קבוצות'!$E$11="סגול"</formula>
    </cfRule>
    <cfRule type="expression" priority="161" dxfId="6">
      <formula>'קבוצות'!$E$11="ירוק"</formula>
    </cfRule>
  </conditionalFormatting>
  <conditionalFormatting sqref="A201:F201">
    <cfRule type="expression" priority="147" dxfId="7">
      <formula>'קבוצות'!$E$11="ורוד"</formula>
    </cfRule>
    <cfRule type="expression" priority="150" dxfId="8">
      <formula>'קבוצות'!$E$11="ים"</formula>
    </cfRule>
    <cfRule type="expression" priority="153" dxfId="9">
      <formula>'קבוצות'!$E$11="ספארי"</formula>
    </cfRule>
    <cfRule type="expression" priority="156" dxfId="10">
      <formula>'קבוצות'!$E$11="שדה"</formula>
    </cfRule>
    <cfRule type="expression" priority="159" dxfId="11">
      <formula>'קבוצות'!$E$11="סגול"</formula>
    </cfRule>
    <cfRule type="expression" priority="162" dxfId="12">
      <formula>'קבוצות'!$E$11="ירוק"</formula>
    </cfRule>
  </conditionalFormatting>
  <conditionalFormatting sqref="A227:F228">
    <cfRule type="expression" priority="163" dxfId="1">
      <formula>'קבוצות'!$E$12="ורוד"</formula>
    </cfRule>
    <cfRule type="expression" priority="166" dxfId="2">
      <formula>'קבוצות'!$E$12="ים"</formula>
    </cfRule>
    <cfRule type="expression" priority="169" dxfId="3">
      <formula>'קבוצות'!$E$12="ספארי"</formula>
    </cfRule>
    <cfRule type="expression" priority="172" dxfId="4">
      <formula>'קבוצות'!$E$12="שדה"</formula>
    </cfRule>
    <cfRule type="expression" priority="175" dxfId="5">
      <formula>'קבוצות'!$E$12="סגול"</formula>
    </cfRule>
    <cfRule type="expression" priority="178" dxfId="6">
      <formula>'קבוצות'!$E$12="ירוק"</formula>
    </cfRule>
  </conditionalFormatting>
  <conditionalFormatting sqref="A230:A247">
    <cfRule type="expression" priority="164" dxfId="1">
      <formula>'קבוצות'!$E$12="ורוד"</formula>
    </cfRule>
    <cfRule type="expression" priority="167" dxfId="2">
      <formula>'קבוצות'!$E$12="ים"</formula>
    </cfRule>
    <cfRule type="expression" priority="170" dxfId="3">
      <formula>'קבוצות'!$E$12="ספארי"</formula>
    </cfRule>
    <cfRule type="expression" priority="173" dxfId="4">
      <formula>'קבוצות'!$E$12="שדה"</formula>
    </cfRule>
    <cfRule type="expression" priority="176" dxfId="5">
      <formula>'קבוצות'!$E$12="סגול"</formula>
    </cfRule>
    <cfRule type="expression" priority="179" dxfId="6">
      <formula>'קבוצות'!$E$12="ירוק"</formula>
    </cfRule>
  </conditionalFormatting>
  <conditionalFormatting sqref="A226:F226">
    <cfRule type="expression" priority="165" dxfId="7">
      <formula>'קבוצות'!$E$12="ורוד"</formula>
    </cfRule>
    <cfRule type="expression" priority="168" dxfId="8">
      <formula>'קבוצות'!$E$12="ים"</formula>
    </cfRule>
    <cfRule type="expression" priority="171" dxfId="9">
      <formula>'קבוצות'!$E$12="ספארי"</formula>
    </cfRule>
    <cfRule type="expression" priority="174" dxfId="10">
      <formula>'קבוצות'!$E$12="שדה"</formula>
    </cfRule>
    <cfRule type="expression" priority="177" dxfId="11">
      <formula>'קבוצות'!$E$12="סגול"</formula>
    </cfRule>
    <cfRule type="expression" priority="180" dxfId="12">
      <formula>'קבוצות'!$E$12="ירוק"</formula>
    </cfRule>
  </conditionalFormatting>
  <conditionalFormatting sqref="A252:F253">
    <cfRule type="expression" priority="181" dxfId="1">
      <formula>'קבוצות'!$E$13="ורוד"</formula>
    </cfRule>
    <cfRule type="expression" priority="184" dxfId="2">
      <formula>'קבוצות'!$E$13="ים"</formula>
    </cfRule>
    <cfRule type="expression" priority="187" dxfId="3">
      <formula>'קבוצות'!$E$13="ספארי"</formula>
    </cfRule>
    <cfRule type="expression" priority="190" dxfId="4">
      <formula>'קבוצות'!$E$13="שדה"</formula>
    </cfRule>
    <cfRule type="expression" priority="193" dxfId="5">
      <formula>'קבוצות'!$E$13="סגול"</formula>
    </cfRule>
    <cfRule type="expression" priority="196" dxfId="6">
      <formula>'קבוצות'!$E$13="ירוק"</formula>
    </cfRule>
  </conditionalFormatting>
  <conditionalFormatting sqref="A255:A272">
    <cfRule type="expression" priority="182" dxfId="1">
      <formula>'קבוצות'!$E$13="ורוד"</formula>
    </cfRule>
    <cfRule type="expression" priority="185" dxfId="2">
      <formula>'קבוצות'!$E$13="ים"</formula>
    </cfRule>
    <cfRule type="expression" priority="188" dxfId="3">
      <formula>'קבוצות'!$E$13="ספארי"</formula>
    </cfRule>
    <cfRule type="expression" priority="191" dxfId="4">
      <formula>'קבוצות'!$E$13="שדה"</formula>
    </cfRule>
    <cfRule type="expression" priority="194" dxfId="5">
      <formula>'קבוצות'!$E$13="סגול"</formula>
    </cfRule>
    <cfRule type="expression" priority="197" dxfId="6">
      <formula>'קבוצות'!$E$13="ירוק"</formula>
    </cfRule>
  </conditionalFormatting>
  <conditionalFormatting sqref="A251:F251">
    <cfRule type="expression" priority="183" dxfId="7">
      <formula>'קבוצות'!$E$13="ורוד"</formula>
    </cfRule>
    <cfRule type="expression" priority="186" dxfId="8">
      <formula>'קבוצות'!$E$13="ים"</formula>
    </cfRule>
    <cfRule type="expression" priority="189" dxfId="9">
      <formula>'קבוצות'!$E$13="ספארי"</formula>
    </cfRule>
    <cfRule type="expression" priority="192" dxfId="10">
      <formula>'קבוצות'!$E$13="שדה"</formula>
    </cfRule>
    <cfRule type="expression" priority="195" dxfId="11">
      <formula>'קבוצות'!$E$13="סגול"</formula>
    </cfRule>
    <cfRule type="expression" priority="198" dxfId="12">
      <formula>'קבוצות'!$E$13="ירוק"</formula>
    </cfRule>
  </conditionalFormatting>
  <conditionalFormatting sqref="A277:F278">
    <cfRule type="expression" priority="199" dxfId="1">
      <formula>'קבוצות'!$E$14="ורוד"</formula>
    </cfRule>
    <cfRule type="expression" priority="202" dxfId="2">
      <formula>'קבוצות'!$E$14="ים"</formula>
    </cfRule>
    <cfRule type="expression" priority="205" dxfId="3">
      <formula>'קבוצות'!$E$14="ספארי"</formula>
    </cfRule>
    <cfRule type="expression" priority="208" dxfId="4">
      <formula>'קבוצות'!$E$14="שדה"</formula>
    </cfRule>
    <cfRule type="expression" priority="211" dxfId="5">
      <formula>'קבוצות'!$E$14="סגול"</formula>
    </cfRule>
    <cfRule type="expression" priority="214" dxfId="6">
      <formula>'קבוצות'!$E$14="ירוק"</formula>
    </cfRule>
  </conditionalFormatting>
  <conditionalFormatting sqref="A280:A297">
    <cfRule type="expression" priority="200" dxfId="1">
      <formula>'קבוצות'!$E$14="ורוד"</formula>
    </cfRule>
    <cfRule type="expression" priority="203" dxfId="2">
      <formula>'קבוצות'!$E$14="ים"</formula>
    </cfRule>
    <cfRule type="expression" priority="206" dxfId="3">
      <formula>'קבוצות'!$E$14="ספארי"</formula>
    </cfRule>
    <cfRule type="expression" priority="209" dxfId="4">
      <formula>'קבוצות'!$E$14="שדה"</formula>
    </cfRule>
    <cfRule type="expression" priority="212" dxfId="5">
      <formula>'קבוצות'!$E$14="סגול"</formula>
    </cfRule>
    <cfRule type="expression" priority="215" dxfId="6">
      <formula>'קבוצות'!$E$14="ירוק"</formula>
    </cfRule>
  </conditionalFormatting>
  <conditionalFormatting sqref="A276:F276">
    <cfRule type="expression" priority="201" dxfId="7">
      <formula>'קבוצות'!$E$14="ורוד"</formula>
    </cfRule>
    <cfRule type="expression" priority="204" dxfId="8">
      <formula>'קבוצות'!$E$14="ים"</formula>
    </cfRule>
    <cfRule type="expression" priority="207" dxfId="9">
      <formula>'קבוצות'!$E$14="ספארי"</formula>
    </cfRule>
    <cfRule type="expression" priority="210" dxfId="10">
      <formula>'קבוצות'!$E$14="שדה"</formula>
    </cfRule>
    <cfRule type="expression" priority="213" dxfId="11">
      <formula>'קבוצות'!$E$14="סגול"</formula>
    </cfRule>
    <cfRule type="expression" priority="216" dxfId="12">
      <formula>'קבוצות'!$E$14="ירוק"</formula>
    </cfRule>
  </conditionalFormatting>
  <pageMargins left="0.4" right="0.4" top="0.5" bottom="0.5" header="0.5" footer="0.5"/>
  <pageSetup orientation="portrait" paperSize="9" fitToHeight="0" fitToWidth="1"/>
  <rowBreaks count="11" manualBreakCount="11">
    <brk id="25" min="0" max="16383" man="1"/>
    <brk id="50" min="0" max="16383" man="1"/>
    <brk id="75" min="0" max="16383" man="1"/>
    <brk id="100" min="0" max="16383" man="1"/>
    <brk id="125" min="0" max="16383" man="1"/>
    <brk id="150" min="0" max="16383" man="1"/>
    <brk id="175" min="0" max="16383" man="1"/>
    <brk id="200" min="0" max="16383" man="1"/>
    <brk id="225" min="0" max="16383" man="1"/>
    <brk id="250" min="0" max="16383" man="1"/>
    <brk id="27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33" t="n"/>
      <c r="E5" s="33" t="n"/>
      <c r="G5">
        <f>IFERROR(INDEX('שיבוץ'!$H$3:$H$152,MATCH("חמישי — הכנות"&amp;"|"&amp;1,'שיבוץ'!$L$3:$L$152,0))&amp;"","")</f>
        <v/>
      </c>
    </row>
    <row r="6" ht="24" customHeight="1">
      <c r="A6" s="33" t="n"/>
      <c r="B6" s="33" t="n"/>
      <c r="C6" s="21">
        <f>$G6</f>
        <v/>
      </c>
      <c r="D6" s="33" t="n"/>
      <c r="E6" s="33" t="n"/>
      <c r="G6">
        <f>IFERROR(INDEX('שיבוץ'!$H$3:$H$152,MATCH("חמישי — הכנות"&amp;"|"&amp;2,'שיבוץ'!$L$3:$L$152,0))&amp;"","")</f>
        <v/>
      </c>
    </row>
    <row r="7" ht="24" customHeight="1">
      <c r="A7" s="33" t="n"/>
      <c r="B7" s="33" t="n"/>
      <c r="C7" s="21">
        <f>$G7</f>
        <v/>
      </c>
      <c r="D7" s="33" t="n"/>
      <c r="E7" s="33" t="n"/>
      <c r="G7">
        <f>IFERROR(INDEX('שיבוץ'!$H$3:$H$152,MATCH("חמישי — הכנות"&amp;"|"&amp;3,'שיבוץ'!$L$3:$L$152,0))&amp;"","")</f>
        <v/>
      </c>
    </row>
    <row r="8" ht="24" customHeight="1">
      <c r="A8" s="33" t="n"/>
      <c r="B8" s="33" t="n"/>
      <c r="C8" s="21">
        <f>$G8</f>
        <v/>
      </c>
      <c r="D8" s="33" t="n"/>
      <c r="E8" s="33" t="n"/>
      <c r="G8">
        <f>IFERROR(INDEX('שיבוץ'!$H$3:$H$152,MATCH("חמישי — הכנות"&amp;"|"&amp;4,'שיבוץ'!$L$3:$L$152,0))&amp;"","")</f>
        <v/>
      </c>
    </row>
    <row r="9" ht="24" customHeight="1">
      <c r="A9" s="33" t="n"/>
      <c r="B9" s="33" t="n"/>
      <c r="C9" s="21">
        <f>$G9</f>
        <v/>
      </c>
      <c r="D9" s="33" t="n"/>
      <c r="E9" s="33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33" t="n"/>
      <c r="E10" s="33" t="n"/>
      <c r="G10">
        <f>IFERROR(INDEX('שיבוץ'!$H$3:$H$152,MATCH("שישי — ארוחת בוקר"&amp;"|"&amp;1,'שיבוץ'!$L$3:$L$152,0))&amp;"","")</f>
        <v/>
      </c>
    </row>
    <row r="11" ht="24" customHeight="1">
      <c r="A11" s="33" t="n"/>
      <c r="B11" s="33" t="n"/>
      <c r="C11" s="21">
        <f>$G11</f>
        <v/>
      </c>
      <c r="D11" s="33" t="n"/>
      <c r="E11" s="33" t="n"/>
      <c r="G11">
        <f>IFERROR(INDEX('שיבוץ'!$H$3:$H$152,MATCH("שישי — ארוחת בוקר"&amp;"|"&amp;2,'שיבוץ'!$L$3:$L$152,0))&amp;"","")</f>
        <v/>
      </c>
    </row>
    <row r="12" ht="24" customHeight="1">
      <c r="A12" s="33" t="n"/>
      <c r="B12" s="33" t="n"/>
      <c r="C12" s="21">
        <f>$G12</f>
        <v/>
      </c>
      <c r="D12" s="33" t="n"/>
      <c r="E12" s="33" t="n"/>
      <c r="G12">
        <f>IFERROR(INDEX('שיבוץ'!$H$3:$H$152,MATCH("שישי — ארוחת בוקר"&amp;"|"&amp;3,'שיבוץ'!$L$3:$L$152,0))&amp;"","")</f>
        <v/>
      </c>
    </row>
    <row r="13" ht="24" customHeight="1">
      <c r="A13" s="33" t="n"/>
      <c r="B13" s="33" t="n"/>
      <c r="C13" s="21">
        <f>$G13</f>
        <v/>
      </c>
      <c r="D13" s="33" t="n"/>
      <c r="E13" s="33" t="n"/>
      <c r="G13">
        <f>IFERROR(INDEX('שיבוץ'!$H$3:$H$152,MATCH("שישי — ארוחת בוקר"&amp;"|"&amp;4,'שיבוץ'!$L$3:$L$152,0))&amp;"","")</f>
        <v/>
      </c>
    </row>
    <row r="14" ht="24" customHeight="1">
      <c r="A14" s="33" t="n"/>
      <c r="B14" s="33" t="n"/>
      <c r="C14" s="21">
        <f>$G14</f>
        <v/>
      </c>
      <c r="D14" s="33" t="n"/>
      <c r="E14" s="33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33" t="n"/>
      <c r="E15" s="33" t="n"/>
      <c r="G15">
        <f>IFERROR(INDEX('שיבוץ'!$H$3:$H$152,MATCH("שישי — הכנות ועבודה"&amp;"|"&amp;1,'שיבוץ'!$L$3:$L$152,0))&amp;"","")</f>
        <v/>
      </c>
    </row>
    <row r="16" ht="24" customHeight="1">
      <c r="A16" s="33" t="n"/>
      <c r="B16" s="33" t="n"/>
      <c r="C16" s="21">
        <f>$G16</f>
        <v/>
      </c>
      <c r="D16" s="33" t="n"/>
      <c r="E16" s="33" t="n"/>
      <c r="G16">
        <f>IFERROR(INDEX('שיבוץ'!$H$3:$H$152,MATCH("שישי — הכנות ועבודה"&amp;"|"&amp;2,'שיבוץ'!$L$3:$L$152,0))&amp;"","")</f>
        <v/>
      </c>
    </row>
    <row r="17" ht="24" customHeight="1">
      <c r="A17" s="33" t="n"/>
      <c r="B17" s="33" t="n"/>
      <c r="C17" s="21">
        <f>$G17</f>
        <v/>
      </c>
      <c r="D17" s="33" t="n"/>
      <c r="E17" s="33" t="n"/>
      <c r="G17">
        <f>IFERROR(INDEX('שיבוץ'!$H$3:$H$152,MATCH("שישי — הכנות ועבודה"&amp;"|"&amp;3,'שיבוץ'!$L$3:$L$152,0))&amp;"","")</f>
        <v/>
      </c>
    </row>
    <row r="18" ht="24" customHeight="1">
      <c r="A18" s="33" t="n"/>
      <c r="B18" s="33" t="n"/>
      <c r="C18" s="21">
        <f>$G18</f>
        <v/>
      </c>
      <c r="D18" s="33" t="n"/>
      <c r="E18" s="33" t="n"/>
      <c r="G18">
        <f>IFERROR(INDEX('שיבוץ'!$H$3:$H$152,MATCH("שישי — הכנות ועבודה"&amp;"|"&amp;4,'שיבוץ'!$L$3:$L$152,0))&amp;"","")</f>
        <v/>
      </c>
    </row>
    <row r="19" ht="24" customHeight="1">
      <c r="A19" s="33" t="n"/>
      <c r="B19" s="33" t="n"/>
      <c r="C19" s="21">
        <f>$G19</f>
        <v/>
      </c>
      <c r="D19" s="33" t="n"/>
      <c r="E19" s="33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33" t="n"/>
      <c r="E20" s="33" t="n"/>
      <c r="G20">
        <f>IFERROR(INDEX('שיבוץ'!$H$3:$H$152,MATCH("שישי — ארוחת צהריים"&amp;"|"&amp;1,'שיבוץ'!$L$3:$L$152,0))&amp;"","")</f>
        <v/>
      </c>
    </row>
    <row r="21" ht="24" customHeight="1">
      <c r="A21" s="33" t="n"/>
      <c r="B21" s="33" t="n"/>
      <c r="C21" s="21">
        <f>$G21</f>
        <v/>
      </c>
      <c r="D21" s="33" t="n"/>
      <c r="E21" s="33" t="n"/>
      <c r="G21">
        <f>IFERROR(INDEX('שיבוץ'!$H$3:$H$152,MATCH("שישי — ארוחת צהריים"&amp;"|"&amp;2,'שיבוץ'!$L$3:$L$152,0))&amp;"","")</f>
        <v/>
      </c>
    </row>
    <row r="22" ht="24" customHeight="1">
      <c r="A22" s="33" t="n"/>
      <c r="B22" s="33" t="n"/>
      <c r="C22" s="21">
        <f>$G22</f>
        <v/>
      </c>
      <c r="D22" s="33" t="n"/>
      <c r="E22" s="33" t="n"/>
      <c r="G22">
        <f>IFERROR(INDEX('שיבוץ'!$H$3:$H$152,MATCH("שישי — ארוחת צהריים"&amp;"|"&amp;3,'שיבוץ'!$L$3:$L$152,0))&amp;"","")</f>
        <v/>
      </c>
    </row>
    <row r="23" ht="24" customHeight="1">
      <c r="A23" s="33" t="n"/>
      <c r="B23" s="33" t="n"/>
      <c r="C23" s="21">
        <f>$G23</f>
        <v/>
      </c>
      <c r="D23" s="33" t="n"/>
      <c r="E23" s="33" t="n"/>
      <c r="G23">
        <f>IFERROR(INDEX('שיבוץ'!$H$3:$H$152,MATCH("שישי — ארוחת צהריים"&amp;"|"&amp;4,'שיבוץ'!$L$3:$L$152,0))&amp;"","")</f>
        <v/>
      </c>
    </row>
    <row r="24" ht="24" customHeight="1">
      <c r="A24" s="33" t="n"/>
      <c r="B24" s="33" t="n"/>
      <c r="C24" s="21">
        <f>$G24</f>
        <v/>
      </c>
      <c r="D24" s="33" t="n"/>
      <c r="E24" s="33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33" t="n"/>
      <c r="E25" s="33" t="n"/>
      <c r="G25">
        <f>IFERROR(INDEX('שיבוץ'!$H$3:$H$152,MATCH("קבלת שבת ישראלית"&amp;"|"&amp;1,'שיבוץ'!$L$3:$L$152,0))&amp;"","")</f>
        <v/>
      </c>
    </row>
    <row r="26" ht="24" customHeight="1">
      <c r="A26" s="33" t="n"/>
      <c r="B26" s="33" t="n"/>
      <c r="C26" s="21">
        <f>$G26</f>
        <v/>
      </c>
      <c r="D26" s="33" t="n"/>
      <c r="E26" s="33" t="n"/>
      <c r="G26">
        <f>IFERROR(INDEX('שיבוץ'!$H$3:$H$152,MATCH("קבלת שבת ישראלית"&amp;"|"&amp;2,'שיבוץ'!$L$3:$L$152,0))&amp;"","")</f>
        <v/>
      </c>
    </row>
    <row r="27" ht="24" customHeight="1">
      <c r="A27" s="33" t="n"/>
      <c r="B27" s="33" t="n"/>
      <c r="C27" s="21">
        <f>$G27</f>
        <v/>
      </c>
      <c r="D27" s="33" t="n"/>
      <c r="E27" s="33" t="n"/>
      <c r="G27">
        <f>IFERROR(INDEX('שיבוץ'!$H$3:$H$152,MATCH("קבלת שבת ישראלית"&amp;"|"&amp;3,'שיבוץ'!$L$3:$L$152,0))&amp;"","")</f>
        <v/>
      </c>
    </row>
    <row r="28" ht="24" customHeight="1">
      <c r="A28" s="33" t="n"/>
      <c r="B28" s="33" t="n"/>
      <c r="C28" s="21">
        <f>$G28</f>
        <v/>
      </c>
      <c r="D28" s="33" t="n"/>
      <c r="E28" s="33" t="n"/>
      <c r="G28">
        <f>IFERROR(INDEX('שיבוץ'!$H$3:$H$152,MATCH("קבלת שבת ישראלית"&amp;"|"&amp;4,'שיבוץ'!$L$3:$L$152,0))&amp;"","")</f>
        <v/>
      </c>
    </row>
    <row r="29" ht="24" customHeight="1">
      <c r="A29" s="33" t="n"/>
      <c r="B29" s="33" t="n"/>
      <c r="C29" s="21">
        <f>$G29</f>
        <v/>
      </c>
      <c r="D29" s="33" t="n"/>
      <c r="E29" s="33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33" t="n"/>
      <c r="E30" s="33" t="n"/>
      <c r="G30">
        <f>IFERROR(INDEX('שיבוץ'!$H$3:$H$152,MATCH("כניסת שבת"&amp;"|"&amp;1,'שיבוץ'!$L$3:$L$152,0))&amp;"","")</f>
        <v/>
      </c>
    </row>
    <row r="31" ht="24" customHeight="1">
      <c r="A31" s="33" t="n"/>
      <c r="B31" s="33" t="n"/>
      <c r="C31" s="21">
        <f>$G31</f>
        <v/>
      </c>
      <c r="D31" s="33" t="n"/>
      <c r="E31" s="33" t="n"/>
      <c r="G31">
        <f>IFERROR(INDEX('שיבוץ'!$H$3:$H$152,MATCH("כניסת שבת"&amp;"|"&amp;2,'שיבוץ'!$L$3:$L$152,0))&amp;"","")</f>
        <v/>
      </c>
    </row>
    <row r="32" ht="24" customHeight="1">
      <c r="A32" s="33" t="n"/>
      <c r="B32" s="33" t="n"/>
      <c r="C32" s="21">
        <f>$G32</f>
        <v/>
      </c>
      <c r="D32" s="33" t="n"/>
      <c r="E32" s="33" t="n"/>
      <c r="G32">
        <f>IFERROR(INDEX('שיבוץ'!$H$3:$H$152,MATCH("כניסת שבת"&amp;"|"&amp;3,'שיבוץ'!$L$3:$L$152,0))&amp;"","")</f>
        <v/>
      </c>
    </row>
    <row r="33" ht="24" customHeight="1">
      <c r="A33" s="33" t="n"/>
      <c r="B33" s="33" t="n"/>
      <c r="C33" s="21">
        <f>$G33</f>
        <v/>
      </c>
      <c r="D33" s="33" t="n"/>
      <c r="E33" s="33" t="n"/>
      <c r="G33">
        <f>IFERROR(INDEX('שיבוץ'!$H$3:$H$152,MATCH("כניסת שבת"&amp;"|"&amp;4,'שיבוץ'!$L$3:$L$152,0))&amp;"","")</f>
        <v/>
      </c>
    </row>
    <row r="34" ht="24" customHeight="1">
      <c r="A34" s="33" t="n"/>
      <c r="B34" s="33" t="n"/>
      <c r="C34" s="21">
        <f>$G34</f>
        <v/>
      </c>
      <c r="D34" s="33" t="n"/>
      <c r="E34" s="33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33" t="n"/>
      <c r="E35" s="33" t="n"/>
      <c r="G35">
        <f>IFERROR(INDEX('שיבוץ'!$H$3:$H$152,MATCH("קבלת שבת וערבית"&amp;"|"&amp;1,'שיבוץ'!$L$3:$L$152,0))&amp;"","")</f>
        <v/>
      </c>
    </row>
    <row r="36" ht="24" customHeight="1">
      <c r="A36" s="33" t="n"/>
      <c r="B36" s="33" t="n"/>
      <c r="C36" s="21">
        <f>$G36</f>
        <v/>
      </c>
      <c r="D36" s="33" t="n"/>
      <c r="E36" s="33" t="n"/>
      <c r="G36">
        <f>IFERROR(INDEX('שיבוץ'!$H$3:$H$152,MATCH("קבלת שבת וערבית"&amp;"|"&amp;2,'שיבוץ'!$L$3:$L$152,0))&amp;"","")</f>
        <v/>
      </c>
    </row>
    <row r="37" ht="24" customHeight="1">
      <c r="A37" s="33" t="n"/>
      <c r="B37" s="33" t="n"/>
      <c r="C37" s="21">
        <f>$G37</f>
        <v/>
      </c>
      <c r="D37" s="33" t="n"/>
      <c r="E37" s="33" t="n"/>
      <c r="G37">
        <f>IFERROR(INDEX('שיבוץ'!$H$3:$H$152,MATCH("קבלת שבת וערבית"&amp;"|"&amp;3,'שיבוץ'!$L$3:$L$152,0))&amp;"","")</f>
        <v/>
      </c>
    </row>
    <row r="38" ht="24" customHeight="1">
      <c r="A38" s="33" t="n"/>
      <c r="B38" s="33" t="n"/>
      <c r="C38" s="21">
        <f>$G38</f>
        <v/>
      </c>
      <c r="D38" s="33" t="n"/>
      <c r="E38" s="33" t="n"/>
      <c r="G38">
        <f>IFERROR(INDEX('שיבוץ'!$H$3:$H$152,MATCH("קבלת שבת וערבית"&amp;"|"&amp;4,'שיבוץ'!$L$3:$L$152,0))&amp;"","")</f>
        <v/>
      </c>
    </row>
    <row r="39" ht="24" customHeight="1">
      <c r="A39" s="33" t="n"/>
      <c r="B39" s="33" t="n"/>
      <c r="C39" s="21">
        <f>$G39</f>
        <v/>
      </c>
      <c r="D39" s="33" t="n"/>
      <c r="E39" s="33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33" t="n"/>
      <c r="E40" s="33" t="n"/>
      <c r="G40">
        <f>IFERROR(INDEX('שיבוץ'!$H$3:$H$152,MATCH("סעודת שבת"&amp;"|"&amp;1,'שיבוץ'!$L$3:$L$152,0))&amp;"","")</f>
        <v/>
      </c>
    </row>
    <row r="41" ht="24" customHeight="1">
      <c r="A41" s="33" t="n"/>
      <c r="B41" s="33" t="n"/>
      <c r="C41" s="21">
        <f>$G41</f>
        <v/>
      </c>
      <c r="D41" s="33" t="n"/>
      <c r="E41" s="33" t="n"/>
      <c r="G41">
        <f>IFERROR(INDEX('שיבוץ'!$H$3:$H$152,MATCH("סעודת שבת"&amp;"|"&amp;2,'שיבוץ'!$L$3:$L$152,0))&amp;"","")</f>
        <v/>
      </c>
    </row>
    <row r="42" ht="24" customHeight="1">
      <c r="A42" s="33" t="n"/>
      <c r="B42" s="33" t="n"/>
      <c r="C42" s="21">
        <f>$G42</f>
        <v/>
      </c>
      <c r="D42" s="33" t="n"/>
      <c r="E42" s="33" t="n"/>
      <c r="G42">
        <f>IFERROR(INDEX('שיבוץ'!$H$3:$H$152,MATCH("סעודת שבת"&amp;"|"&amp;3,'שיבוץ'!$L$3:$L$152,0))&amp;"","")</f>
        <v/>
      </c>
    </row>
    <row r="43" ht="24" customHeight="1">
      <c r="A43" s="33" t="n"/>
      <c r="B43" s="33" t="n"/>
      <c r="C43" s="21">
        <f>$G43</f>
        <v/>
      </c>
      <c r="D43" s="33" t="n"/>
      <c r="E43" s="33" t="n"/>
      <c r="G43">
        <f>IFERROR(INDEX('שיבוץ'!$H$3:$H$152,MATCH("סעודת שבת"&amp;"|"&amp;4,'שיבוץ'!$L$3:$L$152,0))&amp;"","")</f>
        <v/>
      </c>
    </row>
    <row r="44" ht="24" customHeight="1">
      <c r="A44" s="33" t="n"/>
      <c r="B44" s="33" t="n"/>
      <c r="C44" s="21">
        <f>$G44</f>
        <v/>
      </c>
      <c r="D44" s="33" t="n"/>
      <c r="E44" s="33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33" t="n"/>
      <c r="E45" s="33" t="n"/>
      <c r="G45">
        <f>IFERROR(INDEX('שיבוץ'!$H$3:$H$152,MATCH("טיש עם איש צוות"&amp;"|"&amp;1,'שיבוץ'!$L$3:$L$152,0))&amp;"","")</f>
        <v/>
      </c>
    </row>
    <row r="46" ht="24" customHeight="1">
      <c r="A46" s="33" t="n"/>
      <c r="B46" s="33" t="n"/>
      <c r="C46" s="21">
        <f>$G46</f>
        <v/>
      </c>
      <c r="D46" s="33" t="n"/>
      <c r="E46" s="33" t="n"/>
      <c r="G46">
        <f>IFERROR(INDEX('שיבוץ'!$H$3:$H$152,MATCH("טיש עם איש צוות"&amp;"|"&amp;2,'שיבוץ'!$L$3:$L$152,0))&amp;"","")</f>
        <v/>
      </c>
    </row>
    <row r="47" ht="24" customHeight="1">
      <c r="A47" s="33" t="n"/>
      <c r="B47" s="33" t="n"/>
      <c r="C47" s="21">
        <f>$G47</f>
        <v/>
      </c>
      <c r="D47" s="33" t="n"/>
      <c r="E47" s="33" t="n"/>
      <c r="G47">
        <f>IFERROR(INDEX('שיבוץ'!$H$3:$H$152,MATCH("טיש עם איש צוות"&amp;"|"&amp;3,'שיבוץ'!$L$3:$L$152,0))&amp;"","")</f>
        <v/>
      </c>
    </row>
    <row r="48" ht="24" customHeight="1">
      <c r="A48" s="33" t="n"/>
      <c r="B48" s="33" t="n"/>
      <c r="C48" s="21">
        <f>$G48</f>
        <v/>
      </c>
      <c r="D48" s="33" t="n"/>
      <c r="E48" s="33" t="n"/>
      <c r="G48">
        <f>IFERROR(INDEX('שיבוץ'!$H$3:$H$152,MATCH("טיש עם איש צוות"&amp;"|"&amp;4,'שיבוץ'!$L$3:$L$152,0))&amp;"","")</f>
        <v/>
      </c>
    </row>
    <row r="49" ht="24" customHeight="1">
      <c r="A49" s="33" t="n"/>
      <c r="B49" s="33" t="n"/>
      <c r="C49" s="21">
        <f>$G49</f>
        <v/>
      </c>
      <c r="D49" s="33" t="n"/>
      <c r="E49" s="33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33" t="n"/>
      <c r="E50" s="33" t="n"/>
      <c r="G50">
        <f>IFERROR(INDEX('שיבוץ'!$H$3:$H$152,MATCH("קידוש"&amp;"|"&amp;1,'שיבוץ'!$L$3:$L$152,0))&amp;"","")</f>
        <v/>
      </c>
    </row>
    <row r="51" ht="24" customHeight="1">
      <c r="A51" s="33" t="n"/>
      <c r="B51" s="33" t="n"/>
      <c r="C51" s="21">
        <f>$G51</f>
        <v/>
      </c>
      <c r="D51" s="33" t="n"/>
      <c r="E51" s="33" t="n"/>
      <c r="G51">
        <f>IFERROR(INDEX('שיבוץ'!$H$3:$H$152,MATCH("קידוש"&amp;"|"&amp;2,'שיבוץ'!$L$3:$L$152,0))&amp;"","")</f>
        <v/>
      </c>
    </row>
    <row r="52" ht="24" customHeight="1">
      <c r="A52" s="33" t="n"/>
      <c r="B52" s="33" t="n"/>
      <c r="C52" s="21">
        <f>$G52</f>
        <v/>
      </c>
      <c r="D52" s="33" t="n"/>
      <c r="E52" s="33" t="n"/>
      <c r="G52">
        <f>IFERROR(INDEX('שיבוץ'!$H$3:$H$152,MATCH("קידוש"&amp;"|"&amp;3,'שיבוץ'!$L$3:$L$152,0))&amp;"","")</f>
        <v/>
      </c>
    </row>
    <row r="53" ht="24" customHeight="1">
      <c r="A53" s="33" t="n"/>
      <c r="B53" s="33" t="n"/>
      <c r="C53" s="21">
        <f>$G53</f>
        <v/>
      </c>
      <c r="D53" s="33" t="n"/>
      <c r="E53" s="33" t="n"/>
      <c r="G53">
        <f>IFERROR(INDEX('שיבוץ'!$H$3:$H$152,MATCH("קידוש"&amp;"|"&amp;4,'שיבוץ'!$L$3:$L$152,0))&amp;"","")</f>
        <v/>
      </c>
    </row>
    <row r="54" ht="24" customHeight="1">
      <c r="A54" s="33" t="n"/>
      <c r="B54" s="33" t="n"/>
      <c r="C54" s="21">
        <f>$G54</f>
        <v/>
      </c>
      <c r="D54" s="33" t="n"/>
      <c r="E54" s="33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33" t="n"/>
      <c r="E55" s="33" t="n"/>
      <c r="G55">
        <f>IFERROR(INDEX('שיבוץ'!$H$3:$H$152,MATCH("חבורות חניכים"&amp;"|"&amp;1,'שיבוץ'!$L$3:$L$152,0))&amp;"","")</f>
        <v/>
      </c>
    </row>
    <row r="56" ht="24" customHeight="1">
      <c r="A56" s="33" t="n"/>
      <c r="B56" s="33" t="n"/>
      <c r="C56" s="21">
        <f>$G56</f>
        <v/>
      </c>
      <c r="D56" s="33" t="n"/>
      <c r="E56" s="33" t="n"/>
      <c r="G56">
        <f>IFERROR(INDEX('שיבוץ'!$H$3:$H$152,MATCH("חבורות חניכים"&amp;"|"&amp;2,'שיבוץ'!$L$3:$L$152,0))&amp;"","")</f>
        <v/>
      </c>
    </row>
    <row r="57" ht="24" customHeight="1">
      <c r="A57" s="33" t="n"/>
      <c r="B57" s="33" t="n"/>
      <c r="C57" s="21">
        <f>$G57</f>
        <v/>
      </c>
      <c r="D57" s="33" t="n"/>
      <c r="E57" s="33" t="n"/>
      <c r="G57">
        <f>IFERROR(INDEX('שיבוץ'!$H$3:$H$152,MATCH("חבורות חניכים"&amp;"|"&amp;3,'שיבוץ'!$L$3:$L$152,0))&amp;"","")</f>
        <v/>
      </c>
    </row>
    <row r="58" ht="24" customHeight="1">
      <c r="A58" s="33" t="n"/>
      <c r="B58" s="33" t="n"/>
      <c r="C58" s="21">
        <f>$G58</f>
        <v/>
      </c>
      <c r="D58" s="33" t="n"/>
      <c r="E58" s="33" t="n"/>
      <c r="G58">
        <f>IFERROR(INDEX('שיבוץ'!$H$3:$H$152,MATCH("חבורות חניכים"&amp;"|"&amp;4,'שיבוץ'!$L$3:$L$152,0))&amp;"","")</f>
        <v/>
      </c>
    </row>
    <row r="59" ht="24" customHeight="1">
      <c r="A59" s="33" t="n"/>
      <c r="B59" s="33" t="n"/>
      <c r="C59" s="21">
        <f>$G59</f>
        <v/>
      </c>
      <c r="D59" s="33" t="n"/>
      <c r="E59" s="33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33" t="n"/>
      <c r="E60" s="33" t="n"/>
      <c r="G60">
        <f>IFERROR(INDEX('שיבוץ'!$H$3:$H$152,MATCH("ארוחת צהריים"&amp;"|"&amp;1,'שיבוץ'!$L$3:$L$152,0))&amp;"","")</f>
        <v/>
      </c>
    </row>
    <row r="61" ht="24" customHeight="1">
      <c r="A61" s="33" t="n"/>
      <c r="B61" s="33" t="n"/>
      <c r="C61" s="21">
        <f>$G61</f>
        <v/>
      </c>
      <c r="D61" s="33" t="n"/>
      <c r="E61" s="33" t="n"/>
      <c r="G61">
        <f>IFERROR(INDEX('שיבוץ'!$H$3:$H$152,MATCH("ארוחת צהריים"&amp;"|"&amp;2,'שיבוץ'!$L$3:$L$152,0))&amp;"","")</f>
        <v/>
      </c>
    </row>
    <row r="62" ht="24" customHeight="1">
      <c r="A62" s="33" t="n"/>
      <c r="B62" s="33" t="n"/>
      <c r="C62" s="21">
        <f>$G62</f>
        <v/>
      </c>
      <c r="D62" s="33" t="n"/>
      <c r="E62" s="33" t="n"/>
      <c r="G62">
        <f>IFERROR(INDEX('שיבוץ'!$H$3:$H$152,MATCH("ארוחת צהריים"&amp;"|"&amp;3,'שיבוץ'!$L$3:$L$152,0))&amp;"","")</f>
        <v/>
      </c>
    </row>
    <row r="63" ht="24" customHeight="1">
      <c r="A63" s="33" t="n"/>
      <c r="B63" s="33" t="n"/>
      <c r="C63" s="21">
        <f>$G63</f>
        <v/>
      </c>
      <c r="D63" s="33" t="n"/>
      <c r="E63" s="33" t="n"/>
      <c r="G63">
        <f>IFERROR(INDEX('שיבוץ'!$H$3:$H$152,MATCH("ארוחת צהריים"&amp;"|"&amp;4,'שיבוץ'!$L$3:$L$152,0))&amp;"","")</f>
        <v/>
      </c>
    </row>
    <row r="64" ht="24" customHeight="1">
      <c r="A64" s="33" t="n"/>
      <c r="B64" s="33" t="n"/>
      <c r="C64" s="21">
        <f>$G64</f>
        <v/>
      </c>
      <c r="D64" s="33" t="n"/>
      <c r="E64" s="33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33" t="n"/>
      <c r="E65" s="33" t="n"/>
      <c r="G65">
        <f>IFERROR(INDEX('שיבוץ'!$H$3:$H$152,MATCH("חבורה עם איש צוות"&amp;"|"&amp;1,'שיבוץ'!$L$3:$L$152,0))&amp;"","")</f>
        <v/>
      </c>
    </row>
    <row r="66" ht="24" customHeight="1">
      <c r="A66" s="33" t="n"/>
      <c r="B66" s="33" t="n"/>
      <c r="C66" s="21">
        <f>$G66</f>
        <v/>
      </c>
      <c r="D66" s="33" t="n"/>
      <c r="E66" s="33" t="n"/>
      <c r="G66">
        <f>IFERROR(INDEX('שיבוץ'!$H$3:$H$152,MATCH("חבורה עם איש צוות"&amp;"|"&amp;2,'שיבוץ'!$L$3:$L$152,0))&amp;"","")</f>
        <v/>
      </c>
    </row>
    <row r="67" ht="24" customHeight="1">
      <c r="A67" s="33" t="n"/>
      <c r="B67" s="33" t="n"/>
      <c r="C67" s="21">
        <f>$G67</f>
        <v/>
      </c>
      <c r="D67" s="33" t="n"/>
      <c r="E67" s="33" t="n"/>
      <c r="G67">
        <f>IFERROR(INDEX('שיבוץ'!$H$3:$H$152,MATCH("חבורה עם איש צוות"&amp;"|"&amp;3,'שיבוץ'!$L$3:$L$152,0))&amp;"","")</f>
        <v/>
      </c>
    </row>
    <row r="68" ht="24" customHeight="1">
      <c r="A68" s="33" t="n"/>
      <c r="B68" s="33" t="n"/>
      <c r="C68" s="21">
        <f>$G68</f>
        <v/>
      </c>
      <c r="D68" s="33" t="n"/>
      <c r="E68" s="33" t="n"/>
      <c r="G68">
        <f>IFERROR(INDEX('שיבוץ'!$H$3:$H$152,MATCH("חבורה עם איש צוות"&amp;"|"&amp;4,'שיבוץ'!$L$3:$L$152,0))&amp;"","")</f>
        <v/>
      </c>
    </row>
    <row r="69" ht="24" customHeight="1">
      <c r="A69" s="33" t="n"/>
      <c r="B69" s="33" t="n"/>
      <c r="C69" s="21">
        <f>$G69</f>
        <v/>
      </c>
      <c r="D69" s="33" t="n"/>
      <c r="E69" s="33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33" t="n"/>
      <c r="E70" s="33" t="n"/>
      <c r="G70">
        <f>IFERROR(INDEX('שיבוץ'!$H$3:$H$152,MATCH("סעודה שלישית"&amp;"|"&amp;1,'שיבוץ'!$L$3:$L$152,0))&amp;"","")</f>
        <v/>
      </c>
    </row>
    <row r="71" ht="24" customHeight="1">
      <c r="A71" s="33" t="n"/>
      <c r="B71" s="33" t="n"/>
      <c r="C71" s="21">
        <f>$G71</f>
        <v/>
      </c>
      <c r="D71" s="33" t="n"/>
      <c r="E71" s="33" t="n"/>
      <c r="G71">
        <f>IFERROR(INDEX('שיבוץ'!$H$3:$H$152,MATCH("סעודה שלישית"&amp;"|"&amp;2,'שיבוץ'!$L$3:$L$152,0))&amp;"","")</f>
        <v/>
      </c>
    </row>
    <row r="72" ht="24" customHeight="1">
      <c r="A72" s="33" t="n"/>
      <c r="B72" s="33" t="n"/>
      <c r="C72" s="21">
        <f>$G72</f>
        <v/>
      </c>
      <c r="D72" s="33" t="n"/>
      <c r="E72" s="33" t="n"/>
      <c r="G72">
        <f>IFERROR(INDEX('שיבוץ'!$H$3:$H$152,MATCH("סעודה שלישית"&amp;"|"&amp;3,'שיבוץ'!$L$3:$L$152,0))&amp;"","")</f>
        <v/>
      </c>
    </row>
    <row r="73" ht="24" customHeight="1">
      <c r="A73" s="33" t="n"/>
      <c r="B73" s="33" t="n"/>
      <c r="C73" s="21">
        <f>$G73</f>
        <v/>
      </c>
      <c r="D73" s="33" t="n"/>
      <c r="E73" s="33" t="n"/>
      <c r="G73">
        <f>IFERROR(INDEX('שיבוץ'!$H$3:$H$152,MATCH("סעודה שלישית"&amp;"|"&amp;4,'שיבוץ'!$L$3:$L$152,0))&amp;"","")</f>
        <v/>
      </c>
    </row>
    <row r="74" ht="24" customHeight="1">
      <c r="A74" s="33" t="n"/>
      <c r="B74" s="33" t="n"/>
      <c r="C74" s="21">
        <f>$G74</f>
        <v/>
      </c>
      <c r="D74" s="33" t="n"/>
      <c r="E74" s="33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33" t="n"/>
      <c r="E75" s="33" t="n"/>
      <c r="G75">
        <f>IFERROR(INDEX('שיבוץ'!$H$3:$H$152,MATCH("הבדלה"&amp;"|"&amp;1,'שיבוץ'!$L$3:$L$152,0))&amp;"","")</f>
        <v/>
      </c>
    </row>
    <row r="76" ht="24" customHeight="1">
      <c r="A76" s="33" t="n"/>
      <c r="B76" s="33" t="n"/>
      <c r="C76" s="21">
        <f>$G76</f>
        <v/>
      </c>
      <c r="D76" s="33" t="n"/>
      <c r="E76" s="33" t="n"/>
      <c r="G76">
        <f>IFERROR(INDEX('שיבוץ'!$H$3:$H$152,MATCH("הבדלה"&amp;"|"&amp;2,'שיבוץ'!$L$3:$L$152,0))&amp;"","")</f>
        <v/>
      </c>
    </row>
    <row r="77" ht="24" customHeight="1">
      <c r="A77" s="33" t="n"/>
      <c r="B77" s="33" t="n"/>
      <c r="C77" s="21">
        <f>$G77</f>
        <v/>
      </c>
      <c r="D77" s="33" t="n"/>
      <c r="E77" s="33" t="n"/>
      <c r="G77">
        <f>IFERROR(INDEX('שיבוץ'!$H$3:$H$152,MATCH("הבדלה"&amp;"|"&amp;3,'שיבוץ'!$L$3:$L$152,0))&amp;"","")</f>
        <v/>
      </c>
    </row>
    <row r="78" ht="24" customHeight="1">
      <c r="A78" s="33" t="n"/>
      <c r="B78" s="33" t="n"/>
      <c r="C78" s="21">
        <f>$G78</f>
        <v/>
      </c>
      <c r="D78" s="33" t="n"/>
      <c r="E78" s="33" t="n"/>
      <c r="G78">
        <f>IFERROR(INDEX('שיבוץ'!$H$3:$H$152,MATCH("הבדלה"&amp;"|"&amp;4,'שיבוץ'!$L$3:$L$152,0))&amp;"","")</f>
        <v/>
      </c>
    </row>
    <row r="79" ht="24" customHeight="1">
      <c r="A79" s="33" t="n"/>
      <c r="B79" s="33" t="n"/>
      <c r="C79" s="21">
        <f>$G79</f>
        <v/>
      </c>
      <c r="D79" s="33" t="n"/>
      <c r="E79" s="33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33" t="n"/>
      <c r="E80" s="33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33" t="n"/>
      <c r="B81" s="33" t="n"/>
      <c r="C81" s="21">
        <f>$G81</f>
        <v/>
      </c>
      <c r="D81" s="33" t="n"/>
      <c r="E81" s="33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33" t="n"/>
      <c r="B82" s="33" t="n"/>
      <c r="C82" s="21">
        <f>$G82</f>
        <v/>
      </c>
      <c r="D82" s="33" t="n"/>
      <c r="E82" s="33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33" t="n"/>
      <c r="B83" s="33" t="n"/>
      <c r="C83" s="21">
        <f>$G83</f>
        <v/>
      </c>
      <c r="D83" s="33" t="n"/>
      <c r="E83" s="33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33" t="n"/>
      <c r="B84" s="33" t="n"/>
      <c r="C84" s="21">
        <f>$G84</f>
        <v/>
      </c>
      <c r="D84" s="33" t="n"/>
      <c r="E84" s="33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33" t="n"/>
      <c r="E85" s="33" t="n"/>
      <c r="G85">
        <f>IFERROR(INDEX('שיבוץ'!$H$3:$H$152,MATCH("כריכה לכריכה"&amp;"|"&amp;1,'שיבוץ'!$L$3:$L$152,0))&amp;"","")</f>
        <v/>
      </c>
    </row>
    <row r="86" ht="24" customHeight="1">
      <c r="A86" s="33" t="n"/>
      <c r="B86" s="33" t="n"/>
      <c r="C86" s="21">
        <f>$G86</f>
        <v/>
      </c>
      <c r="D86" s="33" t="n"/>
      <c r="E86" s="33" t="n"/>
      <c r="G86">
        <f>IFERROR(INDEX('שיבוץ'!$H$3:$H$152,MATCH("כריכה לכריכה"&amp;"|"&amp;2,'שיבוץ'!$L$3:$L$152,0))&amp;"","")</f>
        <v/>
      </c>
    </row>
    <row r="87" ht="24" customHeight="1">
      <c r="A87" s="33" t="n"/>
      <c r="B87" s="33" t="n"/>
      <c r="C87" s="21">
        <f>$G87</f>
        <v/>
      </c>
      <c r="D87" s="33" t="n"/>
      <c r="E87" s="33" t="n"/>
      <c r="G87">
        <f>IFERROR(INDEX('שיבוץ'!$H$3:$H$152,MATCH("כריכה לכריכה"&amp;"|"&amp;3,'שיבוץ'!$L$3:$L$152,0))&amp;"","")</f>
        <v/>
      </c>
    </row>
    <row r="88" ht="24" customHeight="1">
      <c r="A88" s="33" t="n"/>
      <c r="B88" s="33" t="n"/>
      <c r="C88" s="21">
        <f>$G88</f>
        <v/>
      </c>
      <c r="D88" s="33" t="n"/>
      <c r="E88" s="33" t="n"/>
      <c r="G88">
        <f>IFERROR(INDEX('שיבוץ'!$H$3:$H$152,MATCH("כריכה לכריכה"&amp;"|"&amp;4,'שיבוץ'!$L$3:$L$152,0))&amp;"","")</f>
        <v/>
      </c>
    </row>
    <row r="89" ht="24" customHeight="1">
      <c r="A89" s="33" t="n"/>
      <c r="B89" s="33" t="n"/>
      <c r="C89" s="21">
        <f>$G89</f>
        <v/>
      </c>
      <c r="D89" s="33" t="n"/>
      <c r="E89" s="33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33" t="n"/>
      <c r="E90" s="33" t="n"/>
      <c r="G90">
        <f>IFERROR(INDEX('שיבוץ'!$H$3:$H$152,MATCH("(ללא עוגן)"&amp;"|"&amp;1,'שיבוץ'!$L$3:$L$152,0))&amp;"","")</f>
        <v/>
      </c>
    </row>
    <row r="91" ht="24" customHeight="1">
      <c r="A91" s="33" t="n"/>
      <c r="B91" s="33" t="n"/>
      <c r="C91" s="21">
        <f>$G91</f>
        <v/>
      </c>
      <c r="D91" s="33" t="n"/>
      <c r="E91" s="33" t="n"/>
      <c r="G91">
        <f>IFERROR(INDEX('שיבוץ'!$H$3:$H$152,MATCH("(ללא עוגן)"&amp;"|"&amp;2,'שיבוץ'!$L$3:$L$152,0))&amp;"","")</f>
        <v/>
      </c>
    </row>
    <row r="92" ht="24" customHeight="1">
      <c r="A92" s="33" t="n"/>
      <c r="B92" s="33" t="n"/>
      <c r="C92" s="21">
        <f>$G92</f>
        <v/>
      </c>
      <c r="D92" s="33" t="n"/>
      <c r="E92" s="33" t="n"/>
      <c r="G92">
        <f>IFERROR(INDEX('שיבוץ'!$H$3:$H$152,MATCH("(ללא עוגן)"&amp;"|"&amp;3,'שיבוץ'!$L$3:$L$152,0))&amp;"","")</f>
        <v/>
      </c>
    </row>
    <row r="93" ht="24" customHeight="1">
      <c r="A93" s="33" t="n"/>
      <c r="B93" s="33" t="n"/>
      <c r="C93" s="21">
        <f>$G93</f>
        <v/>
      </c>
      <c r="D93" s="33" t="n"/>
      <c r="E93" s="33" t="n"/>
      <c r="G93">
        <f>IFERROR(INDEX('שיבוץ'!$H$3:$H$152,MATCH("(ללא עוגן)"&amp;"|"&amp;4,'שיבוץ'!$L$3:$L$152,0))&amp;"","")</f>
        <v/>
      </c>
    </row>
    <row r="94" ht="24" customHeight="1">
      <c r="A94" s="33" t="n"/>
      <c r="B94" s="33" t="n"/>
      <c r="C94" s="21">
        <f>$G94</f>
        <v/>
      </c>
      <c r="D94" s="33" t="n"/>
      <c r="E94" s="33" t="n"/>
      <c r="G94">
        <f>IFERROR(INDEX('שיבוץ'!$H$3:$H$152,MATCH("(ללא עוגן)"&amp;"|"&amp;5,'שיבוץ'!$L$3:$L$152,0))&amp;"","")</f>
        <v/>
      </c>
    </row>
    <row r="95" ht="24" customHeight="1">
      <c r="A95" s="33" t="n"/>
      <c r="B95" s="33" t="n"/>
      <c r="C95" s="21">
        <f>$G95</f>
        <v/>
      </c>
      <c r="D95" s="33" t="n"/>
      <c r="E95" s="33" t="n"/>
      <c r="G95">
        <f>IFERROR(INDEX('שיבוץ'!$H$3:$H$152,MATCH("(ללא עוגן)"&amp;"|"&amp;6,'שיבוץ'!$L$3:$L$152,0))&amp;"","")</f>
        <v/>
      </c>
    </row>
    <row r="96" ht="24" customHeight="1">
      <c r="A96" s="33" t="n"/>
      <c r="B96" s="33" t="n"/>
      <c r="C96" s="21">
        <f>$G96</f>
        <v/>
      </c>
      <c r="D96" s="33" t="n"/>
      <c r="E96" s="33" t="n"/>
      <c r="G96">
        <f>IFERROR(INDEX('שיבוץ'!$H$3:$H$152,MATCH("(ללא עוגן)"&amp;"|"&amp;7,'שיבוץ'!$L$3:$L$152,0))&amp;"","")</f>
        <v/>
      </c>
    </row>
    <row r="97" ht="24" customHeight="1">
      <c r="A97" s="33" t="n"/>
      <c r="B97" s="33" t="n"/>
      <c r="C97" s="21">
        <f>$G97</f>
        <v/>
      </c>
      <c r="D97" s="33" t="n"/>
      <c r="E97" s="33" t="n"/>
      <c r="G97">
        <f>IFERROR(INDEX('שיבוץ'!$H$3:$H$152,MATCH("(ללא עוגן)"&amp;"|"&amp;8,'שיבוץ'!$L$3:$L$152,0))&amp;"","")</f>
        <v/>
      </c>
    </row>
    <row r="98" ht="24" customHeight="1">
      <c r="A98" s="33" t="n"/>
      <c r="B98" s="33" t="n"/>
      <c r="C98" s="21">
        <f>$G98</f>
        <v/>
      </c>
      <c r="D98" s="33" t="n"/>
      <c r="E98" s="33" t="n"/>
      <c r="G98">
        <f>IFERROR(INDEX('שיבוץ'!$H$3:$H$152,MATCH("(ללא עוגן)"&amp;"|"&amp;9,'שיבוץ'!$L$3:$L$152,0))&amp;"","")</f>
        <v/>
      </c>
    </row>
    <row r="99" ht="24" customHeight="1">
      <c r="A99" s="33" t="n"/>
      <c r="B99" s="33" t="n"/>
      <c r="C99" s="21">
        <f>$G99</f>
        <v/>
      </c>
      <c r="D99" s="33" t="n"/>
      <c r="E99" s="33" t="n"/>
      <c r="G99">
        <f>IFERROR(INDEX('שיבוץ'!$H$3:$H$152,MATCH("(ללא עוגן)"&amp;"|"&amp;10,'שיבוץ'!$L$3:$L$152,0))&amp;"","")</f>
        <v/>
      </c>
    </row>
    <row r="100" ht="24" customHeight="1">
      <c r="A100" s="33" t="n"/>
      <c r="B100" s="33" t="n"/>
      <c r="C100" s="21">
        <f>$G100</f>
        <v/>
      </c>
      <c r="D100" s="33" t="n"/>
      <c r="E100" s="33" t="n"/>
      <c r="G100">
        <f>IFERROR(INDEX('שיבוץ'!$H$3:$H$152,MATCH("(ללא עוגן)"&amp;"|"&amp;11,'שיבוץ'!$L$3:$L$152,0))&amp;"","")</f>
        <v/>
      </c>
    </row>
    <row r="101" ht="24" customHeight="1">
      <c r="A101" s="33" t="n"/>
      <c r="B101" s="33" t="n"/>
      <c r="C101" s="21">
        <f>$G101</f>
        <v/>
      </c>
      <c r="D101" s="33" t="n"/>
      <c r="E101" s="33" t="n"/>
      <c r="G101">
        <f>IFERROR(INDEX('שיבוץ'!$H$3:$H$152,MATCH("(ללא עוגן)"&amp;"|"&amp;12,'שיבוץ'!$L$3:$L$152,0))&amp;"","")</f>
        <v/>
      </c>
    </row>
    <row r="102" ht="24" customHeight="1">
      <c r="A102" s="33" t="n"/>
      <c r="B102" s="33" t="n"/>
      <c r="C102" s="21">
        <f>$G102</f>
        <v/>
      </c>
      <c r="D102" s="33" t="n"/>
      <c r="E102" s="33" t="n"/>
      <c r="G102">
        <f>IFERROR(INDEX('שיבוץ'!$H$3:$H$152,MATCH("(ללא עוגן)"&amp;"|"&amp;13,'שיבוץ'!$L$3:$L$152,0))&amp;"","")</f>
        <v/>
      </c>
    </row>
    <row r="103" ht="24" customHeight="1">
      <c r="A103" s="33" t="n"/>
      <c r="B103" s="33" t="n"/>
      <c r="C103" s="21">
        <f>$G103</f>
        <v/>
      </c>
      <c r="D103" s="33" t="n"/>
      <c r="E103" s="33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31:E31"/>
    <mergeCell ref="C80:E80"/>
    <mergeCell ref="C40:E40"/>
    <mergeCell ref="A1:E1"/>
    <mergeCell ref="C21:E21"/>
    <mergeCell ref="B5:B9"/>
    <mergeCell ref="C51:E51"/>
    <mergeCell ref="C95:E95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n"/>
      <c r="B3" s="69" t="n"/>
      <c r="C3" s="82" t="n"/>
      <c r="D3" s="70" t="n"/>
      <c r="E3" s="83">
        <f>IF($D3="","",IFERROR(INDEX('מאגר משימות'!$A$3:$A$252,MATCH($D3,'מאגר משימות'!$D$3:$D$252,0)),""))</f>
        <v/>
      </c>
      <c r="F3" s="70" t="n"/>
      <c r="G3" s="69" t="n"/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IF($A3="","",IF(COUNTIF('קבוצות'!$A$3:$A$14,$A3)=0,"⚠ שם קבוצה לא מוכר",""))</f>
        <v/>
      </c>
    </row>
    <row r="4" ht="28" customHeight="1">
      <c r="A4" s="80" t="n"/>
      <c r="B4" s="69" t="n"/>
      <c r="C4" s="82" t="n"/>
      <c r="D4" s="70" t="n"/>
      <c r="E4" s="83">
        <f>IF($D4="","",IFERROR(INDEX('מאגר משימות'!$A$3:$A$252,MATCH($D4,'מאגר משימות'!$D$3:$D$252,0)),""))</f>
        <v/>
      </c>
      <c r="F4" s="70" t="n"/>
      <c r="G4" s="69" t="n"/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IF($A4="","",IF(COUNTIF('קבוצות'!$A$3:$A$14,$A4)=0,"⚠ שם קבוצה לא מוכר",""))</f>
        <v/>
      </c>
    </row>
    <row r="5" ht="28" customHeight="1">
      <c r="A5" s="80" t="n"/>
      <c r="B5" s="69" t="n"/>
      <c r="C5" s="82" t="n"/>
      <c r="D5" s="70" t="n"/>
      <c r="E5" s="83">
        <f>IF($D5="","",IFERROR(INDEX('מאגר משימות'!$A$3:$A$252,MATCH($D5,'מאגר משימות'!$D$3:$D$252,0)),""))</f>
        <v/>
      </c>
      <c r="F5" s="70" t="n"/>
      <c r="G5" s="69" t="n"/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IF($A5="","",IF(COUNTIF('קבוצות'!$A$3:$A$14,$A5)=0,"⚠ שם קבוצה לא מוכר",""))</f>
        <v/>
      </c>
    </row>
    <row r="6" ht="28" customHeight="1">
      <c r="A6" s="80" t="n"/>
      <c r="B6" s="69" t="n"/>
      <c r="C6" s="82" t="n"/>
      <c r="D6" s="70" t="n"/>
      <c r="E6" s="83">
        <f>IF($D6="","",IFERROR(INDEX('מאגר משימות'!$A$3:$A$252,MATCH($D6,'מאגר משימות'!$D$3:$D$252,0)),""))</f>
        <v/>
      </c>
      <c r="F6" s="70" t="n"/>
      <c r="G6" s="69" t="n"/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IF($A6="","",IF(COUNTIF('קבוצות'!$A$3:$A$14,$A6)=0,"⚠ שם קבוצה לא מוכר",""))</f>
        <v/>
      </c>
    </row>
    <row r="7" ht="28" customHeight="1">
      <c r="A7" s="80" t="n"/>
      <c r="B7" s="69" t="n"/>
      <c r="C7" s="82" t="n"/>
      <c r="D7" s="70" t="n"/>
      <c r="E7" s="83">
        <f>IF($D7="","",IFERROR(INDEX('מאגר משימות'!$A$3:$A$252,MATCH($D7,'מאגר משימות'!$D$3:$D$252,0)),""))</f>
        <v/>
      </c>
      <c r="F7" s="70" t="n"/>
      <c r="G7" s="69" t="n"/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IF($A7="","",IF(COUNTIF('קבוצות'!$A$3:$A$14,$A7)=0,"⚠ שם קבוצה לא מוכר",""))</f>
        <v/>
      </c>
    </row>
    <row r="8" ht="28" customHeight="1">
      <c r="A8" s="80" t="n"/>
      <c r="B8" s="69" t="n"/>
      <c r="C8" s="82" t="n"/>
      <c r="D8" s="70" t="n"/>
      <c r="E8" s="83">
        <f>IF($D8="","",IFERROR(INDEX('מאגר משימות'!$A$3:$A$252,MATCH($D8,'מאגר משימות'!$D$3:$D$252,0)),""))</f>
        <v/>
      </c>
      <c r="F8" s="70" t="n"/>
      <c r="G8" s="69" t="n"/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IF($A8="","",IF(COUNTIF('קבוצות'!$A$3:$A$14,$A8)=0,"⚠ שם קבוצה לא מוכר",""))</f>
        <v/>
      </c>
    </row>
    <row r="9" ht="28" customHeight="1">
      <c r="A9" s="80" t="n"/>
      <c r="B9" s="69" t="n"/>
      <c r="C9" s="82" t="n"/>
      <c r="D9" s="70" t="n"/>
      <c r="E9" s="83">
        <f>IF($D9="","",IFERROR(INDEX('מאגר משימות'!$A$3:$A$252,MATCH($D9,'מאגר משימות'!$D$3:$D$252,0)),""))</f>
        <v/>
      </c>
      <c r="F9" s="70" t="n"/>
      <c r="G9" s="69" t="n"/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IF($A9="","",IF(COUNTIF('קבוצות'!$A$3:$A$14,$A9)=0,"⚠ שם קבוצה לא מוכר",""))</f>
        <v/>
      </c>
    </row>
    <row r="10" ht="28" customHeight="1">
      <c r="A10" s="80" t="n"/>
      <c r="B10" s="69" t="n"/>
      <c r="C10" s="82" t="n"/>
      <c r="D10" s="70" t="n"/>
      <c r="E10" s="83">
        <f>IF($D10="","",IFERROR(INDEX('מאגר משימות'!$A$3:$A$252,MATCH($D10,'מאגר משימות'!$D$3:$D$252,0)),""))</f>
        <v/>
      </c>
      <c r="F10" s="70" t="n"/>
      <c r="G10" s="69" t="n"/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IF($A10="","",IF(COUNTIF('קבוצות'!$A$3:$A$14,$A10)=0,"⚠ שם קבוצה לא מוכר",""))</f>
        <v/>
      </c>
    </row>
    <row r="11" ht="28" customHeight="1">
      <c r="A11" s="80" t="n"/>
      <c r="B11" s="69" t="n"/>
      <c r="C11" s="82" t="n"/>
      <c r="D11" s="70" t="n"/>
      <c r="E11" s="83">
        <f>IF($D11="","",IFERROR(INDEX('מאגר משימות'!$A$3:$A$252,MATCH($D11,'מאגר משימות'!$D$3:$D$252,0)),""))</f>
        <v/>
      </c>
      <c r="F11" s="70" t="n"/>
      <c r="G11" s="69" t="n"/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IF($A11="","",IF(COUNTIF('קבוצות'!$A$3:$A$14,$A11)=0,"⚠ שם קבוצה לא מוכר",""))</f>
        <v/>
      </c>
    </row>
    <row r="12" ht="28" customHeight="1">
      <c r="A12" s="80" t="n"/>
      <c r="B12" s="69" t="n"/>
      <c r="C12" s="82" t="n"/>
      <c r="D12" s="70" t="n"/>
      <c r="E12" s="83">
        <f>IF($D12="","",IFERROR(INDEX('מאגר משימות'!$A$3:$A$252,MATCH($D12,'מאגר משימות'!$D$3:$D$252,0)),""))</f>
        <v/>
      </c>
      <c r="F12" s="70" t="n"/>
      <c r="G12" s="69" t="n"/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IF($A12="","",IF(COUNTIF('קבוצות'!$A$3:$A$14,$A12)=0,"⚠ שם קבוצה לא מוכר",""))</f>
        <v/>
      </c>
    </row>
    <row r="13" ht="28" customHeight="1">
      <c r="A13" s="80" t="n"/>
      <c r="B13" s="69" t="n"/>
      <c r="C13" s="82" t="n"/>
      <c r="D13" s="70" t="n"/>
      <c r="E13" s="83">
        <f>IF($D13="","",IFERROR(INDEX('מאגר משימות'!$A$3:$A$252,MATCH($D13,'מאגר משימות'!$D$3:$D$252,0)),""))</f>
        <v/>
      </c>
      <c r="F13" s="70" t="n"/>
      <c r="G13" s="69" t="n"/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IF($A13="","",IF(COUNTIF('קבוצות'!$A$3:$A$14,$A13)=0,"⚠ שם קבוצה לא מוכר",""))</f>
        <v/>
      </c>
    </row>
    <row r="14" ht="28" customHeight="1">
      <c r="A14" s="80" t="n"/>
      <c r="B14" s="69" t="n"/>
      <c r="C14" s="82" t="n"/>
      <c r="D14" s="70" t="n"/>
      <c r="E14" s="83">
        <f>IF($D14="","",IFERROR(INDEX('מאגר משימות'!$A$3:$A$252,MATCH($D14,'מאגר משימות'!$D$3:$D$252,0)),""))</f>
        <v/>
      </c>
      <c r="F14" s="70" t="n"/>
      <c r="G14" s="69" t="n"/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IF($A14="","",IF(COUNTIF('קבוצות'!$A$3:$A$14,$A14)=0,"⚠ שם קבוצה לא מוכר",""))</f>
        <v/>
      </c>
    </row>
    <row r="15" ht="28" customHeight="1">
      <c r="A15" s="80" t="n"/>
      <c r="B15" s="69" t="n"/>
      <c r="C15" s="82" t="n"/>
      <c r="D15" s="70" t="n"/>
      <c r="E15" s="83">
        <f>IF($D15="","",IFERROR(INDEX('מאגר משימות'!$A$3:$A$252,MATCH($D15,'מאגר משימות'!$D$3:$D$252,0)),""))</f>
        <v/>
      </c>
      <c r="F15" s="70" t="n"/>
      <c r="G15" s="69" t="n"/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IF($A15="","",IF(COUNTIF('קבוצות'!$A$3:$A$14,$A15)=0,"⚠ שם קבוצה לא מוכר",""))</f>
        <v/>
      </c>
    </row>
    <row r="16" ht="28" customHeight="1">
      <c r="A16" s="80" t="n"/>
      <c r="B16" s="69" t="n"/>
      <c r="C16" s="82" t="n"/>
      <c r="D16" s="70" t="n"/>
      <c r="E16" s="83">
        <f>IF($D16="","",IFERROR(INDEX('מאגר משימות'!$A$3:$A$252,MATCH($D16,'מאגר משימות'!$D$3:$D$252,0)),""))</f>
        <v/>
      </c>
      <c r="F16" s="70" t="n"/>
      <c r="G16" s="69" t="n"/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IF($A16="","",IF(COUNTIF('קבוצות'!$A$3:$A$14,$A16)=0,"⚠ שם קבוצה לא מוכר",""))</f>
        <v/>
      </c>
    </row>
    <row r="17" ht="28" customHeight="1">
      <c r="A17" s="80" t="n"/>
      <c r="B17" s="69" t="n"/>
      <c r="C17" s="82" t="n"/>
      <c r="D17" s="70" t="n"/>
      <c r="E17" s="83">
        <f>IF($D17="","",IFERROR(INDEX('מאגר משימות'!$A$3:$A$252,MATCH($D17,'מאגר משימות'!$D$3:$D$252,0)),""))</f>
        <v/>
      </c>
      <c r="F17" s="70" t="n"/>
      <c r="G17" s="69" t="n"/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IF($A17="","",IF(COUNTIF('קבוצות'!$A$3:$A$14,$A17)=0,"⚠ שם קבוצה לא מוכר",""))</f>
        <v/>
      </c>
    </row>
    <row r="18" ht="28" customHeight="1">
      <c r="A18" s="80" t="n"/>
      <c r="B18" s="69" t="n"/>
      <c r="C18" s="82" t="n"/>
      <c r="D18" s="70" t="n"/>
      <c r="E18" s="83">
        <f>IF($D18="","",IFERROR(INDEX('מאגר משימות'!$A$3:$A$252,MATCH($D18,'מאגר משימות'!$D$3:$D$252,0)),""))</f>
        <v/>
      </c>
      <c r="F18" s="70" t="n"/>
      <c r="G18" s="69" t="n"/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IF($A18="","",IF(COUNTIF('קבוצות'!$A$3:$A$14,$A18)=0,"⚠ שם קבוצה לא מוכר",""))</f>
        <v/>
      </c>
    </row>
    <row r="19" ht="28" customHeight="1">
      <c r="A19" s="80" t="n"/>
      <c r="B19" s="69" t="n"/>
      <c r="C19" s="82" t="n"/>
      <c r="D19" s="70" t="n"/>
      <c r="E19" s="83">
        <f>IF($D19="","",IFERROR(INDEX('מאגר משימות'!$A$3:$A$252,MATCH($D19,'מאגר משימות'!$D$3:$D$252,0)),""))</f>
        <v/>
      </c>
      <c r="F19" s="70" t="n"/>
      <c r="G19" s="69" t="n"/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IF($A19="","",IF(COUNTIF('קבוצות'!$A$3:$A$14,$A19)=0,"⚠ שם קבוצה לא מוכר",""))</f>
        <v/>
      </c>
    </row>
    <row r="20" ht="28" customHeight="1">
      <c r="A20" s="80" t="n"/>
      <c r="B20" s="69" t="n"/>
      <c r="C20" s="82" t="n"/>
      <c r="D20" s="70" t="n"/>
      <c r="E20" s="83">
        <f>IF($D20="","",IFERROR(INDEX('מאגר משימות'!$A$3:$A$252,MATCH($D20,'מאגר משימות'!$D$3:$D$252,0)),""))</f>
        <v/>
      </c>
      <c r="F20" s="70" t="n"/>
      <c r="G20" s="69" t="n"/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IF($A20="","",IF(COUNTIF('קבוצות'!$A$3:$A$14,$A20)=0,"⚠ שם קבוצה לא מוכר",""))</f>
        <v/>
      </c>
    </row>
    <row r="21" ht="28" customHeight="1">
      <c r="A21" s="80" t="n"/>
      <c r="B21" s="69" t="n"/>
      <c r="C21" s="82" t="n"/>
      <c r="D21" s="70" t="n"/>
      <c r="E21" s="83">
        <f>IF($D21="","",IFERROR(INDEX('מאגר משימות'!$A$3:$A$252,MATCH($D21,'מאגר משימות'!$D$3:$D$252,0)),""))</f>
        <v/>
      </c>
      <c r="F21" s="70" t="n"/>
      <c r="G21" s="69" t="n"/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IF($A21="","",IF(COUNTIF('קבוצות'!$A$3:$A$14,$A21)=0,"⚠ שם קבוצה לא מוכר",""))</f>
        <v/>
      </c>
    </row>
    <row r="22" ht="28" customHeight="1">
      <c r="A22" s="80" t="n"/>
      <c r="B22" s="69" t="n"/>
      <c r="C22" s="82" t="n"/>
      <c r="D22" s="70" t="n"/>
      <c r="E22" s="83">
        <f>IF($D22="","",IFERROR(INDEX('מאגר משימות'!$A$3:$A$252,MATCH($D22,'מאגר משימות'!$D$3:$D$252,0)),""))</f>
        <v/>
      </c>
      <c r="F22" s="70" t="n"/>
      <c r="G22" s="69" t="n"/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IF($A22="","",IF(COUNTIF('קבוצות'!$A$3:$A$14,$A22)=0,"⚠ שם קבוצה לא מוכר",""))</f>
        <v/>
      </c>
    </row>
    <row r="23" ht="28" customHeight="1">
      <c r="A23" s="80" t="n"/>
      <c r="B23" s="69" t="n"/>
      <c r="C23" s="82" t="n"/>
      <c r="D23" s="70" t="n"/>
      <c r="E23" s="83">
        <f>IF($D23="","",IFERROR(INDEX('מאגר משימות'!$A$3:$A$252,MATCH($D23,'מאגר משימות'!$D$3:$D$252,0)),""))</f>
        <v/>
      </c>
      <c r="F23" s="70" t="n"/>
      <c r="G23" s="69" t="n"/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IF($A23="","",IF(COUNTIF('קבוצות'!$A$3:$A$14,$A23)=0,"⚠ שם קבוצה לא מוכר",""))</f>
        <v/>
      </c>
    </row>
    <row r="24" ht="28" customHeight="1">
      <c r="A24" s="80" t="n"/>
      <c r="B24" s="69" t="n"/>
      <c r="C24" s="82" t="n"/>
      <c r="D24" s="70" t="n"/>
      <c r="E24" s="83">
        <f>IF($D24="","",IFERROR(INDEX('מאגר משימות'!$A$3:$A$252,MATCH($D24,'מאגר משימות'!$D$3:$D$252,0)),""))</f>
        <v/>
      </c>
      <c r="F24" s="70" t="n"/>
      <c r="G24" s="69" t="n"/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IF($A24="","",IF(COUNTIF('קבוצות'!$A$3:$A$14,$A24)=0,"⚠ שם קבוצה לא מוכר",""))</f>
        <v/>
      </c>
    </row>
    <row r="25" ht="28" customHeight="1">
      <c r="A25" s="80" t="n"/>
      <c r="B25" s="69" t="n"/>
      <c r="C25" s="82" t="n"/>
      <c r="D25" s="70" t="n"/>
      <c r="E25" s="83">
        <f>IF($D25="","",IFERROR(INDEX('מאגר משימות'!$A$3:$A$252,MATCH($D25,'מאגר משימות'!$D$3:$D$252,0)),""))</f>
        <v/>
      </c>
      <c r="F25" s="70" t="n"/>
      <c r="G25" s="69" t="n"/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IF($A25="","",IF(COUNTIF('קבוצות'!$A$3:$A$14,$A25)=0,"⚠ שם קבוצה לא מוכר",""))</f>
        <v/>
      </c>
    </row>
    <row r="26" ht="28" customHeight="1">
      <c r="A26" s="80" t="n"/>
      <c r="B26" s="69" t="n"/>
      <c r="C26" s="82" t="n"/>
      <c r="D26" s="70" t="n"/>
      <c r="E26" s="83">
        <f>IF($D26="","",IFERROR(INDEX('מאגר משימות'!$A$3:$A$252,MATCH($D26,'מאגר משימות'!$D$3:$D$252,0)),""))</f>
        <v/>
      </c>
      <c r="F26" s="70" t="n"/>
      <c r="G26" s="69" t="n"/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IF($A26="","",IF(COUNTIF('קבוצות'!$A$3:$A$14,$A26)=0,"⚠ שם קבוצה לא מוכר",""))</f>
        <v/>
      </c>
    </row>
    <row r="27" ht="28" customHeight="1">
      <c r="A27" s="80" t="n"/>
      <c r="B27" s="69" t="n"/>
      <c r="C27" s="82" t="n"/>
      <c r="D27" s="70" t="n"/>
      <c r="E27" s="83">
        <f>IF($D27="","",IFERROR(INDEX('מאגר משימות'!$A$3:$A$252,MATCH($D27,'מאגר משימות'!$D$3:$D$252,0)),""))</f>
        <v/>
      </c>
      <c r="F27" s="70" t="n"/>
      <c r="G27" s="69" t="n"/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IF($A27="","",IF(COUNTIF('קבוצות'!$A$3:$A$14,$A27)=0,"⚠ שם קבוצה לא מוכר",""))</f>
        <v/>
      </c>
    </row>
    <row r="28" ht="28" customHeight="1">
      <c r="A28" s="80" t="n"/>
      <c r="B28" s="69" t="n"/>
      <c r="C28" s="82" t="n"/>
      <c r="D28" s="70" t="n"/>
      <c r="E28" s="83">
        <f>IF($D28="","",IFERROR(INDEX('מאגר משימות'!$A$3:$A$252,MATCH($D28,'מאגר משימות'!$D$3:$D$252,0)),""))</f>
        <v/>
      </c>
      <c r="F28" s="70" t="n"/>
      <c r="G28" s="69" t="n"/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IF($A28="","",IF(COUNTIF('קבוצות'!$A$3:$A$14,$A28)=0,"⚠ שם קבוצה לא מוכר",""))</f>
        <v/>
      </c>
    </row>
    <row r="29" ht="28" customHeight="1">
      <c r="A29" s="80" t="n"/>
      <c r="B29" s="69" t="n"/>
      <c r="C29" s="82" t="n"/>
      <c r="D29" s="70" t="n"/>
      <c r="E29" s="83">
        <f>IF($D29="","",IFERROR(INDEX('מאגר משימות'!$A$3:$A$252,MATCH($D29,'מאגר משימות'!$D$3:$D$252,0)),""))</f>
        <v/>
      </c>
      <c r="F29" s="70" t="n"/>
      <c r="G29" s="69" t="n"/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IF($A29="","",IF(COUNTIF('קבוצות'!$A$3:$A$14,$A29)=0,"⚠ שם קבוצה לא מוכר",""))</f>
        <v/>
      </c>
    </row>
    <row r="30" ht="28" customHeight="1">
      <c r="A30" s="80" t="n"/>
      <c r="B30" s="69" t="n"/>
      <c r="C30" s="82" t="n"/>
      <c r="D30" s="70" t="n"/>
      <c r="E30" s="83">
        <f>IF($D30="","",IFERROR(INDEX('מאגר משימות'!$A$3:$A$252,MATCH($D30,'מאגר משימות'!$D$3:$D$252,0)),""))</f>
        <v/>
      </c>
      <c r="F30" s="70" t="n"/>
      <c r="G30" s="69" t="n"/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IF($A30="","",IF(COUNTIF('קבוצות'!$A$3:$A$14,$A30)=0,"⚠ שם קבוצה לא מוכר",""))</f>
        <v/>
      </c>
    </row>
    <row r="31" ht="28" customHeight="1">
      <c r="A31" s="80" t="n"/>
      <c r="B31" s="69" t="n"/>
      <c r="C31" s="82" t="n"/>
      <c r="D31" s="70" t="n"/>
      <c r="E31" s="83">
        <f>IF($D31="","",IFERROR(INDEX('מאגר משימות'!$A$3:$A$252,MATCH($D31,'מאגר משימות'!$D$3:$D$252,0)),""))</f>
        <v/>
      </c>
      <c r="F31" s="70" t="n"/>
      <c r="G31" s="69" t="n"/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IF($A31="","",IF(COUNTIF('קבוצות'!$A$3:$A$14,$A31)=0,"⚠ שם קבוצה לא מוכר",""))</f>
        <v/>
      </c>
    </row>
    <row r="32" ht="28" customHeight="1">
      <c r="A32" s="80" t="n"/>
      <c r="B32" s="69" t="n"/>
      <c r="C32" s="82" t="n"/>
      <c r="D32" s="70" t="n"/>
      <c r="E32" s="83">
        <f>IF($D32="","",IFERROR(INDEX('מאגר משימות'!$A$3:$A$252,MATCH($D32,'מאגר משימות'!$D$3:$D$252,0)),""))</f>
        <v/>
      </c>
      <c r="F32" s="70" t="n"/>
      <c r="G32" s="69" t="n"/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IF($A32="","",IF(COUNTIF('קבוצות'!$A$3:$A$14,$A32)=0,"⚠ שם קבוצה לא מוכר",""))</f>
        <v/>
      </c>
    </row>
    <row r="33" ht="28" customHeight="1">
      <c r="A33" s="80" t="n"/>
      <c r="B33" s="69" t="n"/>
      <c r="C33" s="82" t="n"/>
      <c r="D33" s="70" t="n"/>
      <c r="E33" s="83">
        <f>IF($D33="","",IFERROR(INDEX('מאגר משימות'!$A$3:$A$252,MATCH($D33,'מאגר משימות'!$D$3:$D$252,0)),""))</f>
        <v/>
      </c>
      <c r="F33" s="70" t="n"/>
      <c r="G33" s="69" t="n"/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IF($A33="","",IF(COUNTIF('קבוצות'!$A$3:$A$14,$A33)=0,"⚠ שם קבוצה לא מוכר",""))</f>
        <v/>
      </c>
    </row>
    <row r="34" ht="28" customHeight="1">
      <c r="A34" s="80" t="n"/>
      <c r="B34" s="69" t="n"/>
      <c r="C34" s="82" t="n"/>
      <c r="D34" s="70" t="n"/>
      <c r="E34" s="83">
        <f>IF($D34="","",IFERROR(INDEX('מאגר משימות'!$A$3:$A$252,MATCH($D34,'מאגר משימות'!$D$3:$D$252,0)),""))</f>
        <v/>
      </c>
      <c r="F34" s="70" t="n"/>
      <c r="G34" s="69" t="n"/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IF($A34="","",IF(COUNTIF('קבוצות'!$A$3:$A$14,$A34)=0,"⚠ שם קבוצה לא מוכר",""))</f>
        <v/>
      </c>
    </row>
    <row r="35" ht="28" customHeight="1">
      <c r="A35" s="80" t="n"/>
      <c r="B35" s="69" t="n"/>
      <c r="C35" s="82" t="n"/>
      <c r="D35" s="70" t="n"/>
      <c r="E35" s="83">
        <f>IF($D35="","",IFERROR(INDEX('מאגר משימות'!$A$3:$A$252,MATCH($D35,'מאגר משימות'!$D$3:$D$252,0)),""))</f>
        <v/>
      </c>
      <c r="F35" s="70" t="n"/>
      <c r="G35" s="69" t="n"/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IF($A35="","",IF(COUNTIF('קבוצות'!$A$3:$A$14,$A35)=0,"⚠ שם קבוצה לא מוכר",""))</f>
        <v/>
      </c>
    </row>
    <row r="36" ht="28" customHeight="1">
      <c r="A36" s="80" t="n"/>
      <c r="B36" s="69" t="n"/>
      <c r="C36" s="82" t="n"/>
      <c r="D36" s="70" t="n"/>
      <c r="E36" s="83">
        <f>IF($D36="","",IFERROR(INDEX('מאגר משימות'!$A$3:$A$252,MATCH($D36,'מאגר משימות'!$D$3:$D$252,0)),""))</f>
        <v/>
      </c>
      <c r="F36" s="70" t="n"/>
      <c r="G36" s="69" t="n"/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IF($A36="","",IF(COUNTIF('קבוצות'!$A$3:$A$14,$A36)=0,"⚠ שם קבוצה לא מוכר",""))</f>
        <v/>
      </c>
    </row>
    <row r="37" ht="28" customHeight="1">
      <c r="A37" s="80" t="n"/>
      <c r="B37" s="69" t="n"/>
      <c r="C37" s="82" t="n"/>
      <c r="D37" s="70" t="n"/>
      <c r="E37" s="83">
        <f>IF($D37="","",IFERROR(INDEX('מאגר משימות'!$A$3:$A$252,MATCH($D37,'מאגר משימות'!$D$3:$D$252,0)),""))</f>
        <v/>
      </c>
      <c r="F37" s="70" t="n"/>
      <c r="G37" s="69" t="n"/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IF($A37="","",IF(COUNTIF('קבוצות'!$A$3:$A$14,$A37)=0,"⚠ שם קבוצה לא מוכר",""))</f>
        <v/>
      </c>
    </row>
    <row r="38" ht="28" customHeight="1">
      <c r="A38" s="80" t="n"/>
      <c r="B38" s="69" t="n"/>
      <c r="C38" s="82" t="n"/>
      <c r="D38" s="70" t="n"/>
      <c r="E38" s="83">
        <f>IF($D38="","",IFERROR(INDEX('מאגר משימות'!$A$3:$A$252,MATCH($D38,'מאגר משימות'!$D$3:$D$252,0)),""))</f>
        <v/>
      </c>
      <c r="F38" s="70" t="n"/>
      <c r="G38" s="69" t="n"/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IF($A38="","",IF(COUNTIF('קבוצות'!$A$3:$A$14,$A38)=0,"⚠ שם קבוצה לא מוכר",""))</f>
        <v/>
      </c>
    </row>
    <row r="39" ht="28" customHeight="1">
      <c r="A39" s="80" t="n"/>
      <c r="B39" s="69" t="n"/>
      <c r="C39" s="82" t="n"/>
      <c r="D39" s="70" t="n"/>
      <c r="E39" s="83">
        <f>IF($D39="","",IFERROR(INDEX('מאגר משימות'!$A$3:$A$252,MATCH($D39,'מאגר משימות'!$D$3:$D$252,0)),""))</f>
        <v/>
      </c>
      <c r="F39" s="70" t="n"/>
      <c r="G39" s="69" t="n"/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IF($A39="","",IF(COUNTIF('קבוצות'!$A$3:$A$14,$A39)=0,"⚠ שם קבוצה לא מוכר",""))</f>
        <v/>
      </c>
    </row>
    <row r="40" ht="28" customHeight="1">
      <c r="A40" s="80" t="n"/>
      <c r="B40" s="69" t="n"/>
      <c r="C40" s="82" t="n"/>
      <c r="D40" s="70" t="n"/>
      <c r="E40" s="83">
        <f>IF($D40="","",IFERROR(INDEX('מאגר משימות'!$A$3:$A$252,MATCH($D40,'מאגר משימות'!$D$3:$D$252,0)),""))</f>
        <v/>
      </c>
      <c r="F40" s="70" t="n"/>
      <c r="G40" s="69" t="n"/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IF($A40="","",IF(COUNTIF('קבוצות'!$A$3:$A$14,$A40)=0,"⚠ שם קבוצה לא מוכר",""))</f>
        <v/>
      </c>
    </row>
    <row r="41" ht="28" customHeight="1">
      <c r="A41" s="80" t="n"/>
      <c r="B41" s="69" t="n"/>
      <c r="C41" s="82" t="n"/>
      <c r="D41" s="70" t="n"/>
      <c r="E41" s="83">
        <f>IF($D41="","",IFERROR(INDEX('מאגר משימות'!$A$3:$A$252,MATCH($D41,'מאגר משימות'!$D$3:$D$252,0)),""))</f>
        <v/>
      </c>
      <c r="F41" s="70" t="n"/>
      <c r="G41" s="69" t="n"/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IF($A41="","",IF(COUNTIF('קבוצות'!$A$3:$A$14,$A41)=0,"⚠ שם קבוצה לא מוכר",""))</f>
        <v/>
      </c>
    </row>
    <row r="42" ht="28" customHeight="1">
      <c r="A42" s="80" t="n"/>
      <c r="B42" s="69" t="n"/>
      <c r="C42" s="82" t="n"/>
      <c r="D42" s="70" t="n"/>
      <c r="E42" s="83">
        <f>IF($D42="","",IFERROR(INDEX('מאגר משימות'!$A$3:$A$252,MATCH($D42,'מאגר משימות'!$D$3:$D$252,0)),""))</f>
        <v/>
      </c>
      <c r="F42" s="70" t="n"/>
      <c r="G42" s="69" t="n"/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IF($A42="","",IF(COUNTIF('קבוצות'!$A$3:$A$14,$A42)=0,"⚠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IF($A43="","",IF(COUNTIF('קבוצות'!$A$3:$A$14,$A43)=0,"⚠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IF($A44="","",IF(COUNTIF('קבוצות'!$A$3:$A$14,$A44)=0,"⚠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IF($A45="","",IF(COUNTIF('קבוצות'!$A$3:$A$14,$A45)=0,"⚠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IF($A46="","",IF(COUNTIF('קבוצות'!$A$3:$A$14,$A46)=0,"⚠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IF($A47="","",IF(COUNTIF('קבוצות'!$A$3:$A$14,$A47)=0,"⚠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IF($A48="","",IF(COUNTIF('קבוצות'!$A$3:$A$14,$A48)=0,"⚠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IF($A49="","",IF(COUNTIF('קבוצות'!$A$3:$A$14,$A49)=0,"⚠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IF($A50="","",IF(COUNTIF('קבוצות'!$A$3:$A$14,$A50)=0,"⚠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IF($A51="","",IF(COUNTIF('קבוצות'!$A$3:$A$14,$A51)=0,"⚠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IF($A52="","",IF(COUNTIF('קבוצות'!$A$3:$A$14,$A52)=0,"⚠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IF($A53="","",IF(COUNTIF('קבוצות'!$A$3:$A$14,$A53)=0,"⚠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IF($A54="","",IF(COUNTIF('קבוצות'!$A$3:$A$14,$A54)=0,"⚠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IF($A55="","",IF(COUNTIF('קבוצות'!$A$3:$A$14,$A55)=0,"⚠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IF($A56="","",IF(COUNTIF('קבוצות'!$A$3:$A$14,$A56)=0,"⚠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IF($A57="","",IF(COUNTIF('קבוצות'!$A$3:$A$14,$A57)=0,"⚠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IF($A58="","",IF(COUNTIF('קבוצות'!$A$3:$A$14,$A58)=0,"⚠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IF($A59="","",IF(COUNTIF('קבוצות'!$A$3:$A$14,$A59)=0,"⚠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IF($A60="","",IF(COUNTIF('קבוצות'!$A$3:$A$14,$A60)=0,"⚠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IF($A61="","",IF(COUNTIF('קבוצות'!$A$3:$A$14,$A61)=0,"⚠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IF($A62="","",IF(COUNTIF('קבוצות'!$A$3:$A$14,$A62)=0,"⚠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IF($A63="","",IF(COUNTIF('קבוצות'!$A$3:$A$14,$A63)=0,"⚠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IF($A64="","",IF(COUNTIF('קבוצות'!$A$3:$A$14,$A64)=0,"⚠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IF($A65="","",IF(COUNTIF('קבוצות'!$A$3:$A$14,$A65)=0,"⚠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IF($A66="","",IF(COUNTIF('קבוצות'!$A$3:$A$14,$A66)=0,"⚠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IF($A67="","",IF(COUNTIF('קבוצות'!$A$3:$A$14,$A67)=0,"⚠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IF($A68="","",IF(COUNTIF('קבוצות'!$A$3:$A$14,$A68)=0,"⚠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IF($A69="","",IF(COUNTIF('קבוצות'!$A$3:$A$14,$A69)=0,"⚠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IF($A70="","",IF(COUNTIF('קבוצות'!$A$3:$A$14,$A70)=0,"⚠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IF($A71="","",IF(COUNTIF('קבוצות'!$A$3:$A$14,$A71)=0,"⚠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IF($A72="","",IF(COUNTIF('קבוצות'!$A$3:$A$14,$A72)=0,"⚠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IF($A73="","",IF(COUNTIF('קבוצות'!$A$3:$A$14,$A73)=0,"⚠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IF($A74="","",IF(COUNTIF('קבוצות'!$A$3:$A$14,$A74)=0,"⚠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IF($A75="","",IF(COUNTIF('קבוצות'!$A$3:$A$14,$A75)=0,"⚠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IF($A76="","",IF(COUNTIF('קבוצות'!$A$3:$A$14,$A76)=0,"⚠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IF($A77="","",IF(COUNTIF('קבוצות'!$A$3:$A$14,$A77)=0,"⚠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IF($A78="","",IF(COUNTIF('קבוצות'!$A$3:$A$14,$A78)=0,"⚠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IF($A79="","",IF(COUNTIF('קבוצות'!$A$3:$A$14,$A79)=0,"⚠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IF($A80="","",IF(COUNTIF('קבוצות'!$A$3:$A$14,$A80)=0,"⚠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IF($A81="","",IF(COUNTIF('קבוצות'!$A$3:$A$14,$A81)=0,"⚠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IF($A82="","",IF(COUNTIF('קבוצות'!$A$3:$A$14,$A82)=0,"⚠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IF($A83="","",IF(COUNTIF('קבוצות'!$A$3:$A$14,$A83)=0,"⚠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IF($A84="","",IF(COUNTIF('קבוצות'!$A$3:$A$14,$A84)=0,"⚠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IF($A85="","",IF(COUNTIF('קבוצות'!$A$3:$A$14,$A85)=0,"⚠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IF($A86="","",IF(COUNTIF('קבוצות'!$A$3:$A$14,$A86)=0,"⚠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IF($A87="","",IF(COUNTIF('קבוצות'!$A$3:$A$14,$A87)=0,"⚠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IF($A88="","",IF(COUNTIF('קבוצות'!$A$3:$A$14,$A88)=0,"⚠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IF($A89="","",IF(COUNTIF('קבוצות'!$A$3:$A$14,$A89)=0,"⚠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IF($A90="","",IF(COUNTIF('קבוצות'!$A$3:$A$14,$A90)=0,"⚠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IF($A91="","",IF(COUNTIF('קבוצות'!$A$3:$A$14,$A91)=0,"⚠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IF($A92="","",IF(COUNTIF('קבוצות'!$A$3:$A$14,$A92)=0,"⚠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IF($A93="","",IF(COUNTIF('קבוצות'!$A$3:$A$14,$A93)=0,"⚠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IF($A94="","",IF(COUNTIF('קבוצות'!$A$3:$A$14,$A94)=0,"⚠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IF($A95="","",IF(COUNTIF('קבוצות'!$A$3:$A$14,$A95)=0,"⚠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IF($A96="","",IF(COUNTIF('קבוצות'!$A$3:$A$14,$A96)=0,"⚠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IF($A97="","",IF(COUNTIF('קבוצות'!$A$3:$A$14,$A97)=0,"⚠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IF($A98="","",IF(COUNTIF('קבוצות'!$A$3:$A$14,$A98)=0,"⚠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IF($A99="","",IF(COUNTIF('קבוצות'!$A$3:$A$14,$A99)=0,"⚠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IF($A100="","",IF(COUNTIF('קבוצות'!$A$3:$A$14,$A100)=0,"⚠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IF($A101="","",IF(COUNTIF('קבוצות'!$A$3:$A$14,$A101)=0,"⚠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IF($A102="","",IF(COUNTIF('קבוצות'!$A$3:$A$14,$A102)=0,"⚠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IF($A103="","",IF(COUNTIF('קבוצות'!$A$3:$A$14,$A103)=0,"⚠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IF($A104="","",IF(COUNTIF('קבוצות'!$A$3:$A$14,$A104)=0,"⚠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IF($A105="","",IF(COUNTIF('קבוצות'!$A$3:$A$14,$A105)=0,"⚠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IF($A106="","",IF(COUNTIF('קבוצות'!$A$3:$A$14,$A106)=0,"⚠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IF($A107="","",IF(COUNTIF('קבוצות'!$A$3:$A$14,$A107)=0,"⚠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IF($A108="","",IF(COUNTIF('קבוצות'!$A$3:$A$14,$A108)=0,"⚠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IF($A109="","",IF(COUNTIF('קבוצות'!$A$3:$A$14,$A109)=0,"⚠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IF($A110="","",IF(COUNTIF('קבוצות'!$A$3:$A$14,$A110)=0,"⚠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IF($A111="","",IF(COUNTIF('קבוצות'!$A$3:$A$14,$A111)=0,"⚠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IF($A112="","",IF(COUNTIF('קבוצות'!$A$3:$A$14,$A112)=0,"⚠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IF($A113="","",IF(COUNTIF('קבוצות'!$A$3:$A$14,$A113)=0,"⚠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IF($A114="","",IF(COUNTIF('קבוצות'!$A$3:$A$14,$A114)=0,"⚠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IF($A115="","",IF(COUNTIF('קבוצות'!$A$3:$A$14,$A115)=0,"⚠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IF($A116="","",IF(COUNTIF('קבוצות'!$A$3:$A$14,$A116)=0,"⚠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IF($A117="","",IF(COUNTIF('קבוצות'!$A$3:$A$14,$A117)=0,"⚠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IF($A118="","",IF(COUNTIF('קבוצות'!$A$3:$A$14,$A118)=0,"⚠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IF($A119="","",IF(COUNTIF('קבוצות'!$A$3:$A$14,$A119)=0,"⚠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IF($A120="","",IF(COUNTIF('קבוצות'!$A$3:$A$14,$A120)=0,"⚠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IF($A121="","",IF(COUNTIF('קבוצות'!$A$3:$A$14,$A121)=0,"⚠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IF($A122="","",IF(COUNTIF('קבוצות'!$A$3:$A$14,$A122)=0,"⚠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IF($A123="","",IF(COUNTIF('קבוצות'!$A$3:$A$14,$A123)=0,"⚠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IF($A124="","",IF(COUNTIF('קבוצות'!$A$3:$A$14,$A124)=0,"⚠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IF($A125="","",IF(COUNTIF('קבוצות'!$A$3:$A$14,$A125)=0,"⚠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IF($A126="","",IF(COUNTIF('קבוצות'!$A$3:$A$14,$A126)=0,"⚠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IF($A127="","",IF(COUNTIF('קבוצות'!$A$3:$A$14,$A127)=0,"⚠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IF($A128="","",IF(COUNTIF('קבוצות'!$A$3:$A$14,$A128)=0,"⚠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IF($A129="","",IF(COUNTIF('קבוצות'!$A$3:$A$14,$A129)=0,"⚠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IF($A130="","",IF(COUNTIF('קבוצות'!$A$3:$A$14,$A130)=0,"⚠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IF($A131="","",IF(COUNTIF('קבוצות'!$A$3:$A$14,$A131)=0,"⚠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IF($A132="","",IF(COUNTIF('קבוצות'!$A$3:$A$14,$A132)=0,"⚠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IF($A133="","",IF(COUNTIF('קבוצות'!$A$3:$A$14,$A133)=0,"⚠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IF($A134="","",IF(COUNTIF('קבוצות'!$A$3:$A$14,$A134)=0,"⚠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IF($A135="","",IF(COUNTIF('קבוצות'!$A$3:$A$14,$A135)=0,"⚠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IF($A136="","",IF(COUNTIF('קבוצות'!$A$3:$A$14,$A136)=0,"⚠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IF($A137="","",IF(COUNTIF('קבוצות'!$A$3:$A$14,$A137)=0,"⚠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IF($A138="","",IF(COUNTIF('קבוצות'!$A$3:$A$14,$A138)=0,"⚠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IF($A139="","",IF(COUNTIF('קבוצות'!$A$3:$A$14,$A139)=0,"⚠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IF($A140="","",IF(COUNTIF('קבוצות'!$A$3:$A$14,$A140)=0,"⚠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IF($A141="","",IF(COUNTIF('קבוצות'!$A$3:$A$14,$A141)=0,"⚠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IF($A142="","",IF(COUNTIF('קבוצות'!$A$3:$A$14,$A142)=0,"⚠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IF($A143="","",IF(COUNTIF('קבוצות'!$A$3:$A$14,$A143)=0,"⚠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IF($A144="","",IF(COUNTIF('קבוצות'!$A$3:$A$14,$A144)=0,"⚠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IF($A145="","",IF(COUNTIF('קבוצות'!$A$3:$A$14,$A145)=0,"⚠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IF($A146="","",IF(COUNTIF('קבוצות'!$A$3:$A$14,$A146)=0,"⚠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IF($A147="","",IF(COUNTIF('קבוצות'!$A$3:$A$14,$A147)=0,"⚠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IF($A148="","",IF(COUNTIF('קבוצות'!$A$3:$A$14,$A148)=0,"⚠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IF($A149="","",IF(COUNTIF('קבוצות'!$A$3:$A$14,$A149)=0,"⚠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IF($A150="","",IF(COUNTIF('קבוצות'!$A$3:$A$14,$A150)=0,"⚠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IF($A151="","",IF(COUNTIF('קבוצות'!$A$3:$A$14,$A151)=0,"⚠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IF($A152="","",IF(COUNTIF('קבוצות'!$A$3:$A$14,$A152)=0,"⚠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'קבוצות'!$A$3:$A$14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'קבוצות'!$A$3:$A$14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Q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n"/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  <c r="L3" s="85">
        <f>IF(AND($B3&lt;&gt;"",$B3='קבוצות'!$A$9),$A3,"")</f>
        <v/>
      </c>
      <c r="M3" s="85">
        <f>IF(AND($B3&lt;&gt;"",$B3='קבוצות'!$A$10),$A3,"")</f>
        <v/>
      </c>
      <c r="N3" s="85">
        <f>IF(AND($B3&lt;&gt;"",$B3='קבוצות'!$A$11),$A3,"")</f>
        <v/>
      </c>
      <c r="O3" s="85">
        <f>IF(AND($B3&lt;&gt;"",$B3='קבוצות'!$A$12),$A3,"")</f>
        <v/>
      </c>
      <c r="P3" s="85">
        <f>IF(AND($B3&lt;&gt;"",$B3='קבוצות'!$A$13),$A3,"")</f>
        <v/>
      </c>
      <c r="Q3" s="85">
        <f>IF(AND($B3&lt;&gt;"",$B3='קבוצות'!$A$14),$A3,"")</f>
        <v/>
      </c>
    </row>
    <row r="4" ht="20" customHeight="1">
      <c r="A4" s="19" t="inlineStr">
        <is>
          <t>איתן וינסטון</t>
        </is>
      </c>
      <c r="B4" s="69" t="n"/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  <c r="L4" s="85">
        <f>IF(AND($B4&lt;&gt;"",$B4='קבוצות'!$A$9),IF(L3="","",L3&amp;", ")&amp;$A4,L3)</f>
        <v/>
      </c>
      <c r="M4" s="85">
        <f>IF(AND($B4&lt;&gt;"",$B4='קבוצות'!$A$10),IF(M3="","",M3&amp;", ")&amp;$A4,M3)</f>
        <v/>
      </c>
      <c r="N4" s="85">
        <f>IF(AND($B4&lt;&gt;"",$B4='קבוצות'!$A$11),IF(N3="","",N3&amp;", ")&amp;$A4,N3)</f>
        <v/>
      </c>
      <c r="O4" s="85">
        <f>IF(AND($B4&lt;&gt;"",$B4='קבוצות'!$A$12),IF(O3="","",O3&amp;", ")&amp;$A4,O3)</f>
        <v/>
      </c>
      <c r="P4" s="85">
        <f>IF(AND($B4&lt;&gt;"",$B4='קבוצות'!$A$13),IF(P3="","",P3&amp;", ")&amp;$A4,P3)</f>
        <v/>
      </c>
      <c r="Q4" s="85">
        <f>IF(AND($B4&lt;&gt;"",$B4='קבוצות'!$A$14),IF(Q3="","",Q3&amp;", ")&amp;$A4,Q3)</f>
        <v/>
      </c>
    </row>
    <row r="5" ht="20" customHeight="1">
      <c r="A5" s="19" t="inlineStr">
        <is>
          <t>יובל יצחק</t>
        </is>
      </c>
      <c r="B5" s="69" t="n"/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  <c r="L5" s="85">
        <f>IF(AND($B5&lt;&gt;"",$B5='קבוצות'!$A$9),IF(L4="","",L4&amp;", ")&amp;$A5,L4)</f>
        <v/>
      </c>
      <c r="M5" s="85">
        <f>IF(AND($B5&lt;&gt;"",$B5='קבוצות'!$A$10),IF(M4="","",M4&amp;", ")&amp;$A5,M4)</f>
        <v/>
      </c>
      <c r="N5" s="85">
        <f>IF(AND($B5&lt;&gt;"",$B5='קבוצות'!$A$11),IF(N4="","",N4&amp;", ")&amp;$A5,N4)</f>
        <v/>
      </c>
      <c r="O5" s="85">
        <f>IF(AND($B5&lt;&gt;"",$B5='קבוצות'!$A$12),IF(O4="","",O4&amp;", ")&amp;$A5,O4)</f>
        <v/>
      </c>
      <c r="P5" s="85">
        <f>IF(AND($B5&lt;&gt;"",$B5='קבוצות'!$A$13),IF(P4="","",P4&amp;", ")&amp;$A5,P4)</f>
        <v/>
      </c>
      <c r="Q5" s="85">
        <f>IF(AND($B5&lt;&gt;"",$B5='קבוצות'!$A$14),IF(Q4="","",Q4&amp;", ")&amp;$A5,Q4)</f>
        <v/>
      </c>
    </row>
    <row r="6" ht="20" customHeight="1">
      <c r="A6" s="19" t="inlineStr">
        <is>
          <t>הילי אלפסי</t>
        </is>
      </c>
      <c r="B6" s="69" t="n"/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  <c r="L6" s="85">
        <f>IF(AND($B6&lt;&gt;"",$B6='קבוצות'!$A$9),IF(L5="","",L5&amp;", ")&amp;$A6,L5)</f>
        <v/>
      </c>
      <c r="M6" s="85">
        <f>IF(AND($B6&lt;&gt;"",$B6='קבוצות'!$A$10),IF(M5="","",M5&amp;", ")&amp;$A6,M5)</f>
        <v/>
      </c>
      <c r="N6" s="85">
        <f>IF(AND($B6&lt;&gt;"",$B6='קבוצות'!$A$11),IF(N5="","",N5&amp;", ")&amp;$A6,N5)</f>
        <v/>
      </c>
      <c r="O6" s="85">
        <f>IF(AND($B6&lt;&gt;"",$B6='קבוצות'!$A$12),IF(O5="","",O5&amp;", ")&amp;$A6,O5)</f>
        <v/>
      </c>
      <c r="P6" s="85">
        <f>IF(AND($B6&lt;&gt;"",$B6='קבוצות'!$A$13),IF(P5="","",P5&amp;", ")&amp;$A6,P5)</f>
        <v/>
      </c>
      <c r="Q6" s="85">
        <f>IF(AND($B6&lt;&gt;"",$B6='קבוצות'!$A$14),IF(Q5="","",Q5&amp;", ")&amp;$A6,Q5)</f>
        <v/>
      </c>
    </row>
    <row r="7" ht="20" customHeight="1">
      <c r="A7" s="19" t="inlineStr">
        <is>
          <t>יהב לוי</t>
        </is>
      </c>
      <c r="B7" s="69" t="n"/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  <c r="L7" s="85">
        <f>IF(AND($B7&lt;&gt;"",$B7='קבוצות'!$A$9),IF(L6="","",L6&amp;", ")&amp;$A7,L6)</f>
        <v/>
      </c>
      <c r="M7" s="85">
        <f>IF(AND($B7&lt;&gt;"",$B7='קבוצות'!$A$10),IF(M6="","",M6&amp;", ")&amp;$A7,M6)</f>
        <v/>
      </c>
      <c r="N7" s="85">
        <f>IF(AND($B7&lt;&gt;"",$B7='קבוצות'!$A$11),IF(N6="","",N6&amp;", ")&amp;$A7,N6)</f>
        <v/>
      </c>
      <c r="O7" s="85">
        <f>IF(AND($B7&lt;&gt;"",$B7='קבוצות'!$A$12),IF(O6="","",O6&amp;", ")&amp;$A7,O6)</f>
        <v/>
      </c>
      <c r="P7" s="85">
        <f>IF(AND($B7&lt;&gt;"",$B7='קבוצות'!$A$13),IF(P6="","",P6&amp;", ")&amp;$A7,P6)</f>
        <v/>
      </c>
      <c r="Q7" s="85">
        <f>IF(AND($B7&lt;&gt;"",$B7='קבוצות'!$A$14),IF(Q6="","",Q6&amp;", ")&amp;$A7,Q6)</f>
        <v/>
      </c>
    </row>
    <row r="8" ht="20" customHeight="1">
      <c r="A8" s="19" t="inlineStr">
        <is>
          <t>שחר קרן</t>
        </is>
      </c>
      <c r="B8" s="69" t="n"/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  <c r="L8" s="85">
        <f>IF(AND($B8&lt;&gt;"",$B8='קבוצות'!$A$9),IF(L7="","",L7&amp;", ")&amp;$A8,L7)</f>
        <v/>
      </c>
      <c r="M8" s="85">
        <f>IF(AND($B8&lt;&gt;"",$B8='קבוצות'!$A$10),IF(M7="","",M7&amp;", ")&amp;$A8,M7)</f>
        <v/>
      </c>
      <c r="N8" s="85">
        <f>IF(AND($B8&lt;&gt;"",$B8='קבוצות'!$A$11),IF(N7="","",N7&amp;", ")&amp;$A8,N7)</f>
        <v/>
      </c>
      <c r="O8" s="85">
        <f>IF(AND($B8&lt;&gt;"",$B8='קבוצות'!$A$12),IF(O7="","",O7&amp;", ")&amp;$A8,O7)</f>
        <v/>
      </c>
      <c r="P8" s="85">
        <f>IF(AND($B8&lt;&gt;"",$B8='קבוצות'!$A$13),IF(P7="","",P7&amp;", ")&amp;$A8,P7)</f>
        <v/>
      </c>
      <c r="Q8" s="85">
        <f>IF(AND($B8&lt;&gt;"",$B8='קבוצות'!$A$14),IF(Q7="","",Q7&amp;", ")&amp;$A8,Q7)</f>
        <v/>
      </c>
    </row>
    <row r="9" ht="20" customHeight="1">
      <c r="A9" s="19" t="inlineStr">
        <is>
          <t>ירדן בן שחר</t>
        </is>
      </c>
      <c r="B9" s="69" t="n"/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  <c r="L9" s="85">
        <f>IF(AND($B9&lt;&gt;"",$B9='קבוצות'!$A$9),IF(L8="","",L8&amp;", ")&amp;$A9,L8)</f>
        <v/>
      </c>
      <c r="M9" s="85">
        <f>IF(AND($B9&lt;&gt;"",$B9='קבוצות'!$A$10),IF(M8="","",M8&amp;", ")&amp;$A9,M8)</f>
        <v/>
      </c>
      <c r="N9" s="85">
        <f>IF(AND($B9&lt;&gt;"",$B9='קבוצות'!$A$11),IF(N8="","",N8&amp;", ")&amp;$A9,N8)</f>
        <v/>
      </c>
      <c r="O9" s="85">
        <f>IF(AND($B9&lt;&gt;"",$B9='קבוצות'!$A$12),IF(O8="","",O8&amp;", ")&amp;$A9,O8)</f>
        <v/>
      </c>
      <c r="P9" s="85">
        <f>IF(AND($B9&lt;&gt;"",$B9='קבוצות'!$A$13),IF(P8="","",P8&amp;", ")&amp;$A9,P8)</f>
        <v/>
      </c>
      <c r="Q9" s="85">
        <f>IF(AND($B9&lt;&gt;"",$B9='קבוצות'!$A$14),IF(Q8="","",Q8&amp;", ")&amp;$A9,Q8)</f>
        <v/>
      </c>
    </row>
    <row r="10" ht="20" customHeight="1">
      <c r="A10" s="19" t="inlineStr">
        <is>
          <t>אחיה נחמני</t>
        </is>
      </c>
      <c r="B10" s="69" t="n"/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  <c r="L10" s="85">
        <f>IF(AND($B10&lt;&gt;"",$B10='קבוצות'!$A$9),IF(L9="","",L9&amp;", ")&amp;$A10,L9)</f>
        <v/>
      </c>
      <c r="M10" s="85">
        <f>IF(AND($B10&lt;&gt;"",$B10='קבוצות'!$A$10),IF(M9="","",M9&amp;", ")&amp;$A10,M9)</f>
        <v/>
      </c>
      <c r="N10" s="85">
        <f>IF(AND($B10&lt;&gt;"",$B10='קבוצות'!$A$11),IF(N9="","",N9&amp;", ")&amp;$A10,N9)</f>
        <v/>
      </c>
      <c r="O10" s="85">
        <f>IF(AND($B10&lt;&gt;"",$B10='קבוצות'!$A$12),IF(O9="","",O9&amp;", ")&amp;$A10,O9)</f>
        <v/>
      </c>
      <c r="P10" s="85">
        <f>IF(AND($B10&lt;&gt;"",$B10='קבוצות'!$A$13),IF(P9="","",P9&amp;", ")&amp;$A10,P9)</f>
        <v/>
      </c>
      <c r="Q10" s="85">
        <f>IF(AND($B10&lt;&gt;"",$B10='קבוצות'!$A$14),IF(Q9="","",Q9&amp;", ")&amp;$A10,Q9)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  <c r="L11" s="85">
        <f>IF(AND($B11&lt;&gt;"",$B11='קבוצות'!$A$9),IF(L10="","",L10&amp;", ")&amp;$A11,L10)</f>
        <v/>
      </c>
      <c r="M11" s="85">
        <f>IF(AND($B11&lt;&gt;"",$B11='קבוצות'!$A$10),IF(M10="","",M10&amp;", ")&amp;$A11,M10)</f>
        <v/>
      </c>
      <c r="N11" s="85">
        <f>IF(AND($B11&lt;&gt;"",$B11='קבוצות'!$A$11),IF(N10="","",N10&amp;", ")&amp;$A11,N10)</f>
        <v/>
      </c>
      <c r="O11" s="85">
        <f>IF(AND($B11&lt;&gt;"",$B11='קבוצות'!$A$12),IF(O10="","",O10&amp;", ")&amp;$A11,O10)</f>
        <v/>
      </c>
      <c r="P11" s="85">
        <f>IF(AND($B11&lt;&gt;"",$B11='קבוצות'!$A$13),IF(P10="","",P10&amp;", ")&amp;$A11,P10)</f>
        <v/>
      </c>
      <c r="Q11" s="85">
        <f>IF(AND($B11&lt;&gt;"",$B11='קבוצות'!$A$14),IF(Q10="","",Q10&amp;", ")&amp;$A11,Q10)</f>
        <v/>
      </c>
    </row>
    <row r="12" ht="20" customHeight="1">
      <c r="A12" s="19" t="inlineStr">
        <is>
          <t>מעיין יוספי</t>
        </is>
      </c>
      <c r="B12" s="69" t="n"/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  <c r="L12" s="85">
        <f>IF(AND($B12&lt;&gt;"",$B12='קבוצות'!$A$9),IF(L11="","",L11&amp;", ")&amp;$A12,L11)</f>
        <v/>
      </c>
      <c r="M12" s="85">
        <f>IF(AND($B12&lt;&gt;"",$B12='קבוצות'!$A$10),IF(M11="","",M11&amp;", ")&amp;$A12,M11)</f>
        <v/>
      </c>
      <c r="N12" s="85">
        <f>IF(AND($B12&lt;&gt;"",$B12='קבוצות'!$A$11),IF(N11="","",N11&amp;", ")&amp;$A12,N11)</f>
        <v/>
      </c>
      <c r="O12" s="85">
        <f>IF(AND($B12&lt;&gt;"",$B12='קבוצות'!$A$12),IF(O11="","",O11&amp;", ")&amp;$A12,O11)</f>
        <v/>
      </c>
      <c r="P12" s="85">
        <f>IF(AND($B12&lt;&gt;"",$B12='קבוצות'!$A$13),IF(P11="","",P11&amp;", ")&amp;$A12,P11)</f>
        <v/>
      </c>
      <c r="Q12" s="85">
        <f>IF(AND($B12&lt;&gt;"",$B12='קבוצות'!$A$14),IF(Q11="","",Q11&amp;", ")&amp;$A12,Q11)</f>
        <v/>
      </c>
    </row>
    <row r="13" ht="20" customHeight="1">
      <c r="A13" s="19" t="inlineStr">
        <is>
          <t>יעל שם טוב</t>
        </is>
      </c>
      <c r="B13" s="69" t="n"/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  <c r="L13" s="85">
        <f>IF(AND($B13&lt;&gt;"",$B13='קבוצות'!$A$9),IF(L12="","",L12&amp;", ")&amp;$A13,L12)</f>
        <v/>
      </c>
      <c r="M13" s="85">
        <f>IF(AND($B13&lt;&gt;"",$B13='קבוצות'!$A$10),IF(M12="","",M12&amp;", ")&amp;$A13,M12)</f>
        <v/>
      </c>
      <c r="N13" s="85">
        <f>IF(AND($B13&lt;&gt;"",$B13='קבוצות'!$A$11),IF(N12="","",N12&amp;", ")&amp;$A13,N12)</f>
        <v/>
      </c>
      <c r="O13" s="85">
        <f>IF(AND($B13&lt;&gt;"",$B13='קבוצות'!$A$12),IF(O12="","",O12&amp;", ")&amp;$A13,O12)</f>
        <v/>
      </c>
      <c r="P13" s="85">
        <f>IF(AND($B13&lt;&gt;"",$B13='קבוצות'!$A$13),IF(P12="","",P12&amp;", ")&amp;$A13,P12)</f>
        <v/>
      </c>
      <c r="Q13" s="85">
        <f>IF(AND($B13&lt;&gt;"",$B13='קבוצות'!$A$14),IF(Q12="","",Q12&amp;", ")&amp;$A13,Q12)</f>
        <v/>
      </c>
    </row>
    <row r="14" ht="20" customHeight="1">
      <c r="A14" s="19" t="inlineStr">
        <is>
          <t>עמית סיילס</t>
        </is>
      </c>
      <c r="B14" s="69" t="n"/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  <c r="L14" s="85">
        <f>IF(AND($B14&lt;&gt;"",$B14='קבוצות'!$A$9),IF(L13="","",L13&amp;", ")&amp;$A14,L13)</f>
        <v/>
      </c>
      <c r="M14" s="85">
        <f>IF(AND($B14&lt;&gt;"",$B14='קבוצות'!$A$10),IF(M13="","",M13&amp;", ")&amp;$A14,M13)</f>
        <v/>
      </c>
      <c r="N14" s="85">
        <f>IF(AND($B14&lt;&gt;"",$B14='קבוצות'!$A$11),IF(N13="","",N13&amp;", ")&amp;$A14,N13)</f>
        <v/>
      </c>
      <c r="O14" s="85">
        <f>IF(AND($B14&lt;&gt;"",$B14='קבוצות'!$A$12),IF(O13="","",O13&amp;", ")&amp;$A14,O13)</f>
        <v/>
      </c>
      <c r="P14" s="85">
        <f>IF(AND($B14&lt;&gt;"",$B14='קבוצות'!$A$13),IF(P13="","",P13&amp;", ")&amp;$A14,P13)</f>
        <v/>
      </c>
      <c r="Q14" s="85">
        <f>IF(AND($B14&lt;&gt;"",$B14='קבוצות'!$A$14),IF(Q13="","",Q13&amp;", ")&amp;$A14,Q13)</f>
        <v/>
      </c>
    </row>
    <row r="15" ht="20" customHeight="1">
      <c r="A15" s="19" t="inlineStr">
        <is>
          <t>אריאלה מרכוס</t>
        </is>
      </c>
      <c r="B15" s="69" t="n"/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  <c r="L15" s="85">
        <f>IF(AND($B15&lt;&gt;"",$B15='קבוצות'!$A$9),IF(L14="","",L14&amp;", ")&amp;$A15,L14)</f>
        <v/>
      </c>
      <c r="M15" s="85">
        <f>IF(AND($B15&lt;&gt;"",$B15='קבוצות'!$A$10),IF(M14="","",M14&amp;", ")&amp;$A15,M14)</f>
        <v/>
      </c>
      <c r="N15" s="85">
        <f>IF(AND($B15&lt;&gt;"",$B15='קבוצות'!$A$11),IF(N14="","",N14&amp;", ")&amp;$A15,N14)</f>
        <v/>
      </c>
      <c r="O15" s="85">
        <f>IF(AND($B15&lt;&gt;"",$B15='קבוצות'!$A$12),IF(O14="","",O14&amp;", ")&amp;$A15,O14)</f>
        <v/>
      </c>
      <c r="P15" s="85">
        <f>IF(AND($B15&lt;&gt;"",$B15='קבוצות'!$A$13),IF(P14="","",P14&amp;", ")&amp;$A15,P14)</f>
        <v/>
      </c>
      <c r="Q15" s="85">
        <f>IF(AND($B15&lt;&gt;"",$B15='קבוצות'!$A$14),IF(Q14="","",Q14&amp;", ")&amp;$A15,Q14)</f>
        <v/>
      </c>
    </row>
    <row r="16" ht="20" customHeight="1">
      <c r="A16" s="19" t="inlineStr">
        <is>
          <t>משה אוברשטיין</t>
        </is>
      </c>
      <c r="B16" s="69" t="n"/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  <c r="L16" s="85">
        <f>IF(AND($B16&lt;&gt;"",$B16='קבוצות'!$A$9),IF(L15="","",L15&amp;", ")&amp;$A16,L15)</f>
        <v/>
      </c>
      <c r="M16" s="85">
        <f>IF(AND($B16&lt;&gt;"",$B16='קבוצות'!$A$10),IF(M15="","",M15&amp;", ")&amp;$A16,M15)</f>
        <v/>
      </c>
      <c r="N16" s="85">
        <f>IF(AND($B16&lt;&gt;"",$B16='קבוצות'!$A$11),IF(N15="","",N15&amp;", ")&amp;$A16,N15)</f>
        <v/>
      </c>
      <c r="O16" s="85">
        <f>IF(AND($B16&lt;&gt;"",$B16='קבוצות'!$A$12),IF(O15="","",O15&amp;", ")&amp;$A16,O15)</f>
        <v/>
      </c>
      <c r="P16" s="85">
        <f>IF(AND($B16&lt;&gt;"",$B16='קבוצות'!$A$13),IF(P15="","",P15&amp;", ")&amp;$A16,P15)</f>
        <v/>
      </c>
      <c r="Q16" s="85">
        <f>IF(AND($B16&lt;&gt;"",$B16='קבוצות'!$A$14),IF(Q15="","",Q15&amp;", ")&amp;$A16,Q15)</f>
        <v/>
      </c>
    </row>
    <row r="17" ht="20" customHeight="1">
      <c r="A17" s="19" t="inlineStr">
        <is>
          <t>אוריה תעשה</t>
        </is>
      </c>
      <c r="B17" s="69" t="n"/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  <c r="L17" s="85">
        <f>IF(AND($B17&lt;&gt;"",$B17='קבוצות'!$A$9),IF(L16="","",L16&amp;", ")&amp;$A17,L16)</f>
        <v/>
      </c>
      <c r="M17" s="85">
        <f>IF(AND($B17&lt;&gt;"",$B17='קבוצות'!$A$10),IF(M16="","",M16&amp;", ")&amp;$A17,M16)</f>
        <v/>
      </c>
      <c r="N17" s="85">
        <f>IF(AND($B17&lt;&gt;"",$B17='קבוצות'!$A$11),IF(N16="","",N16&amp;", ")&amp;$A17,N16)</f>
        <v/>
      </c>
      <c r="O17" s="85">
        <f>IF(AND($B17&lt;&gt;"",$B17='קבוצות'!$A$12),IF(O16="","",O16&amp;", ")&amp;$A17,O16)</f>
        <v/>
      </c>
      <c r="P17" s="85">
        <f>IF(AND($B17&lt;&gt;"",$B17='קבוצות'!$A$13),IF(P16="","",P16&amp;", ")&amp;$A17,P16)</f>
        <v/>
      </c>
      <c r="Q17" s="85">
        <f>IF(AND($B17&lt;&gt;"",$B17='קבוצות'!$A$14),IF(Q16="","",Q16&amp;", ")&amp;$A17,Q16)</f>
        <v/>
      </c>
    </row>
    <row r="18" ht="20" customHeight="1">
      <c r="A18" s="19" t="inlineStr">
        <is>
          <t>יונתן לירז</t>
        </is>
      </c>
      <c r="B18" s="69" t="n"/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  <c r="L18" s="85">
        <f>IF(AND($B18&lt;&gt;"",$B18='קבוצות'!$A$9),IF(L17="","",L17&amp;", ")&amp;$A18,L17)</f>
        <v/>
      </c>
      <c r="M18" s="85">
        <f>IF(AND($B18&lt;&gt;"",$B18='קבוצות'!$A$10),IF(M17="","",M17&amp;", ")&amp;$A18,M17)</f>
        <v/>
      </c>
      <c r="N18" s="85">
        <f>IF(AND($B18&lt;&gt;"",$B18='קבוצות'!$A$11),IF(N17="","",N17&amp;", ")&amp;$A18,N17)</f>
        <v/>
      </c>
      <c r="O18" s="85">
        <f>IF(AND($B18&lt;&gt;"",$B18='קבוצות'!$A$12),IF(O17="","",O17&amp;", ")&amp;$A18,O17)</f>
        <v/>
      </c>
      <c r="P18" s="85">
        <f>IF(AND($B18&lt;&gt;"",$B18='קבוצות'!$A$13),IF(P17="","",P17&amp;", ")&amp;$A18,P17)</f>
        <v/>
      </c>
      <c r="Q18" s="85">
        <f>IF(AND($B18&lt;&gt;"",$B18='קבוצות'!$A$14),IF(Q17="","",Q17&amp;", ")&amp;$A18,Q17)</f>
        <v/>
      </c>
    </row>
    <row r="19" ht="20" customHeight="1">
      <c r="A19" s="19" t="inlineStr">
        <is>
          <t>פנחס אליהו גלוסקין</t>
        </is>
      </c>
      <c r="B19" s="69" t="n"/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  <c r="L19" s="85">
        <f>IF(AND($B19&lt;&gt;"",$B19='קבוצות'!$A$9),IF(L18="","",L18&amp;", ")&amp;$A19,L18)</f>
        <v/>
      </c>
      <c r="M19" s="85">
        <f>IF(AND($B19&lt;&gt;"",$B19='קבוצות'!$A$10),IF(M18="","",M18&amp;", ")&amp;$A19,M18)</f>
        <v/>
      </c>
      <c r="N19" s="85">
        <f>IF(AND($B19&lt;&gt;"",$B19='קבוצות'!$A$11),IF(N18="","",N18&amp;", ")&amp;$A19,N18)</f>
        <v/>
      </c>
      <c r="O19" s="85">
        <f>IF(AND($B19&lt;&gt;"",$B19='קבוצות'!$A$12),IF(O18="","",O18&amp;", ")&amp;$A19,O18)</f>
        <v/>
      </c>
      <c r="P19" s="85">
        <f>IF(AND($B19&lt;&gt;"",$B19='קבוצות'!$A$13),IF(P18="","",P18&amp;", ")&amp;$A19,P18)</f>
        <v/>
      </c>
      <c r="Q19" s="85">
        <f>IF(AND($B19&lt;&gt;"",$B19='קבוצות'!$A$14),IF(Q18="","",Q18&amp;", ")&amp;$A19,Q18)</f>
        <v/>
      </c>
    </row>
    <row r="20" ht="20" customHeight="1">
      <c r="A20" s="19" t="inlineStr">
        <is>
          <t>נדב טוקר</t>
        </is>
      </c>
      <c r="B20" s="69" t="n"/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  <c r="L20" s="85">
        <f>IF(AND($B20&lt;&gt;"",$B20='קבוצות'!$A$9),IF(L19="","",L19&amp;", ")&amp;$A20,L19)</f>
        <v/>
      </c>
      <c r="M20" s="85">
        <f>IF(AND($B20&lt;&gt;"",$B20='קבוצות'!$A$10),IF(M19="","",M19&amp;", ")&amp;$A20,M19)</f>
        <v/>
      </c>
      <c r="N20" s="85">
        <f>IF(AND($B20&lt;&gt;"",$B20='קבוצות'!$A$11),IF(N19="","",N19&amp;", ")&amp;$A20,N19)</f>
        <v/>
      </c>
      <c r="O20" s="85">
        <f>IF(AND($B20&lt;&gt;"",$B20='קבוצות'!$A$12),IF(O19="","",O19&amp;", ")&amp;$A20,O19)</f>
        <v/>
      </c>
      <c r="P20" s="85">
        <f>IF(AND($B20&lt;&gt;"",$B20='קבוצות'!$A$13),IF(P19="","",P19&amp;", ")&amp;$A20,P19)</f>
        <v/>
      </c>
      <c r="Q20" s="85">
        <f>IF(AND($B20&lt;&gt;"",$B20='קבוצות'!$A$14),IF(Q19="","",Q19&amp;", ")&amp;$A20,Q19)</f>
        <v/>
      </c>
    </row>
    <row r="21" ht="20" customHeight="1">
      <c r="A21" s="19" t="inlineStr">
        <is>
          <t>הדר עמדי</t>
        </is>
      </c>
      <c r="B21" s="69" t="n"/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  <c r="L21" s="85">
        <f>IF(AND($B21&lt;&gt;"",$B21='קבוצות'!$A$9),IF(L20="","",L20&amp;", ")&amp;$A21,L20)</f>
        <v/>
      </c>
      <c r="M21" s="85">
        <f>IF(AND($B21&lt;&gt;"",$B21='קבוצות'!$A$10),IF(M20="","",M20&amp;", ")&amp;$A21,M20)</f>
        <v/>
      </c>
      <c r="N21" s="85">
        <f>IF(AND($B21&lt;&gt;"",$B21='קבוצות'!$A$11),IF(N20="","",N20&amp;", ")&amp;$A21,N20)</f>
        <v/>
      </c>
      <c r="O21" s="85">
        <f>IF(AND($B21&lt;&gt;"",$B21='קבוצות'!$A$12),IF(O20="","",O20&amp;", ")&amp;$A21,O20)</f>
        <v/>
      </c>
      <c r="P21" s="85">
        <f>IF(AND($B21&lt;&gt;"",$B21='קבוצות'!$A$13),IF(P20="","",P20&amp;", ")&amp;$A21,P20)</f>
        <v/>
      </c>
      <c r="Q21" s="85">
        <f>IF(AND($B21&lt;&gt;"",$B21='קבוצות'!$A$14),IF(Q20="","",Q20&amp;", ")&amp;$A21,Q20)</f>
        <v/>
      </c>
    </row>
    <row r="22" ht="20" customHeight="1">
      <c r="A22" s="19" t="inlineStr">
        <is>
          <t>יואב אוחנה</t>
        </is>
      </c>
      <c r="B22" s="69" t="n"/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  <c r="L22" s="85">
        <f>IF(AND($B22&lt;&gt;"",$B22='קבוצות'!$A$9),IF(L21="","",L21&amp;", ")&amp;$A22,L21)</f>
        <v/>
      </c>
      <c r="M22" s="85">
        <f>IF(AND($B22&lt;&gt;"",$B22='קבוצות'!$A$10),IF(M21="","",M21&amp;", ")&amp;$A22,M21)</f>
        <v/>
      </c>
      <c r="N22" s="85">
        <f>IF(AND($B22&lt;&gt;"",$B22='קבוצות'!$A$11),IF(N21="","",N21&amp;", ")&amp;$A22,N21)</f>
        <v/>
      </c>
      <c r="O22" s="85">
        <f>IF(AND($B22&lt;&gt;"",$B22='קבוצות'!$A$12),IF(O21="","",O21&amp;", ")&amp;$A22,O21)</f>
        <v/>
      </c>
      <c r="P22" s="85">
        <f>IF(AND($B22&lt;&gt;"",$B22='קבוצות'!$A$13),IF(P21="","",P21&amp;", ")&amp;$A22,P21)</f>
        <v/>
      </c>
      <c r="Q22" s="85">
        <f>IF(AND($B22&lt;&gt;"",$B22='קבוצות'!$A$14),IF(Q21="","",Q21&amp;", ")&amp;$A22,Q21)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  <c r="L23" s="85">
        <f>IF(AND($B23&lt;&gt;"",$B23='קבוצות'!$A$9),IF(L22="","",L22&amp;", ")&amp;$A23,L22)</f>
        <v/>
      </c>
      <c r="M23" s="85">
        <f>IF(AND($B23&lt;&gt;"",$B23='קבוצות'!$A$10),IF(M22="","",M22&amp;", ")&amp;$A23,M22)</f>
        <v/>
      </c>
      <c r="N23" s="85">
        <f>IF(AND($B23&lt;&gt;"",$B23='קבוצות'!$A$11),IF(N22="","",N22&amp;", ")&amp;$A23,N22)</f>
        <v/>
      </c>
      <c r="O23" s="85">
        <f>IF(AND($B23&lt;&gt;"",$B23='קבוצות'!$A$12),IF(O22="","",O22&amp;", ")&amp;$A23,O22)</f>
        <v/>
      </c>
      <c r="P23" s="85">
        <f>IF(AND($B23&lt;&gt;"",$B23='קבוצות'!$A$13),IF(P22="","",P22&amp;", ")&amp;$A23,P22)</f>
        <v/>
      </c>
      <c r="Q23" s="85">
        <f>IF(AND($B23&lt;&gt;"",$B23='קבוצות'!$A$14),IF(Q22="","",Q22&amp;", ")&amp;$A23,Q22)</f>
        <v/>
      </c>
    </row>
    <row r="24" ht="20" customHeight="1">
      <c r="A24" s="19" t="inlineStr">
        <is>
          <t>עופר בביוף</t>
        </is>
      </c>
      <c r="B24" s="69" t="n"/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  <c r="L24" s="85">
        <f>IF(AND($B24&lt;&gt;"",$B24='קבוצות'!$A$9),IF(L23="","",L23&amp;", ")&amp;$A24,L23)</f>
        <v/>
      </c>
      <c r="M24" s="85">
        <f>IF(AND($B24&lt;&gt;"",$B24='קבוצות'!$A$10),IF(M23="","",M23&amp;", ")&amp;$A24,M23)</f>
        <v/>
      </c>
      <c r="N24" s="85">
        <f>IF(AND($B24&lt;&gt;"",$B24='קבוצות'!$A$11),IF(N23="","",N23&amp;", ")&amp;$A24,N23)</f>
        <v/>
      </c>
      <c r="O24" s="85">
        <f>IF(AND($B24&lt;&gt;"",$B24='קבוצות'!$A$12),IF(O23="","",O23&amp;", ")&amp;$A24,O23)</f>
        <v/>
      </c>
      <c r="P24" s="85">
        <f>IF(AND($B24&lt;&gt;"",$B24='קבוצות'!$A$13),IF(P23="","",P23&amp;", ")&amp;$A24,P23)</f>
        <v/>
      </c>
      <c r="Q24" s="85">
        <f>IF(AND($B24&lt;&gt;"",$B24='קבוצות'!$A$14),IF(Q23="","",Q23&amp;", ")&amp;$A24,Q23)</f>
        <v/>
      </c>
    </row>
    <row r="25" ht="20" customHeight="1">
      <c r="A25" s="19" t="inlineStr">
        <is>
          <t>הילה עזרא</t>
        </is>
      </c>
      <c r="B25" s="69" t="n"/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  <c r="L25" s="85">
        <f>IF(AND($B25&lt;&gt;"",$B25='קבוצות'!$A$9),IF(L24="","",L24&amp;", ")&amp;$A25,L24)</f>
        <v/>
      </c>
      <c r="M25" s="85">
        <f>IF(AND($B25&lt;&gt;"",$B25='קבוצות'!$A$10),IF(M24="","",M24&amp;", ")&amp;$A25,M24)</f>
        <v/>
      </c>
      <c r="N25" s="85">
        <f>IF(AND($B25&lt;&gt;"",$B25='קבוצות'!$A$11),IF(N24="","",N24&amp;", ")&amp;$A25,N24)</f>
        <v/>
      </c>
      <c r="O25" s="85">
        <f>IF(AND($B25&lt;&gt;"",$B25='קבוצות'!$A$12),IF(O24="","",O24&amp;", ")&amp;$A25,O24)</f>
        <v/>
      </c>
      <c r="P25" s="85">
        <f>IF(AND($B25&lt;&gt;"",$B25='קבוצות'!$A$13),IF(P24="","",P24&amp;", ")&amp;$A25,P24)</f>
        <v/>
      </c>
      <c r="Q25" s="85">
        <f>IF(AND($B25&lt;&gt;"",$B25='קבוצות'!$A$14),IF(Q24="","",Q24&amp;", ")&amp;$A25,Q24)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  <c r="L26" s="85">
        <f>IF(AND($B26&lt;&gt;"",$B26='קבוצות'!$A$9),IF(L25="","",L25&amp;", ")&amp;$A26,L25)</f>
        <v/>
      </c>
      <c r="M26" s="85">
        <f>IF(AND($B26&lt;&gt;"",$B26='קבוצות'!$A$10),IF(M25="","",M25&amp;", ")&amp;$A26,M25)</f>
        <v/>
      </c>
      <c r="N26" s="85">
        <f>IF(AND($B26&lt;&gt;"",$B26='קבוצות'!$A$11),IF(N25="","",N25&amp;", ")&amp;$A26,N25)</f>
        <v/>
      </c>
      <c r="O26" s="85">
        <f>IF(AND($B26&lt;&gt;"",$B26='קבוצות'!$A$12),IF(O25="","",O25&amp;", ")&amp;$A26,O25)</f>
        <v/>
      </c>
      <c r="P26" s="85">
        <f>IF(AND($B26&lt;&gt;"",$B26='קבוצות'!$A$13),IF(P25="","",P25&amp;", ")&amp;$A26,P25)</f>
        <v/>
      </c>
      <c r="Q26" s="85">
        <f>IF(AND($B26&lt;&gt;"",$B26='קבוצות'!$A$14),IF(Q25="","",Q25&amp;", ")&amp;$A26,Q25)</f>
        <v/>
      </c>
    </row>
    <row r="27" ht="20" customHeight="1">
      <c r="A27" s="19" t="inlineStr">
        <is>
          <t>שחר מרקוביץ' גליק</t>
        </is>
      </c>
      <c r="B27" s="69" t="n"/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  <c r="L27" s="85">
        <f>IF(AND($B27&lt;&gt;"",$B27='קבוצות'!$A$9),IF(L26="","",L26&amp;", ")&amp;$A27,L26)</f>
        <v/>
      </c>
      <c r="M27" s="85">
        <f>IF(AND($B27&lt;&gt;"",$B27='קבוצות'!$A$10),IF(M26="","",M26&amp;", ")&amp;$A27,M26)</f>
        <v/>
      </c>
      <c r="N27" s="85">
        <f>IF(AND($B27&lt;&gt;"",$B27='קבוצות'!$A$11),IF(N26="","",N26&amp;", ")&amp;$A27,N26)</f>
        <v/>
      </c>
      <c r="O27" s="85">
        <f>IF(AND($B27&lt;&gt;"",$B27='קבוצות'!$A$12),IF(O26="","",O26&amp;", ")&amp;$A27,O26)</f>
        <v/>
      </c>
      <c r="P27" s="85">
        <f>IF(AND($B27&lt;&gt;"",$B27='קבוצות'!$A$13),IF(P26="","",P26&amp;", ")&amp;$A27,P26)</f>
        <v/>
      </c>
      <c r="Q27" s="85">
        <f>IF(AND($B27&lt;&gt;"",$B27='קבוצות'!$A$14),IF(Q26="","",Q26&amp;", ")&amp;$A27,Q26)</f>
        <v/>
      </c>
    </row>
    <row r="28" ht="20" customHeight="1">
      <c r="A28" s="19" t="inlineStr">
        <is>
          <t>שליו שישו</t>
        </is>
      </c>
      <c r="B28" s="69" t="n"/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  <c r="L28" s="85">
        <f>IF(AND($B28&lt;&gt;"",$B28='קבוצות'!$A$9),IF(L27="","",L27&amp;", ")&amp;$A28,L27)</f>
        <v/>
      </c>
      <c r="M28" s="85">
        <f>IF(AND($B28&lt;&gt;"",$B28='קבוצות'!$A$10),IF(M27="","",M27&amp;", ")&amp;$A28,M27)</f>
        <v/>
      </c>
      <c r="N28" s="85">
        <f>IF(AND($B28&lt;&gt;"",$B28='קבוצות'!$A$11),IF(N27="","",N27&amp;", ")&amp;$A28,N27)</f>
        <v/>
      </c>
      <c r="O28" s="85">
        <f>IF(AND($B28&lt;&gt;"",$B28='קבוצות'!$A$12),IF(O27="","",O27&amp;", ")&amp;$A28,O27)</f>
        <v/>
      </c>
      <c r="P28" s="85">
        <f>IF(AND($B28&lt;&gt;"",$B28='קבוצות'!$A$13),IF(P27="","",P27&amp;", ")&amp;$A28,P27)</f>
        <v/>
      </c>
      <c r="Q28" s="85">
        <f>IF(AND($B28&lt;&gt;"",$B28='קבוצות'!$A$14),IF(Q27="","",Q27&amp;", ")&amp;$A28,Q27)</f>
        <v/>
      </c>
    </row>
    <row r="29" ht="20" customHeight="1">
      <c r="A29" s="19" t="inlineStr">
        <is>
          <t>חיים שמאי</t>
        </is>
      </c>
      <c r="B29" s="69" t="n"/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  <c r="L29" s="85">
        <f>IF(AND($B29&lt;&gt;"",$B29='קבוצות'!$A$9),IF(L28="","",L28&amp;", ")&amp;$A29,L28)</f>
        <v/>
      </c>
      <c r="M29" s="85">
        <f>IF(AND($B29&lt;&gt;"",$B29='קבוצות'!$A$10),IF(M28="","",M28&amp;", ")&amp;$A29,M28)</f>
        <v/>
      </c>
      <c r="N29" s="85">
        <f>IF(AND($B29&lt;&gt;"",$B29='קבוצות'!$A$11),IF(N28="","",N28&amp;", ")&amp;$A29,N28)</f>
        <v/>
      </c>
      <c r="O29" s="85">
        <f>IF(AND($B29&lt;&gt;"",$B29='קבוצות'!$A$12),IF(O28="","",O28&amp;", ")&amp;$A29,O28)</f>
        <v/>
      </c>
      <c r="P29" s="85">
        <f>IF(AND($B29&lt;&gt;"",$B29='קבוצות'!$A$13),IF(P28="","",P28&amp;", ")&amp;$A29,P28)</f>
        <v/>
      </c>
      <c r="Q29" s="85">
        <f>IF(AND($B29&lt;&gt;"",$B29='קבוצות'!$A$14),IF(Q28="","",Q28&amp;", ")&amp;$A29,Q28)</f>
        <v/>
      </c>
    </row>
    <row r="30" ht="20" customHeight="1">
      <c r="A30" s="19" t="inlineStr">
        <is>
          <t>אנה עזריאל</t>
        </is>
      </c>
      <c r="B30" s="69" t="n"/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  <c r="L30" s="85">
        <f>IF(AND($B30&lt;&gt;"",$B30='קבוצות'!$A$9),IF(L29="","",L29&amp;", ")&amp;$A30,L29)</f>
        <v/>
      </c>
      <c r="M30" s="85">
        <f>IF(AND($B30&lt;&gt;"",$B30='קבוצות'!$A$10),IF(M29="","",M29&amp;", ")&amp;$A30,M29)</f>
        <v/>
      </c>
      <c r="N30" s="85">
        <f>IF(AND($B30&lt;&gt;"",$B30='קבוצות'!$A$11),IF(N29="","",N29&amp;", ")&amp;$A30,N29)</f>
        <v/>
      </c>
      <c r="O30" s="85">
        <f>IF(AND($B30&lt;&gt;"",$B30='קבוצות'!$A$12),IF(O29="","",O29&amp;", ")&amp;$A30,O29)</f>
        <v/>
      </c>
      <c r="P30" s="85">
        <f>IF(AND($B30&lt;&gt;"",$B30='קבוצות'!$A$13),IF(P29="","",P29&amp;", ")&amp;$A30,P29)</f>
        <v/>
      </c>
      <c r="Q30" s="85">
        <f>IF(AND($B30&lt;&gt;"",$B30='קבוצות'!$A$14),IF(Q29="","",Q29&amp;", ")&amp;$A30,Q29)</f>
        <v/>
      </c>
    </row>
    <row r="31" ht="20" customHeight="1">
      <c r="A31" s="19" t="inlineStr">
        <is>
          <t>אלרואי גרינברג</t>
        </is>
      </c>
      <c r="B31" s="69" t="n"/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  <c r="L31" s="85">
        <f>IF(AND($B31&lt;&gt;"",$B31='קבוצות'!$A$9),IF(L30="","",L30&amp;", ")&amp;$A31,L30)</f>
        <v/>
      </c>
      <c r="M31" s="85">
        <f>IF(AND($B31&lt;&gt;"",$B31='קבוצות'!$A$10),IF(M30="","",M30&amp;", ")&amp;$A31,M30)</f>
        <v/>
      </c>
      <c r="N31" s="85">
        <f>IF(AND($B31&lt;&gt;"",$B31='קבוצות'!$A$11),IF(N30="","",N30&amp;", ")&amp;$A31,N30)</f>
        <v/>
      </c>
      <c r="O31" s="85">
        <f>IF(AND($B31&lt;&gt;"",$B31='קבוצות'!$A$12),IF(O30="","",O30&amp;", ")&amp;$A31,O30)</f>
        <v/>
      </c>
      <c r="P31" s="85">
        <f>IF(AND($B31&lt;&gt;"",$B31='קבוצות'!$A$13),IF(P30="","",P30&amp;", ")&amp;$A31,P30)</f>
        <v/>
      </c>
      <c r="Q31" s="85">
        <f>IF(AND($B31&lt;&gt;"",$B31='קבוצות'!$A$14),IF(Q30="","",Q30&amp;", ")&amp;$A31,Q30)</f>
        <v/>
      </c>
    </row>
    <row r="32" ht="20" customHeight="1">
      <c r="A32" s="19" t="inlineStr">
        <is>
          <t>אלה גוטליב</t>
        </is>
      </c>
      <c r="B32" s="69" t="n"/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  <c r="L32" s="85">
        <f>IF(AND($B32&lt;&gt;"",$B32='קבוצות'!$A$9),IF(L31="","",L31&amp;", ")&amp;$A32,L31)</f>
        <v/>
      </c>
      <c r="M32" s="85">
        <f>IF(AND($B32&lt;&gt;"",$B32='קבוצות'!$A$10),IF(M31="","",M31&amp;", ")&amp;$A32,M31)</f>
        <v/>
      </c>
      <c r="N32" s="85">
        <f>IF(AND($B32&lt;&gt;"",$B32='קבוצות'!$A$11),IF(N31="","",N31&amp;", ")&amp;$A32,N31)</f>
        <v/>
      </c>
      <c r="O32" s="85">
        <f>IF(AND($B32&lt;&gt;"",$B32='קבוצות'!$A$12),IF(O31="","",O31&amp;", ")&amp;$A32,O31)</f>
        <v/>
      </c>
      <c r="P32" s="85">
        <f>IF(AND($B32&lt;&gt;"",$B32='קבוצות'!$A$13),IF(P31="","",P31&amp;", ")&amp;$A32,P31)</f>
        <v/>
      </c>
      <c r="Q32" s="85">
        <f>IF(AND($B32&lt;&gt;"",$B32='קבוצות'!$A$14),IF(Q31="","",Q31&amp;", ")&amp;$A32,Q31)</f>
        <v/>
      </c>
    </row>
    <row r="33" ht="20" customHeight="1">
      <c r="A33" s="19" t="inlineStr">
        <is>
          <t>רותם דרור</t>
        </is>
      </c>
      <c r="B33" s="69" t="n"/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  <c r="L33" s="85">
        <f>IF(AND($B33&lt;&gt;"",$B33='קבוצות'!$A$9),IF(L32="","",L32&amp;", ")&amp;$A33,L32)</f>
        <v/>
      </c>
      <c r="M33" s="85">
        <f>IF(AND($B33&lt;&gt;"",$B33='קבוצות'!$A$10),IF(M32="","",M32&amp;", ")&amp;$A33,M32)</f>
        <v/>
      </c>
      <c r="N33" s="85">
        <f>IF(AND($B33&lt;&gt;"",$B33='קבוצות'!$A$11),IF(N32="","",N32&amp;", ")&amp;$A33,N32)</f>
        <v/>
      </c>
      <c r="O33" s="85">
        <f>IF(AND($B33&lt;&gt;"",$B33='קבוצות'!$A$12),IF(O32="","",O32&amp;", ")&amp;$A33,O32)</f>
        <v/>
      </c>
      <c r="P33" s="85">
        <f>IF(AND($B33&lt;&gt;"",$B33='קבוצות'!$A$13),IF(P32="","",P32&amp;", ")&amp;$A33,P32)</f>
        <v/>
      </c>
      <c r="Q33" s="85">
        <f>IF(AND($B33&lt;&gt;"",$B33='קבוצות'!$A$14),IF(Q32="","",Q32&amp;", ")&amp;$A33,Q32)</f>
        <v/>
      </c>
    </row>
    <row r="34" ht="20" customHeight="1">
      <c r="A34" s="19" t="inlineStr">
        <is>
          <t>עומר יוסף גנון</t>
        </is>
      </c>
      <c r="B34" s="69" t="n"/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  <c r="L34" s="85">
        <f>IF(AND($B34&lt;&gt;"",$B34='קבוצות'!$A$9),IF(L33="","",L33&amp;", ")&amp;$A34,L33)</f>
        <v/>
      </c>
      <c r="M34" s="85">
        <f>IF(AND($B34&lt;&gt;"",$B34='קבוצות'!$A$10),IF(M33="","",M33&amp;", ")&amp;$A34,M33)</f>
        <v/>
      </c>
      <c r="N34" s="85">
        <f>IF(AND($B34&lt;&gt;"",$B34='קבוצות'!$A$11),IF(N33="","",N33&amp;", ")&amp;$A34,N33)</f>
        <v/>
      </c>
      <c r="O34" s="85">
        <f>IF(AND($B34&lt;&gt;"",$B34='קבוצות'!$A$12),IF(O33="","",O33&amp;", ")&amp;$A34,O33)</f>
        <v/>
      </c>
      <c r="P34" s="85">
        <f>IF(AND($B34&lt;&gt;"",$B34='קבוצות'!$A$13),IF(P33="","",P33&amp;", ")&amp;$A34,P33)</f>
        <v/>
      </c>
      <c r="Q34" s="85">
        <f>IF(AND($B34&lt;&gt;"",$B34='קבוצות'!$A$14),IF(Q33="","",Q33&amp;", ")&amp;$A34,Q33)</f>
        <v/>
      </c>
    </row>
    <row r="35" ht="20" customHeight="1">
      <c r="A35" s="19" t="inlineStr">
        <is>
          <t>סהר שירון</t>
        </is>
      </c>
      <c r="B35" s="69" t="n"/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  <c r="L35" s="85">
        <f>IF(AND($B35&lt;&gt;"",$B35='קבוצות'!$A$9),IF(L34="","",L34&amp;", ")&amp;$A35,L34)</f>
        <v/>
      </c>
      <c r="M35" s="85">
        <f>IF(AND($B35&lt;&gt;"",$B35='קבוצות'!$A$10),IF(M34="","",M34&amp;", ")&amp;$A35,M34)</f>
        <v/>
      </c>
      <c r="N35" s="85">
        <f>IF(AND($B35&lt;&gt;"",$B35='קבוצות'!$A$11),IF(N34="","",N34&amp;", ")&amp;$A35,N34)</f>
        <v/>
      </c>
      <c r="O35" s="85">
        <f>IF(AND($B35&lt;&gt;"",$B35='קבוצות'!$A$12),IF(O34="","",O34&amp;", ")&amp;$A35,O34)</f>
        <v/>
      </c>
      <c r="P35" s="85">
        <f>IF(AND($B35&lt;&gt;"",$B35='קבוצות'!$A$13),IF(P34="","",P34&amp;", ")&amp;$A35,P34)</f>
        <v/>
      </c>
      <c r="Q35" s="85">
        <f>IF(AND($B35&lt;&gt;"",$B35='קבוצות'!$A$14),IF(Q34="","",Q34&amp;", ")&amp;$A35,Q34)</f>
        <v/>
      </c>
    </row>
    <row r="36" ht="20" customHeight="1">
      <c r="A36" s="19" t="inlineStr">
        <is>
          <t>שירה ספונוב</t>
        </is>
      </c>
      <c r="B36" s="69" t="n"/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  <c r="L36" s="85">
        <f>IF(AND($B36&lt;&gt;"",$B36='קבוצות'!$A$9),IF(L35="","",L35&amp;", ")&amp;$A36,L35)</f>
        <v/>
      </c>
      <c r="M36" s="85">
        <f>IF(AND($B36&lt;&gt;"",$B36='קבוצות'!$A$10),IF(M35="","",M35&amp;", ")&amp;$A36,M35)</f>
        <v/>
      </c>
      <c r="N36" s="85">
        <f>IF(AND($B36&lt;&gt;"",$B36='קבוצות'!$A$11),IF(N35="","",N35&amp;", ")&amp;$A36,N35)</f>
        <v/>
      </c>
      <c r="O36" s="85">
        <f>IF(AND($B36&lt;&gt;"",$B36='קבוצות'!$A$12),IF(O35="","",O35&amp;", ")&amp;$A36,O35)</f>
        <v/>
      </c>
      <c r="P36" s="85">
        <f>IF(AND($B36&lt;&gt;"",$B36='קבוצות'!$A$13),IF(P35="","",P35&amp;", ")&amp;$A36,P35)</f>
        <v/>
      </c>
      <c r="Q36" s="85">
        <f>IF(AND($B36&lt;&gt;"",$B36='קבוצות'!$A$14),IF(Q35="","",Q35&amp;", ")&amp;$A36,Q35)</f>
        <v/>
      </c>
    </row>
    <row r="37" ht="20" customHeight="1">
      <c r="A37" s="19" t="inlineStr">
        <is>
          <t>הלל פינגולד</t>
        </is>
      </c>
      <c r="B37" s="69" t="n"/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  <c r="L37" s="85">
        <f>IF(AND($B37&lt;&gt;"",$B37='קבוצות'!$A$9),IF(L36="","",L36&amp;", ")&amp;$A37,L36)</f>
        <v/>
      </c>
      <c r="M37" s="85">
        <f>IF(AND($B37&lt;&gt;"",$B37='קבוצות'!$A$10),IF(M36="","",M36&amp;", ")&amp;$A37,M36)</f>
        <v/>
      </c>
      <c r="N37" s="85">
        <f>IF(AND($B37&lt;&gt;"",$B37='קבוצות'!$A$11),IF(N36="","",N36&amp;", ")&amp;$A37,N36)</f>
        <v/>
      </c>
      <c r="O37" s="85">
        <f>IF(AND($B37&lt;&gt;"",$B37='קבוצות'!$A$12),IF(O36="","",O36&amp;", ")&amp;$A37,O36)</f>
        <v/>
      </c>
      <c r="P37" s="85">
        <f>IF(AND($B37&lt;&gt;"",$B37='קבוצות'!$A$13),IF(P36="","",P36&amp;", ")&amp;$A37,P36)</f>
        <v/>
      </c>
      <c r="Q37" s="85">
        <f>IF(AND($B37&lt;&gt;"",$B37='קבוצות'!$A$14),IF(Q36="","",Q36&amp;", ")&amp;$A37,Q36)</f>
        <v/>
      </c>
    </row>
    <row r="38" ht="20" customHeight="1">
      <c r="A38" s="19" t="inlineStr">
        <is>
          <t>מישל דוד</t>
        </is>
      </c>
      <c r="B38" s="69" t="n"/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  <c r="L38" s="85">
        <f>IF(AND($B38&lt;&gt;"",$B38='קבוצות'!$A$9),IF(L37="","",L37&amp;", ")&amp;$A38,L37)</f>
        <v/>
      </c>
      <c r="M38" s="85">
        <f>IF(AND($B38&lt;&gt;"",$B38='קבוצות'!$A$10),IF(M37="","",M37&amp;", ")&amp;$A38,M37)</f>
        <v/>
      </c>
      <c r="N38" s="85">
        <f>IF(AND($B38&lt;&gt;"",$B38='קבוצות'!$A$11),IF(N37="","",N37&amp;", ")&amp;$A38,N37)</f>
        <v/>
      </c>
      <c r="O38" s="85">
        <f>IF(AND($B38&lt;&gt;"",$B38='קבוצות'!$A$12),IF(O37="","",O37&amp;", ")&amp;$A38,O37)</f>
        <v/>
      </c>
      <c r="P38" s="85">
        <f>IF(AND($B38&lt;&gt;"",$B38='קבוצות'!$A$13),IF(P37="","",P37&amp;", ")&amp;$A38,P37)</f>
        <v/>
      </c>
      <c r="Q38" s="85">
        <f>IF(AND($B38&lt;&gt;"",$B38='קבוצות'!$A$14),IF(Q37="","",Q37&amp;", ")&amp;$A38,Q37)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  <c r="L39" s="85">
        <f>IF(AND($B39&lt;&gt;"",$B39='קבוצות'!$A$9),IF(L38="","",L38&amp;", ")&amp;$A39,L38)</f>
        <v/>
      </c>
      <c r="M39" s="85">
        <f>IF(AND($B39&lt;&gt;"",$B39='קבוצות'!$A$10),IF(M38="","",M38&amp;", ")&amp;$A39,M38)</f>
        <v/>
      </c>
      <c r="N39" s="85">
        <f>IF(AND($B39&lt;&gt;"",$B39='קבוצות'!$A$11),IF(N38="","",N38&amp;", ")&amp;$A39,N38)</f>
        <v/>
      </c>
      <c r="O39" s="85">
        <f>IF(AND($B39&lt;&gt;"",$B39='קבוצות'!$A$12),IF(O38="","",O38&amp;", ")&amp;$A39,O38)</f>
        <v/>
      </c>
      <c r="P39" s="85">
        <f>IF(AND($B39&lt;&gt;"",$B39='קבוצות'!$A$13),IF(P38="","",P38&amp;", ")&amp;$A39,P38)</f>
        <v/>
      </c>
      <c r="Q39" s="85">
        <f>IF(AND($B39&lt;&gt;"",$B39='קבוצות'!$A$14),IF(Q38="","",Q38&amp;", ")&amp;$A39,Q38)</f>
        <v/>
      </c>
    </row>
    <row r="40" ht="20" customHeight="1">
      <c r="A40" s="19" t="inlineStr">
        <is>
          <t>עמרי קולטון</t>
        </is>
      </c>
      <c r="B40" s="69" t="n"/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  <c r="L40" s="85">
        <f>IF(AND($B40&lt;&gt;"",$B40='קבוצות'!$A$9),IF(L39="","",L39&amp;", ")&amp;$A40,L39)</f>
        <v/>
      </c>
      <c r="M40" s="85">
        <f>IF(AND($B40&lt;&gt;"",$B40='קבוצות'!$A$10),IF(M39="","",M39&amp;", ")&amp;$A40,M39)</f>
        <v/>
      </c>
      <c r="N40" s="85">
        <f>IF(AND($B40&lt;&gt;"",$B40='קבוצות'!$A$11),IF(N39="","",N39&amp;", ")&amp;$A40,N39)</f>
        <v/>
      </c>
      <c r="O40" s="85">
        <f>IF(AND($B40&lt;&gt;"",$B40='קבוצות'!$A$12),IF(O39="","",O39&amp;", ")&amp;$A40,O39)</f>
        <v/>
      </c>
      <c r="P40" s="85">
        <f>IF(AND($B40&lt;&gt;"",$B40='קבוצות'!$A$13),IF(P39="","",P39&amp;", ")&amp;$A40,P39)</f>
        <v/>
      </c>
      <c r="Q40" s="85">
        <f>IF(AND($B40&lt;&gt;"",$B40='קבוצות'!$A$14),IF(Q39="","",Q39&amp;", ")&amp;$A40,Q39)</f>
        <v/>
      </c>
    </row>
    <row r="41" ht="20" customHeight="1">
      <c r="A41" s="19" t="inlineStr">
        <is>
          <t>נגה חוה כהן</t>
        </is>
      </c>
      <c r="B41" s="69" t="n"/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  <c r="L41" s="85">
        <f>IF(AND($B41&lt;&gt;"",$B41='קבוצות'!$A$9),IF(L40="","",L40&amp;", ")&amp;$A41,L40)</f>
        <v/>
      </c>
      <c r="M41" s="85">
        <f>IF(AND($B41&lt;&gt;"",$B41='קבוצות'!$A$10),IF(M40="","",M40&amp;", ")&amp;$A41,M40)</f>
        <v/>
      </c>
      <c r="N41" s="85">
        <f>IF(AND($B41&lt;&gt;"",$B41='קבוצות'!$A$11),IF(N40="","",N40&amp;", ")&amp;$A41,N40)</f>
        <v/>
      </c>
      <c r="O41" s="85">
        <f>IF(AND($B41&lt;&gt;"",$B41='קבוצות'!$A$12),IF(O40="","",O40&amp;", ")&amp;$A41,O40)</f>
        <v/>
      </c>
      <c r="P41" s="85">
        <f>IF(AND($B41&lt;&gt;"",$B41='קבוצות'!$A$13),IF(P40="","",P40&amp;", ")&amp;$A41,P40)</f>
        <v/>
      </c>
      <c r="Q41" s="85">
        <f>IF(AND($B41&lt;&gt;"",$B41='קבוצות'!$A$14),IF(Q40="","",Q40&amp;", ")&amp;$A41,Q40)</f>
        <v/>
      </c>
    </row>
    <row r="42" ht="20" customHeight="1">
      <c r="A42" s="19" t="inlineStr">
        <is>
          <t>קובי סמייסון</t>
        </is>
      </c>
      <c r="B42" s="69" t="n"/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  <c r="L42" s="85">
        <f>IF(AND($B42&lt;&gt;"",$B42='קבוצות'!$A$9),IF(L41="","",L41&amp;", ")&amp;$A42,L41)</f>
        <v/>
      </c>
      <c r="M42" s="85">
        <f>IF(AND($B42&lt;&gt;"",$B42='קבוצות'!$A$10),IF(M41="","",M41&amp;", ")&amp;$A42,M41)</f>
        <v/>
      </c>
      <c r="N42" s="85">
        <f>IF(AND($B42&lt;&gt;"",$B42='קבוצות'!$A$11),IF(N41="","",N41&amp;", ")&amp;$A42,N41)</f>
        <v/>
      </c>
      <c r="O42" s="85">
        <f>IF(AND($B42&lt;&gt;"",$B42='קבוצות'!$A$12),IF(O41="","",O41&amp;", ")&amp;$A42,O41)</f>
        <v/>
      </c>
      <c r="P42" s="85">
        <f>IF(AND($B42&lt;&gt;"",$B42='קבוצות'!$A$13),IF(P41="","",P41&amp;", ")&amp;$A42,P41)</f>
        <v/>
      </c>
      <c r="Q42" s="85">
        <f>IF(AND($B42&lt;&gt;"",$B42='קבוצות'!$A$14),IF(Q41="","",Q41&amp;", ")&amp;$A42,Q41)</f>
        <v/>
      </c>
    </row>
    <row r="43" ht="20" customHeight="1">
      <c r="A43" s="19" t="inlineStr">
        <is>
          <t>נגה שוהם</t>
        </is>
      </c>
      <c r="B43" s="69" t="n"/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  <c r="L43" s="85">
        <f>IF(AND($B43&lt;&gt;"",$B43='קבוצות'!$A$9),IF(L42="","",L42&amp;", ")&amp;$A43,L42)</f>
        <v/>
      </c>
      <c r="M43" s="85">
        <f>IF(AND($B43&lt;&gt;"",$B43='קבוצות'!$A$10),IF(M42="","",M42&amp;", ")&amp;$A43,M42)</f>
        <v/>
      </c>
      <c r="N43" s="85">
        <f>IF(AND($B43&lt;&gt;"",$B43='קבוצות'!$A$11),IF(N42="","",N42&amp;", ")&amp;$A43,N42)</f>
        <v/>
      </c>
      <c r="O43" s="85">
        <f>IF(AND($B43&lt;&gt;"",$B43='קבוצות'!$A$12),IF(O42="","",O42&amp;", ")&amp;$A43,O42)</f>
        <v/>
      </c>
      <c r="P43" s="85">
        <f>IF(AND($B43&lt;&gt;"",$B43='קבוצות'!$A$13),IF(P42="","",P42&amp;", ")&amp;$A43,P42)</f>
        <v/>
      </c>
      <c r="Q43" s="85">
        <f>IF(AND($B43&lt;&gt;"",$B43='קבוצות'!$A$14),IF(Q42="","",Q42&amp;", ")&amp;$A43,Q42)</f>
        <v/>
      </c>
    </row>
    <row r="44" ht="20" customHeight="1">
      <c r="A44" s="19" t="inlineStr">
        <is>
          <t>ינון לוי</t>
        </is>
      </c>
      <c r="B44" s="69" t="n"/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  <c r="L44" s="85">
        <f>IF(AND($B44&lt;&gt;"",$B44='קבוצות'!$A$9),IF(L43="","",L43&amp;", ")&amp;$A44,L43)</f>
        <v/>
      </c>
      <c r="M44" s="85">
        <f>IF(AND($B44&lt;&gt;"",$B44='קבוצות'!$A$10),IF(M43="","",M43&amp;", ")&amp;$A44,M43)</f>
        <v/>
      </c>
      <c r="N44" s="85">
        <f>IF(AND($B44&lt;&gt;"",$B44='קבוצות'!$A$11),IF(N43="","",N43&amp;", ")&amp;$A44,N43)</f>
        <v/>
      </c>
      <c r="O44" s="85">
        <f>IF(AND($B44&lt;&gt;"",$B44='קבוצות'!$A$12),IF(O43="","",O43&amp;", ")&amp;$A44,O43)</f>
        <v/>
      </c>
      <c r="P44" s="85">
        <f>IF(AND($B44&lt;&gt;"",$B44='קבוצות'!$A$13),IF(P43="","",P43&amp;", ")&amp;$A44,P43)</f>
        <v/>
      </c>
      <c r="Q44" s="85">
        <f>IF(AND($B44&lt;&gt;"",$B44='קבוצות'!$A$14),IF(Q43="","",Q43&amp;", ")&amp;$A44,Q43)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  <c r="L45" s="85">
        <f>IF(AND($B45&lt;&gt;"",$B45='קבוצות'!$A$9),IF(L44="","",L44&amp;", ")&amp;$A45,L44)</f>
        <v/>
      </c>
      <c r="M45" s="85">
        <f>IF(AND($B45&lt;&gt;"",$B45='קבוצות'!$A$10),IF(M44="","",M44&amp;", ")&amp;$A45,M44)</f>
        <v/>
      </c>
      <c r="N45" s="85">
        <f>IF(AND($B45&lt;&gt;"",$B45='קבוצות'!$A$11),IF(N44="","",N44&amp;", ")&amp;$A45,N44)</f>
        <v/>
      </c>
      <c r="O45" s="85">
        <f>IF(AND($B45&lt;&gt;"",$B45='קבוצות'!$A$12),IF(O44="","",O44&amp;", ")&amp;$A45,O44)</f>
        <v/>
      </c>
      <c r="P45" s="85">
        <f>IF(AND($B45&lt;&gt;"",$B45='קבוצות'!$A$13),IF(P44="","",P44&amp;", ")&amp;$A45,P44)</f>
        <v/>
      </c>
      <c r="Q45" s="85">
        <f>IF(AND($B45&lt;&gt;"",$B45='קבוצות'!$A$14),IF(Q44="","",Q44&amp;", ")&amp;$A45,Q44)</f>
        <v/>
      </c>
    </row>
    <row r="46" ht="20" customHeight="1">
      <c r="A46" s="19" t="inlineStr">
        <is>
          <t>אלה מאיר</t>
        </is>
      </c>
      <c r="B46" s="69" t="n"/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  <c r="L46" s="85">
        <f>IF(AND($B46&lt;&gt;"",$B46='קבוצות'!$A$9),IF(L45="","",L45&amp;", ")&amp;$A46,L45)</f>
        <v/>
      </c>
      <c r="M46" s="85">
        <f>IF(AND($B46&lt;&gt;"",$B46='קבוצות'!$A$10),IF(M45="","",M45&amp;", ")&amp;$A46,M45)</f>
        <v/>
      </c>
      <c r="N46" s="85">
        <f>IF(AND($B46&lt;&gt;"",$B46='קבוצות'!$A$11),IF(N45="","",N45&amp;", ")&amp;$A46,N45)</f>
        <v/>
      </c>
      <c r="O46" s="85">
        <f>IF(AND($B46&lt;&gt;"",$B46='קבוצות'!$A$12),IF(O45="","",O45&amp;", ")&amp;$A46,O45)</f>
        <v/>
      </c>
      <c r="P46" s="85">
        <f>IF(AND($B46&lt;&gt;"",$B46='קבוצות'!$A$13),IF(P45="","",P45&amp;", ")&amp;$A46,P45)</f>
        <v/>
      </c>
      <c r="Q46" s="85">
        <f>IF(AND($B46&lt;&gt;"",$B46='קבוצות'!$A$14),IF(Q45="","",Q45&amp;", ")&amp;$A46,Q45)</f>
        <v/>
      </c>
    </row>
    <row r="47" ht="20" customHeight="1">
      <c r="A47" s="19" t="inlineStr">
        <is>
          <t>זואי כהן</t>
        </is>
      </c>
      <c r="B47" s="69" t="n"/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  <c r="L47" s="85">
        <f>IF(AND($B47&lt;&gt;"",$B47='קבוצות'!$A$9),IF(L46="","",L46&amp;", ")&amp;$A47,L46)</f>
        <v/>
      </c>
      <c r="M47" s="85">
        <f>IF(AND($B47&lt;&gt;"",$B47='קבוצות'!$A$10),IF(M46="","",M46&amp;", ")&amp;$A47,M46)</f>
        <v/>
      </c>
      <c r="N47" s="85">
        <f>IF(AND($B47&lt;&gt;"",$B47='קבוצות'!$A$11),IF(N46="","",N46&amp;", ")&amp;$A47,N46)</f>
        <v/>
      </c>
      <c r="O47" s="85">
        <f>IF(AND($B47&lt;&gt;"",$B47='קבוצות'!$A$12),IF(O46="","",O46&amp;", ")&amp;$A47,O46)</f>
        <v/>
      </c>
      <c r="P47" s="85">
        <f>IF(AND($B47&lt;&gt;"",$B47='קבוצות'!$A$13),IF(P46="","",P46&amp;", ")&amp;$A47,P46)</f>
        <v/>
      </c>
      <c r="Q47" s="85">
        <f>IF(AND($B47&lt;&gt;"",$B47='קבוצות'!$A$14),IF(Q46="","",Q46&amp;", ")&amp;$A47,Q46)</f>
        <v/>
      </c>
    </row>
    <row r="48" ht="20" customHeight="1">
      <c r="A48" s="19" t="inlineStr">
        <is>
          <t>של״ו רובינשטיין</t>
        </is>
      </c>
      <c r="B48" s="69" t="n"/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  <c r="L48" s="85">
        <f>IF(AND($B48&lt;&gt;"",$B48='קבוצות'!$A$9),IF(L47="","",L47&amp;", ")&amp;$A48,L47)</f>
        <v/>
      </c>
      <c r="M48" s="85">
        <f>IF(AND($B48&lt;&gt;"",$B48='קבוצות'!$A$10),IF(M47="","",M47&amp;", ")&amp;$A48,M47)</f>
        <v/>
      </c>
      <c r="N48" s="85">
        <f>IF(AND($B48&lt;&gt;"",$B48='קבוצות'!$A$11),IF(N47="","",N47&amp;", ")&amp;$A48,N47)</f>
        <v/>
      </c>
      <c r="O48" s="85">
        <f>IF(AND($B48&lt;&gt;"",$B48='קבוצות'!$A$12),IF(O47="","",O47&amp;", ")&amp;$A48,O47)</f>
        <v/>
      </c>
      <c r="P48" s="85">
        <f>IF(AND($B48&lt;&gt;"",$B48='קבוצות'!$A$13),IF(P47="","",P47&amp;", ")&amp;$A48,P47)</f>
        <v/>
      </c>
      <c r="Q48" s="85">
        <f>IF(AND($B48&lt;&gt;"",$B48='קבוצות'!$A$14),IF(Q47="","",Q47&amp;", ")&amp;$A48,Q47)</f>
        <v/>
      </c>
    </row>
    <row r="49" ht="20" customHeight="1">
      <c r="A49" s="19" t="inlineStr">
        <is>
          <t>כליל בלאוקופף</t>
        </is>
      </c>
      <c r="B49" s="69" t="n"/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  <c r="L49" s="85">
        <f>IF(AND($B49&lt;&gt;"",$B49='קבוצות'!$A$9),IF(L48="","",L48&amp;", ")&amp;$A49,L48)</f>
        <v/>
      </c>
      <c r="M49" s="85">
        <f>IF(AND($B49&lt;&gt;"",$B49='קבוצות'!$A$10),IF(M48="","",M48&amp;", ")&amp;$A49,M48)</f>
        <v/>
      </c>
      <c r="N49" s="85">
        <f>IF(AND($B49&lt;&gt;"",$B49='קבוצות'!$A$11),IF(N48="","",N48&amp;", ")&amp;$A49,N48)</f>
        <v/>
      </c>
      <c r="O49" s="85">
        <f>IF(AND($B49&lt;&gt;"",$B49='קבוצות'!$A$12),IF(O48="","",O48&amp;", ")&amp;$A49,O48)</f>
        <v/>
      </c>
      <c r="P49" s="85">
        <f>IF(AND($B49&lt;&gt;"",$B49='קבוצות'!$A$13),IF(P48="","",P48&amp;", ")&amp;$A49,P48)</f>
        <v/>
      </c>
      <c r="Q49" s="85">
        <f>IF(AND($B49&lt;&gt;"",$B49='קבוצות'!$A$14),IF(Q48="","",Q48&amp;", ")&amp;$A49,Q48)</f>
        <v/>
      </c>
    </row>
    <row r="50" ht="20" customHeight="1">
      <c r="A50" s="19" t="inlineStr">
        <is>
          <t>רוני פרנקל</t>
        </is>
      </c>
      <c r="B50" s="69" t="n"/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  <c r="L50" s="85">
        <f>IF(AND($B50&lt;&gt;"",$B50='קבוצות'!$A$9),IF(L49="","",L49&amp;", ")&amp;$A50,L49)</f>
        <v/>
      </c>
      <c r="M50" s="85">
        <f>IF(AND($B50&lt;&gt;"",$B50='קבוצות'!$A$10),IF(M49="","",M49&amp;", ")&amp;$A50,M49)</f>
        <v/>
      </c>
      <c r="N50" s="85">
        <f>IF(AND($B50&lt;&gt;"",$B50='קבוצות'!$A$11),IF(N49="","",N49&amp;", ")&amp;$A50,N49)</f>
        <v/>
      </c>
      <c r="O50" s="85">
        <f>IF(AND($B50&lt;&gt;"",$B50='קבוצות'!$A$12),IF(O49="","",O49&amp;", ")&amp;$A50,O49)</f>
        <v/>
      </c>
      <c r="P50" s="85">
        <f>IF(AND($B50&lt;&gt;"",$B50='קבוצות'!$A$13),IF(P49="","",P49&amp;", ")&amp;$A50,P49)</f>
        <v/>
      </c>
      <c r="Q50" s="85">
        <f>IF(AND($B50&lt;&gt;"",$B50='קבוצות'!$A$14),IF(Q49="","",Q49&amp;", ")&amp;$A50,Q49)</f>
        <v/>
      </c>
    </row>
    <row r="51" ht="20" customHeight="1">
      <c r="A51" s="19" t="inlineStr">
        <is>
          <t>נועם גלס</t>
        </is>
      </c>
      <c r="B51" s="69" t="n"/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  <c r="L51" s="85">
        <f>IF(AND($B51&lt;&gt;"",$B51='קבוצות'!$A$9),IF(L50="","",L50&amp;", ")&amp;$A51,L50)</f>
        <v/>
      </c>
      <c r="M51" s="85">
        <f>IF(AND($B51&lt;&gt;"",$B51='קבוצות'!$A$10),IF(M50="","",M50&amp;", ")&amp;$A51,M50)</f>
        <v/>
      </c>
      <c r="N51" s="85">
        <f>IF(AND($B51&lt;&gt;"",$B51='קבוצות'!$A$11),IF(N50="","",N50&amp;", ")&amp;$A51,N50)</f>
        <v/>
      </c>
      <c r="O51" s="85">
        <f>IF(AND($B51&lt;&gt;"",$B51='קבוצות'!$A$12),IF(O50="","",O50&amp;", ")&amp;$A51,O50)</f>
        <v/>
      </c>
      <c r="P51" s="85">
        <f>IF(AND($B51&lt;&gt;"",$B51='קבוצות'!$A$13),IF(P50="","",P50&amp;", ")&amp;$A51,P50)</f>
        <v/>
      </c>
      <c r="Q51" s="85">
        <f>IF(AND($B51&lt;&gt;"",$B51='קבוצות'!$A$14),IF(Q50="","",Q50&amp;", ")&amp;$A51,Q50)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  <c r="L52" s="85">
        <f>IF(AND($B52&lt;&gt;"",$B52='קבוצות'!$A$9),IF(L51="","",L51&amp;", ")&amp;$A52,L51)</f>
        <v/>
      </c>
      <c r="M52" s="85">
        <f>IF(AND($B52&lt;&gt;"",$B52='קבוצות'!$A$10),IF(M51="","",M51&amp;", ")&amp;$A52,M51)</f>
        <v/>
      </c>
      <c r="N52" s="85">
        <f>IF(AND($B52&lt;&gt;"",$B52='קבוצות'!$A$11),IF(N51="","",N51&amp;", ")&amp;$A52,N51)</f>
        <v/>
      </c>
      <c r="O52" s="85">
        <f>IF(AND($B52&lt;&gt;"",$B52='קבוצות'!$A$12),IF(O51="","",O51&amp;", ")&amp;$A52,O51)</f>
        <v/>
      </c>
      <c r="P52" s="85">
        <f>IF(AND($B52&lt;&gt;"",$B52='קבוצות'!$A$13),IF(P51="","",P51&amp;", ")&amp;$A52,P51)</f>
        <v/>
      </c>
      <c r="Q52" s="85">
        <f>IF(AND($B52&lt;&gt;"",$B52='קבוצות'!$A$14),IF(Q51="","",Q51&amp;", ")&amp;$A52,Q51)</f>
        <v/>
      </c>
    </row>
    <row r="53" ht="20" customHeight="1">
      <c r="A53" s="19" t="inlineStr">
        <is>
          <t>עמית שי אברהם</t>
        </is>
      </c>
      <c r="B53" s="69" t="n"/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  <c r="L53" s="85">
        <f>IF(AND($B53&lt;&gt;"",$B53='קבוצות'!$A$9),IF(L52="","",L52&amp;", ")&amp;$A53,L52)</f>
        <v/>
      </c>
      <c r="M53" s="85">
        <f>IF(AND($B53&lt;&gt;"",$B53='קבוצות'!$A$10),IF(M52="","",M52&amp;", ")&amp;$A53,M52)</f>
        <v/>
      </c>
      <c r="N53" s="85">
        <f>IF(AND($B53&lt;&gt;"",$B53='קבוצות'!$A$11),IF(N52="","",N52&amp;", ")&amp;$A53,N52)</f>
        <v/>
      </c>
      <c r="O53" s="85">
        <f>IF(AND($B53&lt;&gt;"",$B53='קבוצות'!$A$12),IF(O52="","",O52&amp;", ")&amp;$A53,O52)</f>
        <v/>
      </c>
      <c r="P53" s="85">
        <f>IF(AND($B53&lt;&gt;"",$B53='קבוצות'!$A$13),IF(P52="","",P52&amp;", ")&amp;$A53,P52)</f>
        <v/>
      </c>
      <c r="Q53" s="85">
        <f>IF(AND($B53&lt;&gt;"",$B53='קבוצות'!$A$14),IF(Q52="","",Q52&amp;", ")&amp;$A53,Q52)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  <c r="L54" s="85">
        <f>IF(AND($B54&lt;&gt;"",$B54='קבוצות'!$A$9),IF(L53="","",L53&amp;", ")&amp;$A54,L53)</f>
        <v/>
      </c>
      <c r="M54" s="85">
        <f>IF(AND($B54&lt;&gt;"",$B54='קבוצות'!$A$10),IF(M53="","",M53&amp;", ")&amp;$A54,M53)</f>
        <v/>
      </c>
      <c r="N54" s="85">
        <f>IF(AND($B54&lt;&gt;"",$B54='קבוצות'!$A$11),IF(N53="","",N53&amp;", ")&amp;$A54,N53)</f>
        <v/>
      </c>
      <c r="O54" s="85">
        <f>IF(AND($B54&lt;&gt;"",$B54='קבוצות'!$A$12),IF(O53="","",O53&amp;", ")&amp;$A54,O53)</f>
        <v/>
      </c>
      <c r="P54" s="85">
        <f>IF(AND($B54&lt;&gt;"",$B54='קבוצות'!$A$13),IF(P53="","",P53&amp;", ")&amp;$A54,P53)</f>
        <v/>
      </c>
      <c r="Q54" s="85">
        <f>IF(AND($B54&lt;&gt;"",$B54='קבוצות'!$A$14),IF(Q53="","",Q53&amp;", ")&amp;$A54,Q53)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  <c r="L55" s="85">
        <f>IF(AND($B55&lt;&gt;"",$B55='קבוצות'!$A$9),IF(L54="","",L54&amp;", ")&amp;$A55,L54)</f>
        <v/>
      </c>
      <c r="M55" s="85">
        <f>IF(AND($B55&lt;&gt;"",$B55='קבוצות'!$A$10),IF(M54="","",M54&amp;", ")&amp;$A55,M54)</f>
        <v/>
      </c>
      <c r="N55" s="85">
        <f>IF(AND($B55&lt;&gt;"",$B55='קבוצות'!$A$11),IF(N54="","",N54&amp;", ")&amp;$A55,N54)</f>
        <v/>
      </c>
      <c r="O55" s="85">
        <f>IF(AND($B55&lt;&gt;"",$B55='קבוצות'!$A$12),IF(O54="","",O54&amp;", ")&amp;$A55,O54)</f>
        <v/>
      </c>
      <c r="P55" s="85">
        <f>IF(AND($B55&lt;&gt;"",$B55='קבוצות'!$A$13),IF(P54="","",P54&amp;", ")&amp;$A55,P54)</f>
        <v/>
      </c>
      <c r="Q55" s="85">
        <f>IF(AND($B55&lt;&gt;"",$B55='קבוצות'!$A$14),IF(Q54="","",Q54&amp;", ")&amp;$A55,Q54)</f>
        <v/>
      </c>
    </row>
    <row r="56" ht="20" customHeight="1">
      <c r="A56" s="19" t="inlineStr">
        <is>
          <t>ארבל פרנקו</t>
        </is>
      </c>
      <c r="B56" s="69" t="n"/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  <c r="L56" s="85">
        <f>IF(AND($B56&lt;&gt;"",$B56='קבוצות'!$A$9),IF(L55="","",L55&amp;", ")&amp;$A56,L55)</f>
        <v/>
      </c>
      <c r="M56" s="85">
        <f>IF(AND($B56&lt;&gt;"",$B56='קבוצות'!$A$10),IF(M55="","",M55&amp;", ")&amp;$A56,M55)</f>
        <v/>
      </c>
      <c r="N56" s="85">
        <f>IF(AND($B56&lt;&gt;"",$B56='קבוצות'!$A$11),IF(N55="","",N55&amp;", ")&amp;$A56,N55)</f>
        <v/>
      </c>
      <c r="O56" s="85">
        <f>IF(AND($B56&lt;&gt;"",$B56='קבוצות'!$A$12),IF(O55="","",O55&amp;", ")&amp;$A56,O55)</f>
        <v/>
      </c>
      <c r="P56" s="85">
        <f>IF(AND($B56&lt;&gt;"",$B56='קבוצות'!$A$13),IF(P55="","",P55&amp;", ")&amp;$A56,P55)</f>
        <v/>
      </c>
      <c r="Q56" s="85">
        <f>IF(AND($B56&lt;&gt;"",$B56='קבוצות'!$A$14),IF(Q55="","",Q55&amp;", ")&amp;$A56,Q55)</f>
        <v/>
      </c>
    </row>
    <row r="57" ht="20" customHeight="1">
      <c r="A57" s="19" t="inlineStr">
        <is>
          <t>יעל קהת</t>
        </is>
      </c>
      <c r="B57" s="69" t="n"/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  <c r="L57" s="85">
        <f>IF(AND($B57&lt;&gt;"",$B57='קבוצות'!$A$9),IF(L56="","",L56&amp;", ")&amp;$A57,L56)</f>
        <v/>
      </c>
      <c r="M57" s="85">
        <f>IF(AND($B57&lt;&gt;"",$B57='קבוצות'!$A$10),IF(M56="","",M56&amp;", ")&amp;$A57,M56)</f>
        <v/>
      </c>
      <c r="N57" s="85">
        <f>IF(AND($B57&lt;&gt;"",$B57='קבוצות'!$A$11),IF(N56="","",N56&amp;", ")&amp;$A57,N56)</f>
        <v/>
      </c>
      <c r="O57" s="85">
        <f>IF(AND($B57&lt;&gt;"",$B57='קבוצות'!$A$12),IF(O56="","",O56&amp;", ")&amp;$A57,O56)</f>
        <v/>
      </c>
      <c r="P57" s="85">
        <f>IF(AND($B57&lt;&gt;"",$B57='קבוצות'!$A$13),IF(P56="","",P56&amp;", ")&amp;$A57,P56)</f>
        <v/>
      </c>
      <c r="Q57" s="85">
        <f>IF(AND($B57&lt;&gt;"",$B57='קבוצות'!$A$14),IF(Q56="","",Q56&amp;", ")&amp;$A57,Q56)</f>
        <v/>
      </c>
    </row>
    <row r="58" ht="20" customHeight="1">
      <c r="A58" s="19" t="inlineStr">
        <is>
          <t>יעל ברחד</t>
        </is>
      </c>
      <c r="B58" s="69" t="n"/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  <c r="L58" s="85">
        <f>IF(AND($B58&lt;&gt;"",$B58='קבוצות'!$A$9),IF(L57="","",L57&amp;", ")&amp;$A58,L57)</f>
        <v/>
      </c>
      <c r="M58" s="85">
        <f>IF(AND($B58&lt;&gt;"",$B58='קבוצות'!$A$10),IF(M57="","",M57&amp;", ")&amp;$A58,M57)</f>
        <v/>
      </c>
      <c r="N58" s="85">
        <f>IF(AND($B58&lt;&gt;"",$B58='קבוצות'!$A$11),IF(N57="","",N57&amp;", ")&amp;$A58,N57)</f>
        <v/>
      </c>
      <c r="O58" s="85">
        <f>IF(AND($B58&lt;&gt;"",$B58='קבוצות'!$A$12),IF(O57="","",O57&amp;", ")&amp;$A58,O57)</f>
        <v/>
      </c>
      <c r="P58" s="85">
        <f>IF(AND($B58&lt;&gt;"",$B58='קבוצות'!$A$13),IF(P57="","",P57&amp;", ")&amp;$A58,P57)</f>
        <v/>
      </c>
      <c r="Q58" s="85">
        <f>IF(AND($B58&lt;&gt;"",$B58='קבוצות'!$A$14),IF(Q57="","",Q57&amp;", ")&amp;$A58,Q57)</f>
        <v/>
      </c>
    </row>
    <row r="59" ht="20" customHeight="1">
      <c r="A59" s="19" t="inlineStr">
        <is>
          <t>תמר פרידמן</t>
        </is>
      </c>
      <c r="B59" s="69" t="n"/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  <c r="L59" s="85">
        <f>IF(AND($B59&lt;&gt;"",$B59='קבוצות'!$A$9),IF(L58="","",L58&amp;", ")&amp;$A59,L58)</f>
        <v/>
      </c>
      <c r="M59" s="85">
        <f>IF(AND($B59&lt;&gt;"",$B59='קבוצות'!$A$10),IF(M58="","",M58&amp;", ")&amp;$A59,M58)</f>
        <v/>
      </c>
      <c r="N59" s="85">
        <f>IF(AND($B59&lt;&gt;"",$B59='קבוצות'!$A$11),IF(N58="","",N58&amp;", ")&amp;$A59,N58)</f>
        <v/>
      </c>
      <c r="O59" s="85">
        <f>IF(AND($B59&lt;&gt;"",$B59='קבוצות'!$A$12),IF(O58="","",O58&amp;", ")&amp;$A59,O58)</f>
        <v/>
      </c>
      <c r="P59" s="85">
        <f>IF(AND($B59&lt;&gt;"",$B59='קבוצות'!$A$13),IF(P58="","",P58&amp;", ")&amp;$A59,P58)</f>
        <v/>
      </c>
      <c r="Q59" s="85">
        <f>IF(AND($B59&lt;&gt;"",$B59='קבוצות'!$A$14),IF(Q58="","",Q58&amp;", ")&amp;$A59,Q58)</f>
        <v/>
      </c>
    </row>
    <row r="60" ht="20" customHeight="1">
      <c r="A60" s="19" t="inlineStr">
        <is>
          <t>יותם ספיר</t>
        </is>
      </c>
      <c r="B60" s="69" t="n"/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  <c r="L60" s="85">
        <f>IF(AND($B60&lt;&gt;"",$B60='קבוצות'!$A$9),IF(L59="","",L59&amp;", ")&amp;$A60,L59)</f>
        <v/>
      </c>
      <c r="M60" s="85">
        <f>IF(AND($B60&lt;&gt;"",$B60='קבוצות'!$A$10),IF(M59="","",M59&amp;", ")&amp;$A60,M59)</f>
        <v/>
      </c>
      <c r="N60" s="85">
        <f>IF(AND($B60&lt;&gt;"",$B60='קבוצות'!$A$11),IF(N59="","",N59&amp;", ")&amp;$A60,N59)</f>
        <v/>
      </c>
      <c r="O60" s="85">
        <f>IF(AND($B60&lt;&gt;"",$B60='קבוצות'!$A$12),IF(O59="","",O59&amp;", ")&amp;$A60,O59)</f>
        <v/>
      </c>
      <c r="P60" s="85">
        <f>IF(AND($B60&lt;&gt;"",$B60='קבוצות'!$A$13),IF(P59="","",P59&amp;", ")&amp;$A60,P59)</f>
        <v/>
      </c>
      <c r="Q60" s="85">
        <f>IF(AND($B60&lt;&gt;"",$B60='קבוצות'!$A$14),IF(Q59="","",Q59&amp;", ")&amp;$A60,Q59)</f>
        <v/>
      </c>
    </row>
    <row r="61" ht="20" customHeight="1">
      <c r="A61" s="19" t="inlineStr">
        <is>
          <t>איתמר אסנהיים</t>
        </is>
      </c>
      <c r="B61" s="69" t="n"/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  <c r="L61" s="85">
        <f>IF(AND($B61&lt;&gt;"",$B61='קבוצות'!$A$9),IF(L60="","",L60&amp;", ")&amp;$A61,L60)</f>
        <v/>
      </c>
      <c r="M61" s="85">
        <f>IF(AND($B61&lt;&gt;"",$B61='קבוצות'!$A$10),IF(M60="","",M60&amp;", ")&amp;$A61,M60)</f>
        <v/>
      </c>
      <c r="N61" s="85">
        <f>IF(AND($B61&lt;&gt;"",$B61='קבוצות'!$A$11),IF(N60="","",N60&amp;", ")&amp;$A61,N60)</f>
        <v/>
      </c>
      <c r="O61" s="85">
        <f>IF(AND($B61&lt;&gt;"",$B61='קבוצות'!$A$12),IF(O60="","",O60&amp;", ")&amp;$A61,O60)</f>
        <v/>
      </c>
      <c r="P61" s="85">
        <f>IF(AND($B61&lt;&gt;"",$B61='קבוצות'!$A$13),IF(P60="","",P60&amp;", ")&amp;$A61,P60)</f>
        <v/>
      </c>
      <c r="Q61" s="85">
        <f>IF(AND($B61&lt;&gt;"",$B61='קבוצות'!$A$14),IF(Q60="","",Q60&amp;", ")&amp;$A61,Q60)</f>
        <v/>
      </c>
    </row>
    <row r="62" ht="20" customHeight="1">
      <c r="A62" s="19" t="inlineStr">
        <is>
          <t>שי- לי וולגמוט</t>
        </is>
      </c>
      <c r="B62" s="69" t="n"/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  <c r="L62" s="85">
        <f>IF(AND($B62&lt;&gt;"",$B62='קבוצות'!$A$9),IF(L61="","",L61&amp;", ")&amp;$A62,L61)</f>
        <v/>
      </c>
      <c r="M62" s="85">
        <f>IF(AND($B62&lt;&gt;"",$B62='קבוצות'!$A$10),IF(M61="","",M61&amp;", ")&amp;$A62,M61)</f>
        <v/>
      </c>
      <c r="N62" s="85">
        <f>IF(AND($B62&lt;&gt;"",$B62='קבוצות'!$A$11),IF(N61="","",N61&amp;", ")&amp;$A62,N61)</f>
        <v/>
      </c>
      <c r="O62" s="85">
        <f>IF(AND($B62&lt;&gt;"",$B62='קבוצות'!$A$12),IF(O61="","",O61&amp;", ")&amp;$A62,O61)</f>
        <v/>
      </c>
      <c r="P62" s="85">
        <f>IF(AND($B62&lt;&gt;"",$B62='קבוצות'!$A$13),IF(P61="","",P61&amp;", ")&amp;$A62,P61)</f>
        <v/>
      </c>
      <c r="Q62" s="85">
        <f>IF(AND($B62&lt;&gt;"",$B62='קבוצות'!$A$14),IF(Q61="","",Q61&amp;", ")&amp;$A62,Q61)</f>
        <v/>
      </c>
    </row>
    <row r="63" ht="20" customHeight="1">
      <c r="A63" s="19" t="inlineStr">
        <is>
          <t>יהונתן קצב</t>
        </is>
      </c>
      <c r="B63" s="69" t="n"/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  <c r="L63" s="85">
        <f>IF(AND($B63&lt;&gt;"",$B63='קבוצות'!$A$9),IF(L62="","",L62&amp;", ")&amp;$A63,L62)</f>
        <v/>
      </c>
      <c r="M63" s="85">
        <f>IF(AND($B63&lt;&gt;"",$B63='קבוצות'!$A$10),IF(M62="","",M62&amp;", ")&amp;$A63,M62)</f>
        <v/>
      </c>
      <c r="N63" s="85">
        <f>IF(AND($B63&lt;&gt;"",$B63='קבוצות'!$A$11),IF(N62="","",N62&amp;", ")&amp;$A63,N62)</f>
        <v/>
      </c>
      <c r="O63" s="85">
        <f>IF(AND($B63&lt;&gt;"",$B63='קבוצות'!$A$12),IF(O62="","",O62&amp;", ")&amp;$A63,O62)</f>
        <v/>
      </c>
      <c r="P63" s="85">
        <f>IF(AND($B63&lt;&gt;"",$B63='קבוצות'!$A$13),IF(P62="","",P62&amp;", ")&amp;$A63,P62)</f>
        <v/>
      </c>
      <c r="Q63" s="85">
        <f>IF(AND($B63&lt;&gt;"",$B63='קבוצות'!$A$14),IF(Q62="","",Q62&amp;", ")&amp;$A63,Q62)</f>
        <v/>
      </c>
    </row>
    <row r="64" ht="20" customHeight="1">
      <c r="A64" s="19" t="inlineStr">
        <is>
          <t>שילת פילפל</t>
        </is>
      </c>
      <c r="B64" s="69" t="n"/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  <c r="L64" s="85">
        <f>IF(AND($B64&lt;&gt;"",$B64='קבוצות'!$A$9),IF(L63="","",L63&amp;", ")&amp;$A64,L63)</f>
        <v/>
      </c>
      <c r="M64" s="85">
        <f>IF(AND($B64&lt;&gt;"",$B64='קבוצות'!$A$10),IF(M63="","",M63&amp;", ")&amp;$A64,M63)</f>
        <v/>
      </c>
      <c r="N64" s="85">
        <f>IF(AND($B64&lt;&gt;"",$B64='קבוצות'!$A$11),IF(N63="","",N63&amp;", ")&amp;$A64,N63)</f>
        <v/>
      </c>
      <c r="O64" s="85">
        <f>IF(AND($B64&lt;&gt;"",$B64='קבוצות'!$A$12),IF(O63="","",O63&amp;", ")&amp;$A64,O63)</f>
        <v/>
      </c>
      <c r="P64" s="85">
        <f>IF(AND($B64&lt;&gt;"",$B64='קבוצות'!$A$13),IF(P63="","",P63&amp;", ")&amp;$A64,P63)</f>
        <v/>
      </c>
      <c r="Q64" s="85">
        <f>IF(AND($B64&lt;&gt;"",$B64='קבוצות'!$A$14),IF(Q63="","",Q63&amp;", ")&amp;$A64,Q63)</f>
        <v/>
      </c>
    </row>
    <row r="65" ht="20" customHeight="1">
      <c r="A65" s="19" t="inlineStr">
        <is>
          <t>נועם ישראל קומפאס</t>
        </is>
      </c>
      <c r="B65" s="69" t="n"/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  <c r="L65" s="85">
        <f>IF(AND($B65&lt;&gt;"",$B65='קבוצות'!$A$9),IF(L64="","",L64&amp;", ")&amp;$A65,L64)</f>
        <v/>
      </c>
      <c r="M65" s="85">
        <f>IF(AND($B65&lt;&gt;"",$B65='קבוצות'!$A$10),IF(M64="","",M64&amp;", ")&amp;$A65,M64)</f>
        <v/>
      </c>
      <c r="N65" s="85">
        <f>IF(AND($B65&lt;&gt;"",$B65='קבוצות'!$A$11),IF(N64="","",N64&amp;", ")&amp;$A65,N64)</f>
        <v/>
      </c>
      <c r="O65" s="85">
        <f>IF(AND($B65&lt;&gt;"",$B65='קבוצות'!$A$12),IF(O64="","",O64&amp;", ")&amp;$A65,O64)</f>
        <v/>
      </c>
      <c r="P65" s="85">
        <f>IF(AND($B65&lt;&gt;"",$B65='קבוצות'!$A$13),IF(P64="","",P64&amp;", ")&amp;$A65,P64)</f>
        <v/>
      </c>
      <c r="Q65" s="85">
        <f>IF(AND($B65&lt;&gt;"",$B65='קבוצות'!$A$14),IF(Q64="","",Q64&amp;", ")&amp;$A65,Q64)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  <c r="L66" s="85">
        <f>IF(AND($B66&lt;&gt;"",$B66='קבוצות'!$A$9),IF(L65="","",L65&amp;", ")&amp;$A66,L65)</f>
        <v/>
      </c>
      <c r="M66" s="85">
        <f>IF(AND($B66&lt;&gt;"",$B66='קבוצות'!$A$10),IF(M65="","",M65&amp;", ")&amp;$A66,M65)</f>
        <v/>
      </c>
      <c r="N66" s="85">
        <f>IF(AND($B66&lt;&gt;"",$B66='קבוצות'!$A$11),IF(N65="","",N65&amp;", ")&amp;$A66,N65)</f>
        <v/>
      </c>
      <c r="O66" s="85">
        <f>IF(AND($B66&lt;&gt;"",$B66='קבוצות'!$A$12),IF(O65="","",O65&amp;", ")&amp;$A66,O65)</f>
        <v/>
      </c>
      <c r="P66" s="85">
        <f>IF(AND($B66&lt;&gt;"",$B66='קבוצות'!$A$13),IF(P65="","",P65&amp;", ")&amp;$A66,P65)</f>
        <v/>
      </c>
      <c r="Q66" s="85">
        <f>IF(AND($B66&lt;&gt;"",$B66='קבוצות'!$A$14),IF(Q65="","",Q65&amp;", ")&amp;$A66,Q65)</f>
        <v/>
      </c>
    </row>
    <row r="67" ht="20" customHeight="1">
      <c r="A67" s="19" t="inlineStr">
        <is>
          <t>שירה אדלה לוזון</t>
        </is>
      </c>
      <c r="B67" s="69" t="n"/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  <c r="L67" s="85">
        <f>IF(AND($B67&lt;&gt;"",$B67='קבוצות'!$A$9),IF(L66="","",L66&amp;", ")&amp;$A67,L66)</f>
        <v/>
      </c>
      <c r="M67" s="85">
        <f>IF(AND($B67&lt;&gt;"",$B67='קבוצות'!$A$10),IF(M66="","",M66&amp;", ")&amp;$A67,M66)</f>
        <v/>
      </c>
      <c r="N67" s="85">
        <f>IF(AND($B67&lt;&gt;"",$B67='קבוצות'!$A$11),IF(N66="","",N66&amp;", ")&amp;$A67,N66)</f>
        <v/>
      </c>
      <c r="O67" s="85">
        <f>IF(AND($B67&lt;&gt;"",$B67='קבוצות'!$A$12),IF(O66="","",O66&amp;", ")&amp;$A67,O66)</f>
        <v/>
      </c>
      <c r="P67" s="85">
        <f>IF(AND($B67&lt;&gt;"",$B67='קבוצות'!$A$13),IF(P66="","",P66&amp;", ")&amp;$A67,P66)</f>
        <v/>
      </c>
      <c r="Q67" s="85">
        <f>IF(AND($B67&lt;&gt;"",$B67='קבוצות'!$A$14),IF(Q66="","",Q66&amp;", ")&amp;$A67,Q66)</f>
        <v/>
      </c>
    </row>
    <row r="68" ht="20" customHeight="1">
      <c r="A68" s="19" t="inlineStr">
        <is>
          <t>איתן כהן</t>
        </is>
      </c>
      <c r="B68" s="69" t="n"/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  <c r="L68" s="85">
        <f>IF(AND($B68&lt;&gt;"",$B68='קבוצות'!$A$9),IF(L67="","",L67&amp;", ")&amp;$A68,L67)</f>
        <v/>
      </c>
      <c r="M68" s="85">
        <f>IF(AND($B68&lt;&gt;"",$B68='קבוצות'!$A$10),IF(M67="","",M67&amp;", ")&amp;$A68,M67)</f>
        <v/>
      </c>
      <c r="N68" s="85">
        <f>IF(AND($B68&lt;&gt;"",$B68='קבוצות'!$A$11),IF(N67="","",N67&amp;", ")&amp;$A68,N67)</f>
        <v/>
      </c>
      <c r="O68" s="85">
        <f>IF(AND($B68&lt;&gt;"",$B68='קבוצות'!$A$12),IF(O67="","",O67&amp;", ")&amp;$A68,O67)</f>
        <v/>
      </c>
      <c r="P68" s="85">
        <f>IF(AND($B68&lt;&gt;"",$B68='קבוצות'!$A$13),IF(P67="","",P67&amp;", ")&amp;$A68,P67)</f>
        <v/>
      </c>
      <c r="Q68" s="85">
        <f>IF(AND($B68&lt;&gt;"",$B68='קבוצות'!$A$14),IF(Q67="","",Q67&amp;", ")&amp;$A68,Q67)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  <c r="L69" s="85">
        <f>IF(AND($B69&lt;&gt;"",$B69='קבוצות'!$A$9),IF(L68="","",L68&amp;", ")&amp;$A69,L68)</f>
        <v/>
      </c>
      <c r="M69" s="85">
        <f>IF(AND($B69&lt;&gt;"",$B69='קבוצות'!$A$10),IF(M68="","",M68&amp;", ")&amp;$A69,M68)</f>
        <v/>
      </c>
      <c r="N69" s="85">
        <f>IF(AND($B69&lt;&gt;"",$B69='קבוצות'!$A$11),IF(N68="","",N68&amp;", ")&amp;$A69,N68)</f>
        <v/>
      </c>
      <c r="O69" s="85">
        <f>IF(AND($B69&lt;&gt;"",$B69='קבוצות'!$A$12),IF(O68="","",O68&amp;", ")&amp;$A69,O68)</f>
        <v/>
      </c>
      <c r="P69" s="85">
        <f>IF(AND($B69&lt;&gt;"",$B69='קבוצות'!$A$13),IF(P68="","",P68&amp;", ")&amp;$A69,P68)</f>
        <v/>
      </c>
      <c r="Q69" s="85">
        <f>IF(AND($B69&lt;&gt;"",$B69='קבוצות'!$A$14),IF(Q68="","",Q68&amp;", ")&amp;$A69,Q68)</f>
        <v/>
      </c>
    </row>
    <row r="70" ht="20" customHeight="1">
      <c r="A70" s="19" t="inlineStr">
        <is>
          <t>איתי בן מנחם</t>
        </is>
      </c>
      <c r="B70" s="69" t="n"/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  <c r="L70" s="85">
        <f>IF(AND($B70&lt;&gt;"",$B70='קבוצות'!$A$9),IF(L69="","",L69&amp;", ")&amp;$A70,L69)</f>
        <v/>
      </c>
      <c r="M70" s="85">
        <f>IF(AND($B70&lt;&gt;"",$B70='קבוצות'!$A$10),IF(M69="","",M69&amp;", ")&amp;$A70,M69)</f>
        <v/>
      </c>
      <c r="N70" s="85">
        <f>IF(AND($B70&lt;&gt;"",$B70='קבוצות'!$A$11),IF(N69="","",N69&amp;", ")&amp;$A70,N69)</f>
        <v/>
      </c>
      <c r="O70" s="85">
        <f>IF(AND($B70&lt;&gt;"",$B70='קבוצות'!$A$12),IF(O69="","",O69&amp;", ")&amp;$A70,O69)</f>
        <v/>
      </c>
      <c r="P70" s="85">
        <f>IF(AND($B70&lt;&gt;"",$B70='קבוצות'!$A$13),IF(P69="","",P69&amp;", ")&amp;$A70,P69)</f>
        <v/>
      </c>
      <c r="Q70" s="85">
        <f>IF(AND($B70&lt;&gt;"",$B70='קבוצות'!$A$14),IF(Q69="","",Q69&amp;", ")&amp;$A70,Q69)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  <c r="L71" s="85">
        <f>IF(AND($B71&lt;&gt;"",$B71='קבוצות'!$A$9),IF(L70="","",L70&amp;", ")&amp;$A71,L70)</f>
        <v/>
      </c>
      <c r="M71" s="85">
        <f>IF(AND($B71&lt;&gt;"",$B71='קבוצות'!$A$10),IF(M70="","",M70&amp;", ")&amp;$A71,M70)</f>
        <v/>
      </c>
      <c r="N71" s="85">
        <f>IF(AND($B71&lt;&gt;"",$B71='קבוצות'!$A$11),IF(N70="","",N70&amp;", ")&amp;$A71,N70)</f>
        <v/>
      </c>
      <c r="O71" s="85">
        <f>IF(AND($B71&lt;&gt;"",$B71='קבוצות'!$A$12),IF(O70="","",O70&amp;", ")&amp;$A71,O70)</f>
        <v/>
      </c>
      <c r="P71" s="85">
        <f>IF(AND($B71&lt;&gt;"",$B71='קבוצות'!$A$13),IF(P70="","",P70&amp;", ")&amp;$A71,P70)</f>
        <v/>
      </c>
      <c r="Q71" s="85">
        <f>IF(AND($B71&lt;&gt;"",$B71='קבוצות'!$A$14),IF(Q70="","",Q70&amp;", ")&amp;$A71,Q70)</f>
        <v/>
      </c>
    </row>
    <row r="72" ht="20" customHeight="1">
      <c r="A72" s="19" t="inlineStr">
        <is>
          <t>טליה קור</t>
        </is>
      </c>
      <c r="B72" s="69" t="n"/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  <c r="L72" s="85">
        <f>IF(AND($B72&lt;&gt;"",$B72='קבוצות'!$A$9),IF(L71="","",L71&amp;", ")&amp;$A72,L71)</f>
        <v/>
      </c>
      <c r="M72" s="85">
        <f>IF(AND($B72&lt;&gt;"",$B72='קבוצות'!$A$10),IF(M71="","",M71&amp;", ")&amp;$A72,M71)</f>
        <v/>
      </c>
      <c r="N72" s="85">
        <f>IF(AND($B72&lt;&gt;"",$B72='קבוצות'!$A$11),IF(N71="","",N71&amp;", ")&amp;$A72,N71)</f>
        <v/>
      </c>
      <c r="O72" s="85">
        <f>IF(AND($B72&lt;&gt;"",$B72='קבוצות'!$A$12),IF(O71="","",O71&amp;", ")&amp;$A72,O71)</f>
        <v/>
      </c>
      <c r="P72" s="85">
        <f>IF(AND($B72&lt;&gt;"",$B72='קבוצות'!$A$13),IF(P71="","",P71&amp;", ")&amp;$A72,P71)</f>
        <v/>
      </c>
      <c r="Q72" s="85">
        <f>IF(AND($B72&lt;&gt;"",$B72='קבוצות'!$A$14),IF(Q71="","",Q71&amp;", ")&amp;$A72,Q71)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  <c r="L73" s="85">
        <f>IF(AND($B73&lt;&gt;"",$B73='קבוצות'!$A$9),IF(L72="","",L72&amp;", ")&amp;$A73,L72)</f>
        <v/>
      </c>
      <c r="M73" s="85">
        <f>IF(AND($B73&lt;&gt;"",$B73='קבוצות'!$A$10),IF(M72="","",M72&amp;", ")&amp;$A73,M72)</f>
        <v/>
      </c>
      <c r="N73" s="85">
        <f>IF(AND($B73&lt;&gt;"",$B73='קבוצות'!$A$11),IF(N72="","",N72&amp;", ")&amp;$A73,N72)</f>
        <v/>
      </c>
      <c r="O73" s="85">
        <f>IF(AND($B73&lt;&gt;"",$B73='קבוצות'!$A$12),IF(O72="","",O72&amp;", ")&amp;$A73,O72)</f>
        <v/>
      </c>
      <c r="P73" s="85">
        <f>IF(AND($B73&lt;&gt;"",$B73='קבוצות'!$A$13),IF(P72="","",P72&amp;", ")&amp;$A73,P72)</f>
        <v/>
      </c>
      <c r="Q73" s="85">
        <f>IF(AND($B73&lt;&gt;"",$B73='קבוצות'!$A$14),IF(Q72="","",Q72&amp;", ")&amp;$A73,Q72)</f>
        <v/>
      </c>
    </row>
    <row r="74" ht="20" customHeight="1">
      <c r="A74" s="19" t="inlineStr">
        <is>
          <t>אביב רוזנטל</t>
        </is>
      </c>
      <c r="B74" s="69" t="n"/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  <c r="L74" s="85">
        <f>IF(AND($B74&lt;&gt;"",$B74='קבוצות'!$A$9),IF(L73="","",L73&amp;", ")&amp;$A74,L73)</f>
        <v/>
      </c>
      <c r="M74" s="85">
        <f>IF(AND($B74&lt;&gt;"",$B74='קבוצות'!$A$10),IF(M73="","",M73&amp;", ")&amp;$A74,M73)</f>
        <v/>
      </c>
      <c r="N74" s="85">
        <f>IF(AND($B74&lt;&gt;"",$B74='קבוצות'!$A$11),IF(N73="","",N73&amp;", ")&amp;$A74,N73)</f>
        <v/>
      </c>
      <c r="O74" s="85">
        <f>IF(AND($B74&lt;&gt;"",$B74='קבוצות'!$A$12),IF(O73="","",O73&amp;", ")&amp;$A74,O73)</f>
        <v/>
      </c>
      <c r="P74" s="85">
        <f>IF(AND($B74&lt;&gt;"",$B74='קבוצות'!$A$13),IF(P73="","",P73&amp;", ")&amp;$A74,P73)</f>
        <v/>
      </c>
      <c r="Q74" s="85">
        <f>IF(AND($B74&lt;&gt;"",$B74='קבוצות'!$A$14),IF(Q73="","",Q73&amp;", ")&amp;$A74,Q73)</f>
        <v/>
      </c>
    </row>
    <row r="75" ht="20" customHeight="1">
      <c r="A75" s="19" t="inlineStr">
        <is>
          <t>אביה וייל</t>
        </is>
      </c>
      <c r="B75" s="69" t="n"/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  <c r="L75" s="85">
        <f>IF(AND($B75&lt;&gt;"",$B75='קבוצות'!$A$9),IF(L74="","",L74&amp;", ")&amp;$A75,L74)</f>
        <v/>
      </c>
      <c r="M75" s="85">
        <f>IF(AND($B75&lt;&gt;"",$B75='קבוצות'!$A$10),IF(M74="","",M74&amp;", ")&amp;$A75,M74)</f>
        <v/>
      </c>
      <c r="N75" s="85">
        <f>IF(AND($B75&lt;&gt;"",$B75='קבוצות'!$A$11),IF(N74="","",N74&amp;", ")&amp;$A75,N74)</f>
        <v/>
      </c>
      <c r="O75" s="85">
        <f>IF(AND($B75&lt;&gt;"",$B75='קבוצות'!$A$12),IF(O74="","",O74&amp;", ")&amp;$A75,O74)</f>
        <v/>
      </c>
      <c r="P75" s="85">
        <f>IF(AND($B75&lt;&gt;"",$B75='קבוצות'!$A$13),IF(P74="","",P74&amp;", ")&amp;$A75,P74)</f>
        <v/>
      </c>
      <c r="Q75" s="85">
        <f>IF(AND($B75&lt;&gt;"",$B75='קבוצות'!$A$14),IF(Q74="","",Q74&amp;", ")&amp;$A75,Q74)</f>
        <v/>
      </c>
    </row>
    <row r="76" ht="20" customHeight="1">
      <c r="A76" s="19" t="inlineStr">
        <is>
          <t>אורי אסף</t>
        </is>
      </c>
      <c r="B76" s="69" t="n"/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  <c r="L76" s="85">
        <f>IF(AND($B76&lt;&gt;"",$B76='קבוצות'!$A$9),IF(L75="","",L75&amp;", ")&amp;$A76,L75)</f>
        <v/>
      </c>
      <c r="M76" s="85">
        <f>IF(AND($B76&lt;&gt;"",$B76='קבוצות'!$A$10),IF(M75="","",M75&amp;", ")&amp;$A76,M75)</f>
        <v/>
      </c>
      <c r="N76" s="85">
        <f>IF(AND($B76&lt;&gt;"",$B76='קבוצות'!$A$11),IF(N75="","",N75&amp;", ")&amp;$A76,N75)</f>
        <v/>
      </c>
      <c r="O76" s="85">
        <f>IF(AND($B76&lt;&gt;"",$B76='קבוצות'!$A$12),IF(O75="","",O75&amp;", ")&amp;$A76,O75)</f>
        <v/>
      </c>
      <c r="P76" s="85">
        <f>IF(AND($B76&lt;&gt;"",$B76='קבוצות'!$A$13),IF(P75="","",P75&amp;", ")&amp;$A76,P75)</f>
        <v/>
      </c>
      <c r="Q76" s="85">
        <f>IF(AND($B76&lt;&gt;"",$B76='קבוצות'!$A$14),IF(Q75="","",Q75&amp;", ")&amp;$A76,Q75)</f>
        <v/>
      </c>
    </row>
    <row r="77" ht="20" customHeight="1">
      <c r="A77" s="19" t="inlineStr">
        <is>
          <t>איתי גוסטינר</t>
        </is>
      </c>
      <c r="B77" s="69" t="n"/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  <c r="L77" s="85">
        <f>IF(AND($B77&lt;&gt;"",$B77='קבוצות'!$A$9),IF(L76="","",L76&amp;", ")&amp;$A77,L76)</f>
        <v/>
      </c>
      <c r="M77" s="85">
        <f>IF(AND($B77&lt;&gt;"",$B77='קבוצות'!$A$10),IF(M76="","",M76&amp;", ")&amp;$A77,M76)</f>
        <v/>
      </c>
      <c r="N77" s="85">
        <f>IF(AND($B77&lt;&gt;"",$B77='קבוצות'!$A$11),IF(N76="","",N76&amp;", ")&amp;$A77,N76)</f>
        <v/>
      </c>
      <c r="O77" s="85">
        <f>IF(AND($B77&lt;&gt;"",$B77='קבוצות'!$A$12),IF(O76="","",O76&amp;", ")&amp;$A77,O76)</f>
        <v/>
      </c>
      <c r="P77" s="85">
        <f>IF(AND($B77&lt;&gt;"",$B77='קבוצות'!$A$13),IF(P76="","",P76&amp;", ")&amp;$A77,P76)</f>
        <v/>
      </c>
      <c r="Q77" s="85">
        <f>IF(AND($B77&lt;&gt;"",$B77='קבוצות'!$A$14),IF(Q76="","",Q76&amp;", ")&amp;$A77,Q76)</f>
        <v/>
      </c>
    </row>
    <row r="78" ht="20" customHeight="1">
      <c r="A78" s="19" t="inlineStr">
        <is>
          <t>איתי רוס</t>
        </is>
      </c>
      <c r="B78" s="69" t="n"/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  <c r="L78" s="85">
        <f>IF(AND($B78&lt;&gt;"",$B78='קבוצות'!$A$9),IF(L77="","",L77&amp;", ")&amp;$A78,L77)</f>
        <v/>
      </c>
      <c r="M78" s="85">
        <f>IF(AND($B78&lt;&gt;"",$B78='קבוצות'!$A$10),IF(M77="","",M77&amp;", ")&amp;$A78,M77)</f>
        <v/>
      </c>
      <c r="N78" s="85">
        <f>IF(AND($B78&lt;&gt;"",$B78='קבוצות'!$A$11),IF(N77="","",N77&amp;", ")&amp;$A78,N77)</f>
        <v/>
      </c>
      <c r="O78" s="85">
        <f>IF(AND($B78&lt;&gt;"",$B78='קבוצות'!$A$12),IF(O77="","",O77&amp;", ")&amp;$A78,O77)</f>
        <v/>
      </c>
      <c r="P78" s="85">
        <f>IF(AND($B78&lt;&gt;"",$B78='קבוצות'!$A$13),IF(P77="","",P77&amp;", ")&amp;$A78,P77)</f>
        <v/>
      </c>
      <c r="Q78" s="85">
        <f>IF(AND($B78&lt;&gt;"",$B78='קבוצות'!$A$14),IF(Q77="","",Q77&amp;", ")&amp;$A78,Q77)</f>
        <v/>
      </c>
    </row>
    <row r="79" ht="20" customHeight="1">
      <c r="A79" s="19" t="inlineStr">
        <is>
          <t>אלון דיין</t>
        </is>
      </c>
      <c r="B79" s="69" t="n"/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  <c r="L79" s="85">
        <f>IF(AND($B79&lt;&gt;"",$B79='קבוצות'!$A$9),IF(L78="","",L78&amp;", ")&amp;$A79,L78)</f>
        <v/>
      </c>
      <c r="M79" s="85">
        <f>IF(AND($B79&lt;&gt;"",$B79='קבוצות'!$A$10),IF(M78="","",M78&amp;", ")&amp;$A79,M78)</f>
        <v/>
      </c>
      <c r="N79" s="85">
        <f>IF(AND($B79&lt;&gt;"",$B79='קבוצות'!$A$11),IF(N78="","",N78&amp;", ")&amp;$A79,N78)</f>
        <v/>
      </c>
      <c r="O79" s="85">
        <f>IF(AND($B79&lt;&gt;"",$B79='קבוצות'!$A$12),IF(O78="","",O78&amp;", ")&amp;$A79,O78)</f>
        <v/>
      </c>
      <c r="P79" s="85">
        <f>IF(AND($B79&lt;&gt;"",$B79='קבוצות'!$A$13),IF(P78="","",P78&amp;", ")&amp;$A79,P78)</f>
        <v/>
      </c>
      <c r="Q79" s="85">
        <f>IF(AND($B79&lt;&gt;"",$B79='קבוצות'!$A$14),IF(Q78="","",Q78&amp;", ")&amp;$A79,Q78)</f>
        <v/>
      </c>
    </row>
    <row r="80" ht="20" customHeight="1">
      <c r="A80" s="19" t="inlineStr">
        <is>
          <t>דנה שם טוב</t>
        </is>
      </c>
      <c r="B80" s="69" t="n"/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  <c r="L80" s="85">
        <f>IF(AND($B80&lt;&gt;"",$B80='קבוצות'!$A$9),IF(L79="","",L79&amp;", ")&amp;$A80,L79)</f>
        <v/>
      </c>
      <c r="M80" s="85">
        <f>IF(AND($B80&lt;&gt;"",$B80='קבוצות'!$A$10),IF(M79="","",M79&amp;", ")&amp;$A80,M79)</f>
        <v/>
      </c>
      <c r="N80" s="85">
        <f>IF(AND($B80&lt;&gt;"",$B80='קבוצות'!$A$11),IF(N79="","",N79&amp;", ")&amp;$A80,N79)</f>
        <v/>
      </c>
      <c r="O80" s="85">
        <f>IF(AND($B80&lt;&gt;"",$B80='קבוצות'!$A$12),IF(O79="","",O79&amp;", ")&amp;$A80,O79)</f>
        <v/>
      </c>
      <c r="P80" s="85">
        <f>IF(AND($B80&lt;&gt;"",$B80='קבוצות'!$A$13),IF(P79="","",P79&amp;", ")&amp;$A80,P79)</f>
        <v/>
      </c>
      <c r="Q80" s="85">
        <f>IF(AND($B80&lt;&gt;"",$B80='קבוצות'!$A$14),IF(Q79="","",Q79&amp;", ")&amp;$A80,Q79)</f>
        <v/>
      </c>
    </row>
    <row r="81" ht="20" customHeight="1">
      <c r="A81" s="19" t="inlineStr">
        <is>
          <t>יאר אלפסי</t>
        </is>
      </c>
      <c r="B81" s="69" t="n"/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  <c r="L81" s="85">
        <f>IF(AND($B81&lt;&gt;"",$B81='קבוצות'!$A$9),IF(L80="","",L80&amp;", ")&amp;$A81,L80)</f>
        <v/>
      </c>
      <c r="M81" s="85">
        <f>IF(AND($B81&lt;&gt;"",$B81='קבוצות'!$A$10),IF(M80="","",M80&amp;", ")&amp;$A81,M80)</f>
        <v/>
      </c>
      <c r="N81" s="85">
        <f>IF(AND($B81&lt;&gt;"",$B81='קבוצות'!$A$11),IF(N80="","",N80&amp;", ")&amp;$A81,N80)</f>
        <v/>
      </c>
      <c r="O81" s="85">
        <f>IF(AND($B81&lt;&gt;"",$B81='קבוצות'!$A$12),IF(O80="","",O80&amp;", ")&amp;$A81,O80)</f>
        <v/>
      </c>
      <c r="P81" s="85">
        <f>IF(AND($B81&lt;&gt;"",$B81='קבוצות'!$A$13),IF(P80="","",P80&amp;", ")&amp;$A81,P80)</f>
        <v/>
      </c>
      <c r="Q81" s="85">
        <f>IF(AND($B81&lt;&gt;"",$B81='קבוצות'!$A$14),IF(Q80="","",Q80&amp;", ")&amp;$A81,Q80)</f>
        <v/>
      </c>
    </row>
    <row r="82" ht="20" customHeight="1">
      <c r="A82" s="19" t="inlineStr">
        <is>
          <t>יערה ריס</t>
        </is>
      </c>
      <c r="B82" s="69" t="n"/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  <c r="L82" s="85">
        <f>IF(AND($B82&lt;&gt;"",$B82='קבוצות'!$A$9),IF(L81="","",L81&amp;", ")&amp;$A82,L81)</f>
        <v/>
      </c>
      <c r="M82" s="85">
        <f>IF(AND($B82&lt;&gt;"",$B82='קבוצות'!$A$10),IF(M81="","",M81&amp;", ")&amp;$A82,M81)</f>
        <v/>
      </c>
      <c r="N82" s="85">
        <f>IF(AND($B82&lt;&gt;"",$B82='קבוצות'!$A$11),IF(N81="","",N81&amp;", ")&amp;$A82,N81)</f>
        <v/>
      </c>
      <c r="O82" s="85">
        <f>IF(AND($B82&lt;&gt;"",$B82='קבוצות'!$A$12),IF(O81="","",O81&amp;", ")&amp;$A82,O81)</f>
        <v/>
      </c>
      <c r="P82" s="85">
        <f>IF(AND($B82&lt;&gt;"",$B82='קבוצות'!$A$13),IF(P81="","",P81&amp;", ")&amp;$A82,P81)</f>
        <v/>
      </c>
      <c r="Q82" s="85">
        <f>IF(AND($B82&lt;&gt;"",$B82='קבוצות'!$A$14),IF(Q81="","",Q81&amp;", ")&amp;$A82,Q81)</f>
        <v/>
      </c>
    </row>
    <row r="83" ht="20" customHeight="1">
      <c r="A83" s="19" t="inlineStr">
        <is>
          <t>ליאור שימרלינג</t>
        </is>
      </c>
      <c r="B83" s="69" t="n"/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  <c r="L83" s="85">
        <f>IF(AND($B83&lt;&gt;"",$B83='קבוצות'!$A$9),IF(L82="","",L82&amp;", ")&amp;$A83,L82)</f>
        <v/>
      </c>
      <c r="M83" s="85">
        <f>IF(AND($B83&lt;&gt;"",$B83='קבוצות'!$A$10),IF(M82="","",M82&amp;", ")&amp;$A83,M82)</f>
        <v/>
      </c>
      <c r="N83" s="85">
        <f>IF(AND($B83&lt;&gt;"",$B83='קבוצות'!$A$11),IF(N82="","",N82&amp;", ")&amp;$A83,N82)</f>
        <v/>
      </c>
      <c r="O83" s="85">
        <f>IF(AND($B83&lt;&gt;"",$B83='קבוצות'!$A$12),IF(O82="","",O82&amp;", ")&amp;$A83,O82)</f>
        <v/>
      </c>
      <c r="P83" s="85">
        <f>IF(AND($B83&lt;&gt;"",$B83='קבוצות'!$A$13),IF(P82="","",P82&amp;", ")&amp;$A83,P82)</f>
        <v/>
      </c>
      <c r="Q83" s="85">
        <f>IF(AND($B83&lt;&gt;"",$B83='קבוצות'!$A$14),IF(Q82="","",Q82&amp;", ")&amp;$A83,Q82)</f>
        <v/>
      </c>
    </row>
    <row r="84" ht="20" customHeight="1">
      <c r="A84" s="19" t="inlineStr">
        <is>
          <t>ליבי בוכריס</t>
        </is>
      </c>
      <c r="B84" s="69" t="n"/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  <c r="L84" s="85">
        <f>IF(AND($B84&lt;&gt;"",$B84='קבוצות'!$A$9),IF(L83="","",L83&amp;", ")&amp;$A84,L83)</f>
        <v/>
      </c>
      <c r="M84" s="85">
        <f>IF(AND($B84&lt;&gt;"",$B84='קבוצות'!$A$10),IF(M83="","",M83&amp;", ")&amp;$A84,M83)</f>
        <v/>
      </c>
      <c r="N84" s="85">
        <f>IF(AND($B84&lt;&gt;"",$B84='קבוצות'!$A$11),IF(N83="","",N83&amp;", ")&amp;$A84,N83)</f>
        <v/>
      </c>
      <c r="O84" s="85">
        <f>IF(AND($B84&lt;&gt;"",$B84='קבוצות'!$A$12),IF(O83="","",O83&amp;", ")&amp;$A84,O83)</f>
        <v/>
      </c>
      <c r="P84" s="85">
        <f>IF(AND($B84&lt;&gt;"",$B84='קבוצות'!$A$13),IF(P83="","",P83&amp;", ")&amp;$A84,P83)</f>
        <v/>
      </c>
      <c r="Q84" s="85">
        <f>IF(AND($B84&lt;&gt;"",$B84='קבוצות'!$A$14),IF(Q83="","",Q83&amp;", ")&amp;$A84,Q83)</f>
        <v/>
      </c>
    </row>
    <row r="85" ht="20" customHeight="1">
      <c r="A85" s="19" t="inlineStr">
        <is>
          <t>ליעם גבע</t>
        </is>
      </c>
      <c r="B85" s="69" t="n"/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  <c r="L85" s="85">
        <f>IF(AND($B85&lt;&gt;"",$B85='קבוצות'!$A$9),IF(L84="","",L84&amp;", ")&amp;$A85,L84)</f>
        <v/>
      </c>
      <c r="M85" s="85">
        <f>IF(AND($B85&lt;&gt;"",$B85='קבוצות'!$A$10),IF(M84="","",M84&amp;", ")&amp;$A85,M84)</f>
        <v/>
      </c>
      <c r="N85" s="85">
        <f>IF(AND($B85&lt;&gt;"",$B85='קבוצות'!$A$11),IF(N84="","",N84&amp;", ")&amp;$A85,N84)</f>
        <v/>
      </c>
      <c r="O85" s="85">
        <f>IF(AND($B85&lt;&gt;"",$B85='קבוצות'!$A$12),IF(O84="","",O84&amp;", ")&amp;$A85,O84)</f>
        <v/>
      </c>
      <c r="P85" s="85">
        <f>IF(AND($B85&lt;&gt;"",$B85='קבוצות'!$A$13),IF(P84="","",P84&amp;", ")&amp;$A85,P84)</f>
        <v/>
      </c>
      <c r="Q85" s="85">
        <f>IF(AND($B85&lt;&gt;"",$B85='קבוצות'!$A$14),IF(Q84="","",Q84&amp;", ")&amp;$A85,Q84)</f>
        <v/>
      </c>
    </row>
    <row r="86" ht="20" customHeight="1">
      <c r="A86" s="19" t="inlineStr">
        <is>
          <t>מאיה פקטר</t>
        </is>
      </c>
      <c r="B86" s="69" t="n"/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  <c r="L86" s="85">
        <f>IF(AND($B86&lt;&gt;"",$B86='קבוצות'!$A$9),IF(L85="","",L85&amp;", ")&amp;$A86,L85)</f>
        <v/>
      </c>
      <c r="M86" s="85">
        <f>IF(AND($B86&lt;&gt;"",$B86='קבוצות'!$A$10),IF(M85="","",M85&amp;", ")&amp;$A86,M85)</f>
        <v/>
      </c>
      <c r="N86" s="85">
        <f>IF(AND($B86&lt;&gt;"",$B86='קבוצות'!$A$11),IF(N85="","",N85&amp;", ")&amp;$A86,N85)</f>
        <v/>
      </c>
      <c r="O86" s="85">
        <f>IF(AND($B86&lt;&gt;"",$B86='קבוצות'!$A$12),IF(O85="","",O85&amp;", ")&amp;$A86,O85)</f>
        <v/>
      </c>
      <c r="P86" s="85">
        <f>IF(AND($B86&lt;&gt;"",$B86='קבוצות'!$A$13),IF(P85="","",P85&amp;", ")&amp;$A86,P85)</f>
        <v/>
      </c>
      <c r="Q86" s="85">
        <f>IF(AND($B86&lt;&gt;"",$B86='קבוצות'!$A$14),IF(Q85="","",Q85&amp;", ")&amp;$A86,Q85)</f>
        <v/>
      </c>
    </row>
    <row r="87" ht="20" customHeight="1">
      <c r="A87" s="19" t="inlineStr">
        <is>
          <t>נוה גריינר</t>
        </is>
      </c>
      <c r="B87" s="69" t="n"/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  <c r="L87" s="85">
        <f>IF(AND($B87&lt;&gt;"",$B87='קבוצות'!$A$9),IF(L86="","",L86&amp;", ")&amp;$A87,L86)</f>
        <v/>
      </c>
      <c r="M87" s="85">
        <f>IF(AND($B87&lt;&gt;"",$B87='קבוצות'!$A$10),IF(M86="","",M86&amp;", ")&amp;$A87,M86)</f>
        <v/>
      </c>
      <c r="N87" s="85">
        <f>IF(AND($B87&lt;&gt;"",$B87='קבוצות'!$A$11),IF(N86="","",N86&amp;", ")&amp;$A87,N86)</f>
        <v/>
      </c>
      <c r="O87" s="85">
        <f>IF(AND($B87&lt;&gt;"",$B87='קבוצות'!$A$12),IF(O86="","",O86&amp;", ")&amp;$A87,O86)</f>
        <v/>
      </c>
      <c r="P87" s="85">
        <f>IF(AND($B87&lt;&gt;"",$B87='קבוצות'!$A$13),IF(P86="","",P86&amp;", ")&amp;$A87,P86)</f>
        <v/>
      </c>
      <c r="Q87" s="85">
        <f>IF(AND($B87&lt;&gt;"",$B87='קבוצות'!$A$14),IF(Q86="","",Q86&amp;", ")&amp;$A87,Q86)</f>
        <v/>
      </c>
    </row>
    <row r="88" ht="20" customHeight="1">
      <c r="A88" s="19" t="inlineStr">
        <is>
          <t>נעמי פונקלשטיין</t>
        </is>
      </c>
      <c r="B88" s="69" t="n"/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  <c r="L88" s="85">
        <f>IF(AND($B88&lt;&gt;"",$B88='קבוצות'!$A$9),IF(L87="","",L87&amp;", ")&amp;$A88,L87)</f>
        <v/>
      </c>
      <c r="M88" s="85">
        <f>IF(AND($B88&lt;&gt;"",$B88='קבוצות'!$A$10),IF(M87="","",M87&amp;", ")&amp;$A88,M87)</f>
        <v/>
      </c>
      <c r="N88" s="85">
        <f>IF(AND($B88&lt;&gt;"",$B88='קבוצות'!$A$11),IF(N87="","",N87&amp;", ")&amp;$A88,N87)</f>
        <v/>
      </c>
      <c r="O88" s="85">
        <f>IF(AND($B88&lt;&gt;"",$B88='קבוצות'!$A$12),IF(O87="","",O87&amp;", ")&amp;$A88,O87)</f>
        <v/>
      </c>
      <c r="P88" s="85">
        <f>IF(AND($B88&lt;&gt;"",$B88='קבוצות'!$A$13),IF(P87="","",P87&amp;", ")&amp;$A88,P87)</f>
        <v/>
      </c>
      <c r="Q88" s="85">
        <f>IF(AND($B88&lt;&gt;"",$B88='קבוצות'!$A$14),IF(Q87="","",Q87&amp;", ")&amp;$A88,Q87)</f>
        <v/>
      </c>
    </row>
    <row r="89" ht="20" customHeight="1">
      <c r="A89" s="19" t="inlineStr">
        <is>
          <t>עליזה בלום</t>
        </is>
      </c>
      <c r="B89" s="69" t="n"/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  <c r="L89" s="85">
        <f>IF(AND($B89&lt;&gt;"",$B89='קבוצות'!$A$9),IF(L88="","",L88&amp;", ")&amp;$A89,L88)</f>
        <v/>
      </c>
      <c r="M89" s="85">
        <f>IF(AND($B89&lt;&gt;"",$B89='קבוצות'!$A$10),IF(M88="","",M88&amp;", ")&amp;$A89,M88)</f>
        <v/>
      </c>
      <c r="N89" s="85">
        <f>IF(AND($B89&lt;&gt;"",$B89='קבוצות'!$A$11),IF(N88="","",N88&amp;", ")&amp;$A89,N88)</f>
        <v/>
      </c>
      <c r="O89" s="85">
        <f>IF(AND($B89&lt;&gt;"",$B89='קבוצות'!$A$12),IF(O88="","",O88&amp;", ")&amp;$A89,O88)</f>
        <v/>
      </c>
      <c r="P89" s="85">
        <f>IF(AND($B89&lt;&gt;"",$B89='קבוצות'!$A$13),IF(P88="","",P88&amp;", ")&amp;$A89,P88)</f>
        <v/>
      </c>
      <c r="Q89" s="85">
        <f>IF(AND($B89&lt;&gt;"",$B89='קבוצות'!$A$14),IF(Q88="","",Q88&amp;", ")&amp;$A89,Q88)</f>
        <v/>
      </c>
    </row>
    <row r="90" ht="20" customHeight="1">
      <c r="A90" s="19" t="inlineStr">
        <is>
          <t>עפרי גזיאל</t>
        </is>
      </c>
      <c r="B90" s="69" t="n"/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  <c r="L90" s="85">
        <f>IF(AND($B90&lt;&gt;"",$B90='קבוצות'!$A$9),IF(L89="","",L89&amp;", ")&amp;$A90,L89)</f>
        <v/>
      </c>
      <c r="M90" s="85">
        <f>IF(AND($B90&lt;&gt;"",$B90='קבוצות'!$A$10),IF(M89="","",M89&amp;", ")&amp;$A90,M89)</f>
        <v/>
      </c>
      <c r="N90" s="85">
        <f>IF(AND($B90&lt;&gt;"",$B90='קבוצות'!$A$11),IF(N89="","",N89&amp;", ")&amp;$A90,N89)</f>
        <v/>
      </c>
      <c r="O90" s="85">
        <f>IF(AND($B90&lt;&gt;"",$B90='קבוצות'!$A$12),IF(O89="","",O89&amp;", ")&amp;$A90,O89)</f>
        <v/>
      </c>
      <c r="P90" s="85">
        <f>IF(AND($B90&lt;&gt;"",$B90='קבוצות'!$A$13),IF(P89="","",P89&amp;", ")&amp;$A90,P89)</f>
        <v/>
      </c>
      <c r="Q90" s="85">
        <f>IF(AND($B90&lt;&gt;"",$B90='קבוצות'!$A$14),IF(Q89="","",Q89&amp;", ")&amp;$A90,Q89)</f>
        <v/>
      </c>
    </row>
    <row r="91" ht="20" customHeight="1">
      <c r="A91" s="19" t="inlineStr">
        <is>
          <t>עשהאל ירושלמי</t>
        </is>
      </c>
      <c r="B91" s="69" t="n"/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  <c r="L91" s="85">
        <f>IF(AND($B91&lt;&gt;"",$B91='קבוצות'!$A$9),IF(L90="","",L90&amp;", ")&amp;$A91,L90)</f>
        <v/>
      </c>
      <c r="M91" s="85">
        <f>IF(AND($B91&lt;&gt;"",$B91='קבוצות'!$A$10),IF(M90="","",M90&amp;", ")&amp;$A91,M90)</f>
        <v/>
      </c>
      <c r="N91" s="85">
        <f>IF(AND($B91&lt;&gt;"",$B91='קבוצות'!$A$11),IF(N90="","",N90&amp;", ")&amp;$A91,N90)</f>
        <v/>
      </c>
      <c r="O91" s="85">
        <f>IF(AND($B91&lt;&gt;"",$B91='קבוצות'!$A$12),IF(O90="","",O90&amp;", ")&amp;$A91,O90)</f>
        <v/>
      </c>
      <c r="P91" s="85">
        <f>IF(AND($B91&lt;&gt;"",$B91='קבוצות'!$A$13),IF(P90="","",P90&amp;", ")&amp;$A91,P90)</f>
        <v/>
      </c>
      <c r="Q91" s="85">
        <f>IF(AND($B91&lt;&gt;"",$B91='קבוצות'!$A$14),IF(Q90="","",Q90&amp;", ")&amp;$A91,Q90)</f>
        <v/>
      </c>
    </row>
    <row r="92" ht="20" customHeight="1">
      <c r="A92" s="19" t="inlineStr">
        <is>
          <t>פרת פולס</t>
        </is>
      </c>
      <c r="B92" s="69" t="n"/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  <c r="L92" s="85">
        <f>IF(AND($B92&lt;&gt;"",$B92='קבוצות'!$A$9),IF(L91="","",L91&amp;", ")&amp;$A92,L91)</f>
        <v/>
      </c>
      <c r="M92" s="85">
        <f>IF(AND($B92&lt;&gt;"",$B92='קבוצות'!$A$10),IF(M91="","",M91&amp;", ")&amp;$A92,M91)</f>
        <v/>
      </c>
      <c r="N92" s="85">
        <f>IF(AND($B92&lt;&gt;"",$B92='קבוצות'!$A$11),IF(N91="","",N91&amp;", ")&amp;$A92,N91)</f>
        <v/>
      </c>
      <c r="O92" s="85">
        <f>IF(AND($B92&lt;&gt;"",$B92='קבוצות'!$A$12),IF(O91="","",O91&amp;", ")&amp;$A92,O91)</f>
        <v/>
      </c>
      <c r="P92" s="85">
        <f>IF(AND($B92&lt;&gt;"",$B92='קבוצות'!$A$13),IF(P91="","",P91&amp;", ")&amp;$A92,P91)</f>
        <v/>
      </c>
      <c r="Q92" s="85">
        <f>IF(AND($B92&lt;&gt;"",$B92='קבוצות'!$A$14),IF(Q91="","",Q91&amp;", ")&amp;$A92,Q91)</f>
        <v/>
      </c>
    </row>
    <row r="93" ht="20" customHeight="1">
      <c r="A93" s="19" t="inlineStr">
        <is>
          <t>רגב שהם</t>
        </is>
      </c>
      <c r="B93" s="69" t="n"/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  <c r="L93" s="85">
        <f>IF(AND($B93&lt;&gt;"",$B93='קבוצות'!$A$9),IF(L92="","",L92&amp;", ")&amp;$A93,L92)</f>
        <v/>
      </c>
      <c r="M93" s="85">
        <f>IF(AND($B93&lt;&gt;"",$B93='קבוצות'!$A$10),IF(M92="","",M92&amp;", ")&amp;$A93,M92)</f>
        <v/>
      </c>
      <c r="N93" s="85">
        <f>IF(AND($B93&lt;&gt;"",$B93='קבוצות'!$A$11),IF(N92="","",N92&amp;", ")&amp;$A93,N92)</f>
        <v/>
      </c>
      <c r="O93" s="85">
        <f>IF(AND($B93&lt;&gt;"",$B93='קבוצות'!$A$12),IF(O92="","",O92&amp;", ")&amp;$A93,O92)</f>
        <v/>
      </c>
      <c r="P93" s="85">
        <f>IF(AND($B93&lt;&gt;"",$B93='קבוצות'!$A$13),IF(P92="","",P92&amp;", ")&amp;$A93,P92)</f>
        <v/>
      </c>
      <c r="Q93" s="85">
        <f>IF(AND($B93&lt;&gt;"",$B93='קבוצות'!$A$14),IF(Q92="","",Q92&amp;", ")&amp;$A93,Q92)</f>
        <v/>
      </c>
    </row>
    <row r="94" ht="20" customHeight="1">
      <c r="A94" s="19" t="inlineStr">
        <is>
          <t>רוני כהן</t>
        </is>
      </c>
      <c r="B94" s="69" t="n"/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  <c r="L94" s="85">
        <f>IF(AND($B94&lt;&gt;"",$B94='קבוצות'!$A$9),IF(L93="","",L93&amp;", ")&amp;$A94,L93)</f>
        <v/>
      </c>
      <c r="M94" s="85">
        <f>IF(AND($B94&lt;&gt;"",$B94='קבוצות'!$A$10),IF(M93="","",M93&amp;", ")&amp;$A94,M93)</f>
        <v/>
      </c>
      <c r="N94" s="85">
        <f>IF(AND($B94&lt;&gt;"",$B94='קבוצות'!$A$11),IF(N93="","",N93&amp;", ")&amp;$A94,N93)</f>
        <v/>
      </c>
      <c r="O94" s="85">
        <f>IF(AND($B94&lt;&gt;"",$B94='קבוצות'!$A$12),IF(O93="","",O93&amp;", ")&amp;$A94,O93)</f>
        <v/>
      </c>
      <c r="P94" s="85">
        <f>IF(AND($B94&lt;&gt;"",$B94='קבוצות'!$A$13),IF(P93="","",P93&amp;", ")&amp;$A94,P93)</f>
        <v/>
      </c>
      <c r="Q94" s="85">
        <f>IF(AND($B94&lt;&gt;"",$B94='קבוצות'!$A$14),IF(Q93="","",Q93&amp;", ")&amp;$A94,Q93)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  <c r="L95" s="85">
        <f>IF(AND($B95&lt;&gt;"",$B95='קבוצות'!$A$9),IF(L94="","",L94&amp;", ")&amp;$A95,L94)</f>
        <v/>
      </c>
      <c r="M95" s="85">
        <f>IF(AND($B95&lt;&gt;"",$B95='קבוצות'!$A$10),IF(M94="","",M94&amp;", ")&amp;$A95,M94)</f>
        <v/>
      </c>
      <c r="N95" s="85">
        <f>IF(AND($B95&lt;&gt;"",$B95='קבוצות'!$A$11),IF(N94="","",N94&amp;", ")&amp;$A95,N94)</f>
        <v/>
      </c>
      <c r="O95" s="85">
        <f>IF(AND($B95&lt;&gt;"",$B95='קבוצות'!$A$12),IF(O94="","",O94&amp;", ")&amp;$A95,O94)</f>
        <v/>
      </c>
      <c r="P95" s="85">
        <f>IF(AND($B95&lt;&gt;"",$B95='קבוצות'!$A$13),IF(P94="","",P94&amp;", ")&amp;$A95,P94)</f>
        <v/>
      </c>
      <c r="Q95" s="85">
        <f>IF(AND($B95&lt;&gt;"",$B95='קבוצות'!$A$14),IF(Q94="","",Q94&amp;", ")&amp;$A95,Q94)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  <c r="L96" s="85">
        <f>IF(AND($B96&lt;&gt;"",$B96='קבוצות'!$A$9),IF(L95="","",L95&amp;", ")&amp;$A96,L95)</f>
        <v/>
      </c>
      <c r="M96" s="85">
        <f>IF(AND($B96&lt;&gt;"",$B96='קבוצות'!$A$10),IF(M95="","",M95&amp;", ")&amp;$A96,M95)</f>
        <v/>
      </c>
      <c r="N96" s="85">
        <f>IF(AND($B96&lt;&gt;"",$B96='קבוצות'!$A$11),IF(N95="","",N95&amp;", ")&amp;$A96,N95)</f>
        <v/>
      </c>
      <c r="O96" s="85">
        <f>IF(AND($B96&lt;&gt;"",$B96='קבוצות'!$A$12),IF(O95="","",O95&amp;", ")&amp;$A96,O95)</f>
        <v/>
      </c>
      <c r="P96" s="85">
        <f>IF(AND($B96&lt;&gt;"",$B96='קבוצות'!$A$13),IF(P95="","",P95&amp;", ")&amp;$A96,P95)</f>
        <v/>
      </c>
      <c r="Q96" s="85">
        <f>IF(AND($B96&lt;&gt;"",$B96='קבוצות'!$A$14),IF(Q95="","",Q95&amp;", ")&amp;$A96,Q95)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  <c r="L97" s="85">
        <f>IF(AND($B97&lt;&gt;"",$B97='קבוצות'!$A$9),IF(L96="","",L96&amp;", ")&amp;$A97,L96)</f>
        <v/>
      </c>
      <c r="M97" s="85">
        <f>IF(AND($B97&lt;&gt;"",$B97='קבוצות'!$A$10),IF(M96="","",M96&amp;", ")&amp;$A97,M96)</f>
        <v/>
      </c>
      <c r="N97" s="85">
        <f>IF(AND($B97&lt;&gt;"",$B97='קבוצות'!$A$11),IF(N96="","",N96&amp;", ")&amp;$A97,N96)</f>
        <v/>
      </c>
      <c r="O97" s="85">
        <f>IF(AND($B97&lt;&gt;"",$B97='קבוצות'!$A$12),IF(O96="","",O96&amp;", ")&amp;$A97,O96)</f>
        <v/>
      </c>
      <c r="P97" s="85">
        <f>IF(AND($B97&lt;&gt;"",$B97='קבוצות'!$A$13),IF(P96="","",P96&amp;", ")&amp;$A97,P96)</f>
        <v/>
      </c>
      <c r="Q97" s="85">
        <f>IF(AND($B97&lt;&gt;"",$B97='קבוצות'!$A$14),IF(Q96="","",Q96&amp;", ")&amp;$A97,Q96)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  <c r="L98" s="85">
        <f>IF(AND($B98&lt;&gt;"",$B98='קבוצות'!$A$9),IF(L97="","",L97&amp;", ")&amp;$A98,L97)</f>
        <v/>
      </c>
      <c r="M98" s="85">
        <f>IF(AND($B98&lt;&gt;"",$B98='קבוצות'!$A$10),IF(M97="","",M97&amp;", ")&amp;$A98,M97)</f>
        <v/>
      </c>
      <c r="N98" s="85">
        <f>IF(AND($B98&lt;&gt;"",$B98='קבוצות'!$A$11),IF(N97="","",N97&amp;", ")&amp;$A98,N97)</f>
        <v/>
      </c>
      <c r="O98" s="85">
        <f>IF(AND($B98&lt;&gt;"",$B98='קבוצות'!$A$12),IF(O97="","",O97&amp;", ")&amp;$A98,O97)</f>
        <v/>
      </c>
      <c r="P98" s="85">
        <f>IF(AND($B98&lt;&gt;"",$B98='קבוצות'!$A$13),IF(P97="","",P97&amp;", ")&amp;$A98,P97)</f>
        <v/>
      </c>
      <c r="Q98" s="85">
        <f>IF(AND($B98&lt;&gt;"",$B98='קבוצות'!$A$14),IF(Q97="","",Q97&amp;", ")&amp;$A98,Q97)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  <c r="L99" s="85">
        <f>IF(AND($B99&lt;&gt;"",$B99='קבוצות'!$A$9),IF(L98="","",L98&amp;", ")&amp;$A99,L98)</f>
        <v/>
      </c>
      <c r="M99" s="85">
        <f>IF(AND($B99&lt;&gt;"",$B99='קבוצות'!$A$10),IF(M98="","",M98&amp;", ")&amp;$A99,M98)</f>
        <v/>
      </c>
      <c r="N99" s="85">
        <f>IF(AND($B99&lt;&gt;"",$B99='קבוצות'!$A$11),IF(N98="","",N98&amp;", ")&amp;$A99,N98)</f>
        <v/>
      </c>
      <c r="O99" s="85">
        <f>IF(AND($B99&lt;&gt;"",$B99='קבוצות'!$A$12),IF(O98="","",O98&amp;", ")&amp;$A99,O98)</f>
        <v/>
      </c>
      <c r="P99" s="85">
        <f>IF(AND($B99&lt;&gt;"",$B99='קבוצות'!$A$13),IF(P98="","",P98&amp;", ")&amp;$A99,P98)</f>
        <v/>
      </c>
      <c r="Q99" s="85">
        <f>IF(AND($B99&lt;&gt;"",$B99='קבוצות'!$A$14),IF(Q98="","",Q98&amp;", ")&amp;$A99,Q98)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  <c r="L100" s="85">
        <f>IF(AND($B100&lt;&gt;"",$B100='קבוצות'!$A$9),IF(L99="","",L99&amp;", ")&amp;$A100,L99)</f>
        <v/>
      </c>
      <c r="M100" s="85">
        <f>IF(AND($B100&lt;&gt;"",$B100='קבוצות'!$A$10),IF(M99="","",M99&amp;", ")&amp;$A100,M99)</f>
        <v/>
      </c>
      <c r="N100" s="85">
        <f>IF(AND($B100&lt;&gt;"",$B100='קבוצות'!$A$11),IF(N99="","",N99&amp;", ")&amp;$A100,N99)</f>
        <v/>
      </c>
      <c r="O100" s="85">
        <f>IF(AND($B100&lt;&gt;"",$B100='קבוצות'!$A$12),IF(O99="","",O99&amp;", ")&amp;$A100,O99)</f>
        <v/>
      </c>
      <c r="P100" s="85">
        <f>IF(AND($B100&lt;&gt;"",$B100='קבוצות'!$A$13),IF(P99="","",P99&amp;", ")&amp;$A100,P99)</f>
        <v/>
      </c>
      <c r="Q100" s="85">
        <f>IF(AND($B100&lt;&gt;"",$B100='קבוצות'!$A$14),IF(Q99="","",Q99&amp;", ")&amp;$A100,Q99)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  <c r="L101" s="85">
        <f>IF(AND($B101&lt;&gt;"",$B101='קבוצות'!$A$9),IF(L100="","",L100&amp;", ")&amp;$A101,L100)</f>
        <v/>
      </c>
      <c r="M101" s="85">
        <f>IF(AND($B101&lt;&gt;"",$B101='קבוצות'!$A$10),IF(M100="","",M100&amp;", ")&amp;$A101,M100)</f>
        <v/>
      </c>
      <c r="N101" s="85">
        <f>IF(AND($B101&lt;&gt;"",$B101='קבוצות'!$A$11),IF(N100="","",N100&amp;", ")&amp;$A101,N100)</f>
        <v/>
      </c>
      <c r="O101" s="85">
        <f>IF(AND($B101&lt;&gt;"",$B101='קבוצות'!$A$12),IF(O100="","",O100&amp;", ")&amp;$A101,O100)</f>
        <v/>
      </c>
      <c r="P101" s="85">
        <f>IF(AND($B101&lt;&gt;"",$B101='קבוצות'!$A$13),IF(P100="","",P100&amp;", ")&amp;$A101,P100)</f>
        <v/>
      </c>
      <c r="Q101" s="85">
        <f>IF(AND($B101&lt;&gt;"",$B101='קבוצות'!$A$14),IF(Q100="","",Q100&amp;", ")&amp;$A101,Q100)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  <c r="L102" s="85">
        <f>IF(AND($B102&lt;&gt;"",$B102='קבוצות'!$A$9),IF(L101="","",L101&amp;", ")&amp;$A102,L101)</f>
        <v/>
      </c>
      <c r="M102" s="85">
        <f>IF(AND($B102&lt;&gt;"",$B102='קבוצות'!$A$10),IF(M101="","",M101&amp;", ")&amp;$A102,M101)</f>
        <v/>
      </c>
      <c r="N102" s="85">
        <f>IF(AND($B102&lt;&gt;"",$B102='קבוצות'!$A$11),IF(N101="","",N101&amp;", ")&amp;$A102,N101)</f>
        <v/>
      </c>
      <c r="O102" s="85">
        <f>IF(AND($B102&lt;&gt;"",$B102='קבוצות'!$A$12),IF(O101="","",O101&amp;", ")&amp;$A102,O101)</f>
        <v/>
      </c>
      <c r="P102" s="85">
        <f>IF(AND($B102&lt;&gt;"",$B102='קבוצות'!$A$13),IF(P101="","",P101&amp;", ")&amp;$A102,P101)</f>
        <v/>
      </c>
      <c r="Q102" s="85">
        <f>IF(AND($B102&lt;&gt;"",$B102='קבוצות'!$A$14),IF(Q101="","",Q101&amp;", ")&amp;$A102,Q101)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  <c r="L103" s="85">
        <f>IF(AND($B103&lt;&gt;"",$B103='קבוצות'!$A$9),IF(L102="","",L102&amp;", ")&amp;$A103,L102)</f>
        <v/>
      </c>
      <c r="M103" s="85">
        <f>IF(AND($B103&lt;&gt;"",$B103='קבוצות'!$A$10),IF(M102="","",M102&amp;", ")&amp;$A103,M102)</f>
        <v/>
      </c>
      <c r="N103" s="85">
        <f>IF(AND($B103&lt;&gt;"",$B103='קבוצות'!$A$11),IF(N102="","",N102&amp;", ")&amp;$A103,N102)</f>
        <v/>
      </c>
      <c r="O103" s="85">
        <f>IF(AND($B103&lt;&gt;"",$B103='קבוצות'!$A$12),IF(O102="","",O102&amp;", ")&amp;$A103,O102)</f>
        <v/>
      </c>
      <c r="P103" s="85">
        <f>IF(AND($B103&lt;&gt;"",$B103='קבוצות'!$A$13),IF(P102="","",P102&amp;", ")&amp;$A103,P102)</f>
        <v/>
      </c>
      <c r="Q103" s="85">
        <f>IF(AND($B103&lt;&gt;"",$B103='קבוצות'!$A$14),IF(Q102="","",Q102&amp;", ")&amp;$A103,Q102)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  <c r="L104" s="85">
        <f>IF(AND($B104&lt;&gt;"",$B104='קבוצות'!$A$9),IF(L103="","",L103&amp;", ")&amp;$A104,L103)</f>
        <v/>
      </c>
      <c r="M104" s="85">
        <f>IF(AND($B104&lt;&gt;"",$B104='קבוצות'!$A$10),IF(M103="","",M103&amp;", ")&amp;$A104,M103)</f>
        <v/>
      </c>
      <c r="N104" s="85">
        <f>IF(AND($B104&lt;&gt;"",$B104='קבוצות'!$A$11),IF(N103="","",N103&amp;", ")&amp;$A104,N103)</f>
        <v/>
      </c>
      <c r="O104" s="85">
        <f>IF(AND($B104&lt;&gt;"",$B104='קבוצות'!$A$12),IF(O103="","",O103&amp;", ")&amp;$A104,O103)</f>
        <v/>
      </c>
      <c r="P104" s="85">
        <f>IF(AND($B104&lt;&gt;"",$B104='קבוצות'!$A$13),IF(P103="","",P103&amp;", ")&amp;$A104,P103)</f>
        <v/>
      </c>
      <c r="Q104" s="85">
        <f>IF(AND($B104&lt;&gt;"",$B104='קבוצות'!$A$14),IF(Q103="","",Q103&amp;", ")&amp;$A104,Q103)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  <c r="L105" s="85">
        <f>IF(AND($B105&lt;&gt;"",$B105='קבוצות'!$A$9),IF(L104="","",L104&amp;", ")&amp;$A105,L104)</f>
        <v/>
      </c>
      <c r="M105" s="85">
        <f>IF(AND($B105&lt;&gt;"",$B105='קבוצות'!$A$10),IF(M104="","",M104&amp;", ")&amp;$A105,M104)</f>
        <v/>
      </c>
      <c r="N105" s="85">
        <f>IF(AND($B105&lt;&gt;"",$B105='קבוצות'!$A$11),IF(N104="","",N104&amp;", ")&amp;$A105,N104)</f>
        <v/>
      </c>
      <c r="O105" s="85">
        <f>IF(AND($B105&lt;&gt;"",$B105='קבוצות'!$A$12),IF(O104="","",O104&amp;", ")&amp;$A105,O104)</f>
        <v/>
      </c>
      <c r="P105" s="85">
        <f>IF(AND($B105&lt;&gt;"",$B105='קבוצות'!$A$13),IF(P104="","",P104&amp;", ")&amp;$A105,P104)</f>
        <v/>
      </c>
      <c r="Q105" s="85">
        <f>IF(AND($B105&lt;&gt;"",$B105='קבוצות'!$A$14),IF(Q104="","",Q104&amp;", ")&amp;$A105,Q104)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  <c r="L106" s="85">
        <f>IF(AND($B106&lt;&gt;"",$B106='קבוצות'!$A$9),IF(L105="","",L105&amp;", ")&amp;$A106,L105)</f>
        <v/>
      </c>
      <c r="M106" s="85">
        <f>IF(AND($B106&lt;&gt;"",$B106='קבוצות'!$A$10),IF(M105="","",M105&amp;", ")&amp;$A106,M105)</f>
        <v/>
      </c>
      <c r="N106" s="85">
        <f>IF(AND($B106&lt;&gt;"",$B106='קבוצות'!$A$11),IF(N105="","",N105&amp;", ")&amp;$A106,N105)</f>
        <v/>
      </c>
      <c r="O106" s="85">
        <f>IF(AND($B106&lt;&gt;"",$B106='קבוצות'!$A$12),IF(O105="","",O105&amp;", ")&amp;$A106,O105)</f>
        <v/>
      </c>
      <c r="P106" s="85">
        <f>IF(AND($B106&lt;&gt;"",$B106='קבוצות'!$A$13),IF(P105="","",P105&amp;", ")&amp;$A106,P105)</f>
        <v/>
      </c>
      <c r="Q106" s="85">
        <f>IF(AND($B106&lt;&gt;"",$B106='קבוצות'!$A$14),IF(Q105="","",Q105&amp;", ")&amp;$A106,Q105)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  <c r="L107" s="85">
        <f>IF(AND($B107&lt;&gt;"",$B107='קבוצות'!$A$9),IF(L106="","",L106&amp;", ")&amp;$A107,L106)</f>
        <v/>
      </c>
      <c r="M107" s="85">
        <f>IF(AND($B107&lt;&gt;"",$B107='קבוצות'!$A$10),IF(M106="","",M106&amp;", ")&amp;$A107,M106)</f>
        <v/>
      </c>
      <c r="N107" s="85">
        <f>IF(AND($B107&lt;&gt;"",$B107='קבוצות'!$A$11),IF(N106="","",N106&amp;", ")&amp;$A107,N106)</f>
        <v/>
      </c>
      <c r="O107" s="85">
        <f>IF(AND($B107&lt;&gt;"",$B107='קבוצות'!$A$12),IF(O106="","",O106&amp;", ")&amp;$A107,O106)</f>
        <v/>
      </c>
      <c r="P107" s="85">
        <f>IF(AND($B107&lt;&gt;"",$B107='קבוצות'!$A$13),IF(P106="","",P106&amp;", ")&amp;$A107,P106)</f>
        <v/>
      </c>
      <c r="Q107" s="85">
        <f>IF(AND($B107&lt;&gt;"",$B107='קבוצות'!$A$14),IF(Q106="","",Q106&amp;", ")&amp;$A107,Q106)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  <c r="L108" s="85">
        <f>IF(AND($B108&lt;&gt;"",$B108='קבוצות'!$A$9),IF(L107="","",L107&amp;", ")&amp;$A108,L107)</f>
        <v/>
      </c>
      <c r="M108" s="85">
        <f>IF(AND($B108&lt;&gt;"",$B108='קבוצות'!$A$10),IF(M107="","",M107&amp;", ")&amp;$A108,M107)</f>
        <v/>
      </c>
      <c r="N108" s="85">
        <f>IF(AND($B108&lt;&gt;"",$B108='קבוצות'!$A$11),IF(N107="","",N107&amp;", ")&amp;$A108,N107)</f>
        <v/>
      </c>
      <c r="O108" s="85">
        <f>IF(AND($B108&lt;&gt;"",$B108='קבוצות'!$A$12),IF(O107="","",O107&amp;", ")&amp;$A108,O107)</f>
        <v/>
      </c>
      <c r="P108" s="85">
        <f>IF(AND($B108&lt;&gt;"",$B108='קבוצות'!$A$13),IF(P107="","",P107&amp;", ")&amp;$A108,P107)</f>
        <v/>
      </c>
      <c r="Q108" s="85">
        <f>IF(AND($B108&lt;&gt;"",$B108='קבוצות'!$A$14),IF(Q107="","",Q107&amp;", ")&amp;$A108,Q107)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  <c r="L109" s="85">
        <f>IF(AND($B109&lt;&gt;"",$B109='קבוצות'!$A$9),IF(L108="","",L108&amp;", ")&amp;$A109,L108)</f>
        <v/>
      </c>
      <c r="M109" s="85">
        <f>IF(AND($B109&lt;&gt;"",$B109='קבוצות'!$A$10),IF(M108="","",M108&amp;", ")&amp;$A109,M108)</f>
        <v/>
      </c>
      <c r="N109" s="85">
        <f>IF(AND($B109&lt;&gt;"",$B109='קבוצות'!$A$11),IF(N108="","",N108&amp;", ")&amp;$A109,N108)</f>
        <v/>
      </c>
      <c r="O109" s="85">
        <f>IF(AND($B109&lt;&gt;"",$B109='קבוצות'!$A$12),IF(O108="","",O108&amp;", ")&amp;$A109,O108)</f>
        <v/>
      </c>
      <c r="P109" s="85">
        <f>IF(AND($B109&lt;&gt;"",$B109='קבוצות'!$A$13),IF(P108="","",P108&amp;", ")&amp;$A109,P108)</f>
        <v/>
      </c>
      <c r="Q109" s="85">
        <f>IF(AND($B109&lt;&gt;"",$B109='קבוצות'!$A$14),IF(Q108="","",Q108&amp;", ")&amp;$A109,Q108)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  <c r="L110" s="85">
        <f>IF(AND($B110&lt;&gt;"",$B110='קבוצות'!$A$9),IF(L109="","",L109&amp;", ")&amp;$A110,L109)</f>
        <v/>
      </c>
      <c r="M110" s="85">
        <f>IF(AND($B110&lt;&gt;"",$B110='קבוצות'!$A$10),IF(M109="","",M109&amp;", ")&amp;$A110,M109)</f>
        <v/>
      </c>
      <c r="N110" s="85">
        <f>IF(AND($B110&lt;&gt;"",$B110='קבוצות'!$A$11),IF(N109="","",N109&amp;", ")&amp;$A110,N109)</f>
        <v/>
      </c>
      <c r="O110" s="85">
        <f>IF(AND($B110&lt;&gt;"",$B110='קבוצות'!$A$12),IF(O109="","",O109&amp;", ")&amp;$A110,O109)</f>
        <v/>
      </c>
      <c r="P110" s="85">
        <f>IF(AND($B110&lt;&gt;"",$B110='קבוצות'!$A$13),IF(P109="","",P109&amp;", ")&amp;$A110,P109)</f>
        <v/>
      </c>
      <c r="Q110" s="85">
        <f>IF(AND($B110&lt;&gt;"",$B110='קבוצות'!$A$14),IF(Q109="","",Q109&amp;", ")&amp;$A110,Q109)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  <c r="L111" s="85">
        <f>IF(AND($B111&lt;&gt;"",$B111='קבוצות'!$A$9),IF(L110="","",L110&amp;", ")&amp;$A111,L110)</f>
        <v/>
      </c>
      <c r="M111" s="85">
        <f>IF(AND($B111&lt;&gt;"",$B111='קבוצות'!$A$10),IF(M110="","",M110&amp;", ")&amp;$A111,M110)</f>
        <v/>
      </c>
      <c r="N111" s="85">
        <f>IF(AND($B111&lt;&gt;"",$B111='קבוצות'!$A$11),IF(N110="","",N110&amp;", ")&amp;$A111,N110)</f>
        <v/>
      </c>
      <c r="O111" s="85">
        <f>IF(AND($B111&lt;&gt;"",$B111='קבוצות'!$A$12),IF(O110="","",O110&amp;", ")&amp;$A111,O110)</f>
        <v/>
      </c>
      <c r="P111" s="85">
        <f>IF(AND($B111&lt;&gt;"",$B111='קבוצות'!$A$13),IF(P110="","",P110&amp;", ")&amp;$A111,P110)</f>
        <v/>
      </c>
      <c r="Q111" s="85">
        <f>IF(AND($B111&lt;&gt;"",$B111='קבוצות'!$A$14),IF(Q110="","",Q110&amp;", ")&amp;$A111,Q110)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  <c r="L112" s="85">
        <f>IF(AND($B112&lt;&gt;"",$B112='קבוצות'!$A$9),IF(L111="","",L111&amp;", ")&amp;$A112,L111)</f>
        <v/>
      </c>
      <c r="M112" s="85">
        <f>IF(AND($B112&lt;&gt;"",$B112='קבוצות'!$A$10),IF(M111="","",M111&amp;", ")&amp;$A112,M111)</f>
        <v/>
      </c>
      <c r="N112" s="85">
        <f>IF(AND($B112&lt;&gt;"",$B112='קבוצות'!$A$11),IF(N111="","",N111&amp;", ")&amp;$A112,N111)</f>
        <v/>
      </c>
      <c r="O112" s="85">
        <f>IF(AND($B112&lt;&gt;"",$B112='קבוצות'!$A$12),IF(O111="","",O111&amp;", ")&amp;$A112,O111)</f>
        <v/>
      </c>
      <c r="P112" s="85">
        <f>IF(AND($B112&lt;&gt;"",$B112='קבוצות'!$A$13),IF(P111="","",P111&amp;", ")&amp;$A112,P111)</f>
        <v/>
      </c>
      <c r="Q112" s="85">
        <f>IF(AND($B112&lt;&gt;"",$B112='קבוצות'!$A$14),IF(Q111="","",Q111&amp;", ")&amp;$A112,Q111)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  <c r="L113" s="85">
        <f>IF(AND($B113&lt;&gt;"",$B113='קבוצות'!$A$9),IF(L112="","",L112&amp;", ")&amp;$A113,L112)</f>
        <v/>
      </c>
      <c r="M113" s="85">
        <f>IF(AND($B113&lt;&gt;"",$B113='קבוצות'!$A$10),IF(M112="","",M112&amp;", ")&amp;$A113,M112)</f>
        <v/>
      </c>
      <c r="N113" s="85">
        <f>IF(AND($B113&lt;&gt;"",$B113='קבוצות'!$A$11),IF(N112="","",N112&amp;", ")&amp;$A113,N112)</f>
        <v/>
      </c>
      <c r="O113" s="85">
        <f>IF(AND($B113&lt;&gt;"",$B113='קבוצות'!$A$12),IF(O112="","",O112&amp;", ")&amp;$A113,O112)</f>
        <v/>
      </c>
      <c r="P113" s="85">
        <f>IF(AND($B113&lt;&gt;"",$B113='קבוצות'!$A$13),IF(P112="","",P112&amp;", ")&amp;$A113,P112)</f>
        <v/>
      </c>
      <c r="Q113" s="85">
        <f>IF(AND($B113&lt;&gt;"",$B113='קבוצות'!$A$14),IF(Q112="","",Q112&amp;", ")&amp;$A113,Q112)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  <c r="L114" s="85">
        <f>IF(AND($B114&lt;&gt;"",$B114='קבוצות'!$A$9),IF(L113="","",L113&amp;", ")&amp;$A114,L113)</f>
        <v/>
      </c>
      <c r="M114" s="85">
        <f>IF(AND($B114&lt;&gt;"",$B114='קבוצות'!$A$10),IF(M113="","",M113&amp;", ")&amp;$A114,M113)</f>
        <v/>
      </c>
      <c r="N114" s="85">
        <f>IF(AND($B114&lt;&gt;"",$B114='קבוצות'!$A$11),IF(N113="","",N113&amp;", ")&amp;$A114,N113)</f>
        <v/>
      </c>
      <c r="O114" s="85">
        <f>IF(AND($B114&lt;&gt;"",$B114='קבוצות'!$A$12),IF(O113="","",O113&amp;", ")&amp;$A114,O113)</f>
        <v/>
      </c>
      <c r="P114" s="85">
        <f>IF(AND($B114&lt;&gt;"",$B114='קבוצות'!$A$13),IF(P113="","",P113&amp;", ")&amp;$A114,P113)</f>
        <v/>
      </c>
      <c r="Q114" s="85">
        <f>IF(AND($B114&lt;&gt;"",$B114='קבוצות'!$A$14),IF(Q113="","",Q113&amp;", ")&amp;$A114,Q113)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  <c r="L115" s="85">
        <f>IF(AND($B115&lt;&gt;"",$B115='קבוצות'!$A$9),IF(L114="","",L114&amp;", ")&amp;$A115,L114)</f>
        <v/>
      </c>
      <c r="M115" s="85">
        <f>IF(AND($B115&lt;&gt;"",$B115='קבוצות'!$A$10),IF(M114="","",M114&amp;", ")&amp;$A115,M114)</f>
        <v/>
      </c>
      <c r="N115" s="85">
        <f>IF(AND($B115&lt;&gt;"",$B115='קבוצות'!$A$11),IF(N114="","",N114&amp;", ")&amp;$A115,N114)</f>
        <v/>
      </c>
      <c r="O115" s="85">
        <f>IF(AND($B115&lt;&gt;"",$B115='קבוצות'!$A$12),IF(O114="","",O114&amp;", ")&amp;$A115,O114)</f>
        <v/>
      </c>
      <c r="P115" s="85">
        <f>IF(AND($B115&lt;&gt;"",$B115='קבוצות'!$A$13),IF(P114="","",P114&amp;", ")&amp;$A115,P114)</f>
        <v/>
      </c>
      <c r="Q115" s="85">
        <f>IF(AND($B115&lt;&gt;"",$B115='קבוצות'!$A$14),IF(Q114="","",Q114&amp;", ")&amp;$A115,Q114)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  <c r="L116" s="85">
        <f>IF(AND($B116&lt;&gt;"",$B116='קבוצות'!$A$9),IF(L115="","",L115&amp;", ")&amp;$A116,L115)</f>
        <v/>
      </c>
      <c r="M116" s="85">
        <f>IF(AND($B116&lt;&gt;"",$B116='קבוצות'!$A$10),IF(M115="","",M115&amp;", ")&amp;$A116,M115)</f>
        <v/>
      </c>
      <c r="N116" s="85">
        <f>IF(AND($B116&lt;&gt;"",$B116='קבוצות'!$A$11),IF(N115="","",N115&amp;", ")&amp;$A116,N115)</f>
        <v/>
      </c>
      <c r="O116" s="85">
        <f>IF(AND($B116&lt;&gt;"",$B116='קבוצות'!$A$12),IF(O115="","",O115&amp;", ")&amp;$A116,O115)</f>
        <v/>
      </c>
      <c r="P116" s="85">
        <f>IF(AND($B116&lt;&gt;"",$B116='קבוצות'!$A$13),IF(P115="","",P115&amp;", ")&amp;$A116,P115)</f>
        <v/>
      </c>
      <c r="Q116" s="85">
        <f>IF(AND($B116&lt;&gt;"",$B116='קבוצות'!$A$14),IF(Q115="","",Q115&amp;", ")&amp;$A116,Q115)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  <c r="L117" s="85">
        <f>IF(AND($B117&lt;&gt;"",$B117='קבוצות'!$A$9),IF(L116="","",L116&amp;", ")&amp;$A117,L116)</f>
        <v/>
      </c>
      <c r="M117" s="85">
        <f>IF(AND($B117&lt;&gt;"",$B117='קבוצות'!$A$10),IF(M116="","",M116&amp;", ")&amp;$A117,M116)</f>
        <v/>
      </c>
      <c r="N117" s="85">
        <f>IF(AND($B117&lt;&gt;"",$B117='קבוצות'!$A$11),IF(N116="","",N116&amp;", ")&amp;$A117,N116)</f>
        <v/>
      </c>
      <c r="O117" s="85">
        <f>IF(AND($B117&lt;&gt;"",$B117='קבוצות'!$A$12),IF(O116="","",O116&amp;", ")&amp;$A117,O116)</f>
        <v/>
      </c>
      <c r="P117" s="85">
        <f>IF(AND($B117&lt;&gt;"",$B117='קבוצות'!$A$13),IF(P116="","",P116&amp;", ")&amp;$A117,P116)</f>
        <v/>
      </c>
      <c r="Q117" s="85">
        <f>IF(AND($B117&lt;&gt;"",$B117='קבוצות'!$A$14),IF(Q116="","",Q116&amp;", ")&amp;$A117,Q116)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  <c r="L118" s="85">
        <f>IF(AND($B118&lt;&gt;"",$B118='קבוצות'!$A$9),IF(L117="","",L117&amp;", ")&amp;$A118,L117)</f>
        <v/>
      </c>
      <c r="M118" s="85">
        <f>IF(AND($B118&lt;&gt;"",$B118='קבוצות'!$A$10),IF(M117="","",M117&amp;", ")&amp;$A118,M117)</f>
        <v/>
      </c>
      <c r="N118" s="85">
        <f>IF(AND($B118&lt;&gt;"",$B118='קבוצות'!$A$11),IF(N117="","",N117&amp;", ")&amp;$A118,N117)</f>
        <v/>
      </c>
      <c r="O118" s="85">
        <f>IF(AND($B118&lt;&gt;"",$B118='קבוצות'!$A$12),IF(O117="","",O117&amp;", ")&amp;$A118,O117)</f>
        <v/>
      </c>
      <c r="P118" s="85">
        <f>IF(AND($B118&lt;&gt;"",$B118='קבוצות'!$A$13),IF(P117="","",P117&amp;", ")&amp;$A118,P117)</f>
        <v/>
      </c>
      <c r="Q118" s="85">
        <f>IF(AND($B118&lt;&gt;"",$B118='קבוצות'!$A$14),IF(Q117="","",Q117&amp;", ")&amp;$A118,Q117)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  <c r="L119" s="85">
        <f>IF(AND($B119&lt;&gt;"",$B119='קבוצות'!$A$9),IF(L118="","",L118&amp;", ")&amp;$A119,L118)</f>
        <v/>
      </c>
      <c r="M119" s="85">
        <f>IF(AND($B119&lt;&gt;"",$B119='קבוצות'!$A$10),IF(M118="","",M118&amp;", ")&amp;$A119,M118)</f>
        <v/>
      </c>
      <c r="N119" s="85">
        <f>IF(AND($B119&lt;&gt;"",$B119='קבוצות'!$A$11),IF(N118="","",N118&amp;", ")&amp;$A119,N118)</f>
        <v/>
      </c>
      <c r="O119" s="85">
        <f>IF(AND($B119&lt;&gt;"",$B119='קבוצות'!$A$12),IF(O118="","",O118&amp;", ")&amp;$A119,O118)</f>
        <v/>
      </c>
      <c r="P119" s="85">
        <f>IF(AND($B119&lt;&gt;"",$B119='קבוצות'!$A$13),IF(P118="","",P118&amp;", ")&amp;$A119,P118)</f>
        <v/>
      </c>
      <c r="Q119" s="85">
        <f>IF(AND($B119&lt;&gt;"",$B119='קבוצות'!$A$14),IF(Q118="","",Q118&amp;", ")&amp;$A119,Q118)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  <c r="L120" s="85">
        <f>IF(AND($B120&lt;&gt;"",$B120='קבוצות'!$A$9),IF(L119="","",L119&amp;", ")&amp;$A120,L119)</f>
        <v/>
      </c>
      <c r="M120" s="85">
        <f>IF(AND($B120&lt;&gt;"",$B120='קבוצות'!$A$10),IF(M119="","",M119&amp;", ")&amp;$A120,M119)</f>
        <v/>
      </c>
      <c r="N120" s="85">
        <f>IF(AND($B120&lt;&gt;"",$B120='קבוצות'!$A$11),IF(N119="","",N119&amp;", ")&amp;$A120,N119)</f>
        <v/>
      </c>
      <c r="O120" s="85">
        <f>IF(AND($B120&lt;&gt;"",$B120='קבוצות'!$A$12),IF(O119="","",O119&amp;", ")&amp;$A120,O119)</f>
        <v/>
      </c>
      <c r="P120" s="85">
        <f>IF(AND($B120&lt;&gt;"",$B120='קבוצות'!$A$13),IF(P119="","",P119&amp;", ")&amp;$A120,P119)</f>
        <v/>
      </c>
      <c r="Q120" s="85">
        <f>IF(AND($B120&lt;&gt;"",$B120='קבוצות'!$A$14),IF(Q119="","",Q119&amp;", ")&amp;$A120,Q119)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  <c r="L121" s="85">
        <f>IF(AND($B121&lt;&gt;"",$B121='קבוצות'!$A$9),IF(L120="","",L120&amp;", ")&amp;$A121,L120)</f>
        <v/>
      </c>
      <c r="M121" s="85">
        <f>IF(AND($B121&lt;&gt;"",$B121='קבוצות'!$A$10),IF(M120="","",M120&amp;", ")&amp;$A121,M120)</f>
        <v/>
      </c>
      <c r="N121" s="85">
        <f>IF(AND($B121&lt;&gt;"",$B121='קבוצות'!$A$11),IF(N120="","",N120&amp;", ")&amp;$A121,N120)</f>
        <v/>
      </c>
      <c r="O121" s="85">
        <f>IF(AND($B121&lt;&gt;"",$B121='קבוצות'!$A$12),IF(O120="","",O120&amp;", ")&amp;$A121,O120)</f>
        <v/>
      </c>
      <c r="P121" s="85">
        <f>IF(AND($B121&lt;&gt;"",$B121='קבוצות'!$A$13),IF(P120="","",P120&amp;", ")&amp;$A121,P120)</f>
        <v/>
      </c>
      <c r="Q121" s="85">
        <f>IF(AND($B121&lt;&gt;"",$B121='קבוצות'!$A$14),IF(Q120="","",Q120&amp;", ")&amp;$A121,Q120)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  <c r="L122" s="85">
        <f>IF(AND($B122&lt;&gt;"",$B122='קבוצות'!$A$9),IF(L121="","",L121&amp;", ")&amp;$A122,L121)</f>
        <v/>
      </c>
      <c r="M122" s="85">
        <f>IF(AND($B122&lt;&gt;"",$B122='קבוצות'!$A$10),IF(M121="","",M121&amp;", ")&amp;$A122,M121)</f>
        <v/>
      </c>
      <c r="N122" s="85">
        <f>IF(AND($B122&lt;&gt;"",$B122='קבוצות'!$A$11),IF(N121="","",N121&amp;", ")&amp;$A122,N121)</f>
        <v/>
      </c>
      <c r="O122" s="85">
        <f>IF(AND($B122&lt;&gt;"",$B122='קבוצות'!$A$12),IF(O121="","",O121&amp;", ")&amp;$A122,O121)</f>
        <v/>
      </c>
      <c r="P122" s="85">
        <f>IF(AND($B122&lt;&gt;"",$B122='קבוצות'!$A$13),IF(P121="","",P121&amp;", ")&amp;$A122,P121)</f>
        <v/>
      </c>
      <c r="Q122" s="85">
        <f>IF(AND($B122&lt;&gt;"",$B122='קבוצות'!$A$14),IF(Q121="","",Q121&amp;", ")&amp;$A122,Q121)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  <c r="L123" s="85">
        <f>IF(AND($B123&lt;&gt;"",$B123='קבוצות'!$A$9),IF(L122="","",L122&amp;", ")&amp;$A123,L122)</f>
        <v/>
      </c>
      <c r="M123" s="85">
        <f>IF(AND($B123&lt;&gt;"",$B123='קבוצות'!$A$10),IF(M122="","",M122&amp;", ")&amp;$A123,M122)</f>
        <v/>
      </c>
      <c r="N123" s="85">
        <f>IF(AND($B123&lt;&gt;"",$B123='קבוצות'!$A$11),IF(N122="","",N122&amp;", ")&amp;$A123,N122)</f>
        <v/>
      </c>
      <c r="O123" s="85">
        <f>IF(AND($B123&lt;&gt;"",$B123='קבוצות'!$A$12),IF(O122="","",O122&amp;", ")&amp;$A123,O122)</f>
        <v/>
      </c>
      <c r="P123" s="85">
        <f>IF(AND($B123&lt;&gt;"",$B123='קבוצות'!$A$13),IF(P122="","",P122&amp;", ")&amp;$A123,P122)</f>
        <v/>
      </c>
      <c r="Q123" s="85">
        <f>IF(AND($B123&lt;&gt;"",$B123='קבוצות'!$A$14),IF(Q122="","",Q122&amp;", ")&amp;$A123,Q122)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  <c r="L124" s="85">
        <f>IF(AND($B124&lt;&gt;"",$B124='קבוצות'!$A$9),IF(L123="","",L123&amp;", ")&amp;$A124,L123)</f>
        <v/>
      </c>
      <c r="M124" s="85">
        <f>IF(AND($B124&lt;&gt;"",$B124='קבוצות'!$A$10),IF(M123="","",M123&amp;", ")&amp;$A124,M123)</f>
        <v/>
      </c>
      <c r="N124" s="85">
        <f>IF(AND($B124&lt;&gt;"",$B124='קבוצות'!$A$11),IF(N123="","",N123&amp;", ")&amp;$A124,N123)</f>
        <v/>
      </c>
      <c r="O124" s="85">
        <f>IF(AND($B124&lt;&gt;"",$B124='קבוצות'!$A$12),IF(O123="","",O123&amp;", ")&amp;$A124,O123)</f>
        <v/>
      </c>
      <c r="P124" s="85">
        <f>IF(AND($B124&lt;&gt;"",$B124='קבוצות'!$A$13),IF(P123="","",P123&amp;", ")&amp;$A124,P123)</f>
        <v/>
      </c>
      <c r="Q124" s="85">
        <f>IF(AND($B124&lt;&gt;"",$B124='קבוצות'!$A$14),IF(Q123="","",Q123&amp;", ")&amp;$A124,Q123)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  <c r="L125" s="85">
        <f>IF(AND($B125&lt;&gt;"",$B125='קבוצות'!$A$9),IF(L124="","",L124&amp;", ")&amp;$A125,L124)</f>
        <v/>
      </c>
      <c r="M125" s="85">
        <f>IF(AND($B125&lt;&gt;"",$B125='קבוצות'!$A$10),IF(M124="","",M124&amp;", ")&amp;$A125,M124)</f>
        <v/>
      </c>
      <c r="N125" s="85">
        <f>IF(AND($B125&lt;&gt;"",$B125='קבוצות'!$A$11),IF(N124="","",N124&amp;", ")&amp;$A125,N124)</f>
        <v/>
      </c>
      <c r="O125" s="85">
        <f>IF(AND($B125&lt;&gt;"",$B125='קבוצות'!$A$12),IF(O124="","",O124&amp;", ")&amp;$A125,O124)</f>
        <v/>
      </c>
      <c r="P125" s="85">
        <f>IF(AND($B125&lt;&gt;"",$B125='קבוצות'!$A$13),IF(P124="","",P124&amp;", ")&amp;$A125,P124)</f>
        <v/>
      </c>
      <c r="Q125" s="85">
        <f>IF(AND($B125&lt;&gt;"",$B125='קבוצות'!$A$14),IF(Q124="","",Q124&amp;", ")&amp;$A125,Q124)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  <c r="L126" s="85">
        <f>IF(AND($B126&lt;&gt;"",$B126='קבוצות'!$A$9),IF(L125="","",L125&amp;", ")&amp;$A126,L125)</f>
        <v/>
      </c>
      <c r="M126" s="85">
        <f>IF(AND($B126&lt;&gt;"",$B126='קבוצות'!$A$10),IF(M125="","",M125&amp;", ")&amp;$A126,M125)</f>
        <v/>
      </c>
      <c r="N126" s="85">
        <f>IF(AND($B126&lt;&gt;"",$B126='קבוצות'!$A$11),IF(N125="","",N125&amp;", ")&amp;$A126,N125)</f>
        <v/>
      </c>
      <c r="O126" s="85">
        <f>IF(AND($B126&lt;&gt;"",$B126='קבוצות'!$A$12),IF(O125="","",O125&amp;", ")&amp;$A126,O125)</f>
        <v/>
      </c>
      <c r="P126" s="85">
        <f>IF(AND($B126&lt;&gt;"",$B126='קבוצות'!$A$13),IF(P125="","",P125&amp;", ")&amp;$A126,P125)</f>
        <v/>
      </c>
      <c r="Q126" s="85">
        <f>IF(AND($B126&lt;&gt;"",$B126='קבוצות'!$A$14),IF(Q125="","",Q125&amp;", ")&amp;$A126,Q125)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  <c r="L127" s="85">
        <f>IF(AND($B127&lt;&gt;"",$B127='קבוצות'!$A$9),IF(L126="","",L126&amp;", ")&amp;$A127,L126)</f>
        <v/>
      </c>
      <c r="M127" s="85">
        <f>IF(AND($B127&lt;&gt;"",$B127='קבוצות'!$A$10),IF(M126="","",M126&amp;", ")&amp;$A127,M126)</f>
        <v/>
      </c>
      <c r="N127" s="85">
        <f>IF(AND($B127&lt;&gt;"",$B127='קבוצות'!$A$11),IF(N126="","",N126&amp;", ")&amp;$A127,N126)</f>
        <v/>
      </c>
      <c r="O127" s="85">
        <f>IF(AND($B127&lt;&gt;"",$B127='קבוצות'!$A$12),IF(O126="","",O126&amp;", ")&amp;$A127,O126)</f>
        <v/>
      </c>
      <c r="P127" s="85">
        <f>IF(AND($B127&lt;&gt;"",$B127='קבוצות'!$A$13),IF(P126="","",P126&amp;", ")&amp;$A127,P126)</f>
        <v/>
      </c>
      <c r="Q127" s="85">
        <f>IF(AND($B127&lt;&gt;"",$B127='קבוצות'!$A$14),IF(Q126="","",Q126&amp;", ")&amp;$A127,Q126)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  <c r="L128" s="85">
        <f>IF(AND($B128&lt;&gt;"",$B128='קבוצות'!$A$9),IF(L127="","",L127&amp;", ")&amp;$A128,L127)</f>
        <v/>
      </c>
      <c r="M128" s="85">
        <f>IF(AND($B128&lt;&gt;"",$B128='קבוצות'!$A$10),IF(M127="","",M127&amp;", ")&amp;$A128,M127)</f>
        <v/>
      </c>
      <c r="N128" s="85">
        <f>IF(AND($B128&lt;&gt;"",$B128='קבוצות'!$A$11),IF(N127="","",N127&amp;", ")&amp;$A128,N127)</f>
        <v/>
      </c>
      <c r="O128" s="85">
        <f>IF(AND($B128&lt;&gt;"",$B128='קבוצות'!$A$12),IF(O127="","",O127&amp;", ")&amp;$A128,O127)</f>
        <v/>
      </c>
      <c r="P128" s="85">
        <f>IF(AND($B128&lt;&gt;"",$B128='קבוצות'!$A$13),IF(P127="","",P127&amp;", ")&amp;$A128,P127)</f>
        <v/>
      </c>
      <c r="Q128" s="85">
        <f>IF(AND($B128&lt;&gt;"",$B128='קבוצות'!$A$14),IF(Q127="","",Q127&amp;", ")&amp;$A128,Q127)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  <c r="L129" s="85">
        <f>IF(AND($B129&lt;&gt;"",$B129='קבוצות'!$A$9),IF(L128="","",L128&amp;", ")&amp;$A129,L128)</f>
        <v/>
      </c>
      <c r="M129" s="85">
        <f>IF(AND($B129&lt;&gt;"",$B129='קבוצות'!$A$10),IF(M128="","",M128&amp;", ")&amp;$A129,M128)</f>
        <v/>
      </c>
      <c r="N129" s="85">
        <f>IF(AND($B129&lt;&gt;"",$B129='קבוצות'!$A$11),IF(N128="","",N128&amp;", ")&amp;$A129,N128)</f>
        <v/>
      </c>
      <c r="O129" s="85">
        <f>IF(AND($B129&lt;&gt;"",$B129='קבוצות'!$A$12),IF(O128="","",O128&amp;", ")&amp;$A129,O128)</f>
        <v/>
      </c>
      <c r="P129" s="85">
        <f>IF(AND($B129&lt;&gt;"",$B129='קבוצות'!$A$13),IF(P128="","",P128&amp;", ")&amp;$A129,P128)</f>
        <v/>
      </c>
      <c r="Q129" s="85">
        <f>IF(AND($B129&lt;&gt;"",$B129='קבוצות'!$A$14),IF(Q128="","",Q128&amp;", ")&amp;$A129,Q128)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  <c r="L130" s="85">
        <f>IF(AND($B130&lt;&gt;"",$B130='קבוצות'!$A$9),IF(L129="","",L129&amp;", ")&amp;$A130,L129)</f>
        <v/>
      </c>
      <c r="M130" s="85">
        <f>IF(AND($B130&lt;&gt;"",$B130='קבוצות'!$A$10),IF(M129="","",M129&amp;", ")&amp;$A130,M129)</f>
        <v/>
      </c>
      <c r="N130" s="85">
        <f>IF(AND($B130&lt;&gt;"",$B130='קבוצות'!$A$11),IF(N129="","",N129&amp;", ")&amp;$A130,N129)</f>
        <v/>
      </c>
      <c r="O130" s="85">
        <f>IF(AND($B130&lt;&gt;"",$B130='קבוצות'!$A$12),IF(O129="","",O129&amp;", ")&amp;$A130,O129)</f>
        <v/>
      </c>
      <c r="P130" s="85">
        <f>IF(AND($B130&lt;&gt;"",$B130='קבוצות'!$A$13),IF(P129="","",P129&amp;", ")&amp;$A130,P129)</f>
        <v/>
      </c>
      <c r="Q130" s="85">
        <f>IF(AND($B130&lt;&gt;"",$B130='קבוצות'!$A$14),IF(Q129="","",Q129&amp;", ")&amp;$A130,Q129)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  <c r="L131" s="85">
        <f>IF(AND($B131&lt;&gt;"",$B131='קבוצות'!$A$9),IF(L130="","",L130&amp;", ")&amp;$A131,L130)</f>
        <v/>
      </c>
      <c r="M131" s="85">
        <f>IF(AND($B131&lt;&gt;"",$B131='קבוצות'!$A$10),IF(M130="","",M130&amp;", ")&amp;$A131,M130)</f>
        <v/>
      </c>
      <c r="N131" s="85">
        <f>IF(AND($B131&lt;&gt;"",$B131='קבוצות'!$A$11),IF(N130="","",N130&amp;", ")&amp;$A131,N130)</f>
        <v/>
      </c>
      <c r="O131" s="85">
        <f>IF(AND($B131&lt;&gt;"",$B131='קבוצות'!$A$12),IF(O130="","",O130&amp;", ")&amp;$A131,O130)</f>
        <v/>
      </c>
      <c r="P131" s="85">
        <f>IF(AND($B131&lt;&gt;"",$B131='קבוצות'!$A$13),IF(P130="","",P130&amp;", ")&amp;$A131,P130)</f>
        <v/>
      </c>
      <c r="Q131" s="85">
        <f>IF(AND($B131&lt;&gt;"",$B131='קבוצות'!$A$14),IF(Q130="","",Q130&amp;", ")&amp;$A131,Q130)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  <c r="L132" s="85">
        <f>IF(AND($B132&lt;&gt;"",$B132='קבוצות'!$A$9),IF(L131="","",L131&amp;", ")&amp;$A132,L131)</f>
        <v/>
      </c>
      <c r="M132" s="85">
        <f>IF(AND($B132&lt;&gt;"",$B132='קבוצות'!$A$10),IF(M131="","",M131&amp;", ")&amp;$A132,M131)</f>
        <v/>
      </c>
      <c r="N132" s="85">
        <f>IF(AND($B132&lt;&gt;"",$B132='קבוצות'!$A$11),IF(N131="","",N131&amp;", ")&amp;$A132,N131)</f>
        <v/>
      </c>
      <c r="O132" s="85">
        <f>IF(AND($B132&lt;&gt;"",$B132='קבוצות'!$A$12),IF(O131="","",O131&amp;", ")&amp;$A132,O131)</f>
        <v/>
      </c>
      <c r="P132" s="85">
        <f>IF(AND($B132&lt;&gt;"",$B132='קבוצות'!$A$13),IF(P131="","",P131&amp;", ")&amp;$A132,P131)</f>
        <v/>
      </c>
      <c r="Q132" s="85">
        <f>IF(AND($B132&lt;&gt;"",$B132='קבוצות'!$A$14),IF(Q131="","",Q131&amp;", ")&amp;$A132,Q131)</f>
        <v/>
      </c>
    </row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'קבוצות'!$A$3:$A$14</formula1>
    </dataValidation>
    <dataValidation sqref="C3:C132" showDropDown="0" showInputMessage="0" showErrorMessage="0" allowBlank="1" type="list">
      <formula1>'קבוצות'!$A$3:$A$14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90" customWidth="1" min="4" max="4"/>
    <col width="14" customWidth="1" min="5" max="5"/>
    <col width="12" customWidth="1" min="6" max="6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קבוצת אם</t>
        </is>
      </c>
      <c r="D2" s="16" t="inlineStr">
        <is>
          <t>חניכים (מחושב מגיליון «חניכים»)</t>
        </is>
      </c>
      <c r="E2" s="16" t="inlineStr">
        <is>
          <t>ערכת צבע</t>
        </is>
      </c>
      <c r="F2" s="16" t="inlineStr">
        <is>
          <t>מס' חניכים</t>
        </is>
      </c>
    </row>
    <row r="3" ht="46" customHeight="1">
      <c r="A3" s="80" t="inlineStr">
        <is>
          <t>עוגות · צוות רותם</t>
        </is>
      </c>
      <c r="B3" s="86" t="inlineStr">
        <is>
          <t>רותם דרור</t>
        </is>
      </c>
      <c r="C3" s="69" t="inlineStr">
        <is>
          <t>עוגות</t>
        </is>
      </c>
      <c r="D3" s="87">
        <f>IF($A3="","",'חניכים'!$F$132&amp;"")</f>
        <v/>
      </c>
      <c r="E3" s="69" t="inlineStr">
        <is>
          <t>ורוד</t>
        </is>
      </c>
      <c r="F3" s="88">
        <f>IF($A3="","",COUNTIF('חניכים'!$B$3:$B$132,$A3))</f>
        <v/>
      </c>
    </row>
    <row r="4" ht="46" customHeight="1">
      <c r="A4" s="80" t="inlineStr">
        <is>
          <t>עוגות · צוות יותם</t>
        </is>
      </c>
      <c r="B4" s="86" t="inlineStr">
        <is>
          <t>יותם ספיר</t>
        </is>
      </c>
      <c r="C4" s="69" t="inlineStr">
        <is>
          <t>עוגות</t>
        </is>
      </c>
      <c r="D4" s="87">
        <f>IF($A4="","",'חניכים'!$G$132&amp;"")</f>
        <v/>
      </c>
      <c r="E4" s="69" t="inlineStr">
        <is>
          <t>ורוד</t>
        </is>
      </c>
      <c r="F4" s="88">
        <f>IF($A4="","",COUNTIF('חניכים'!$B$3:$B$132,$A4))</f>
        <v/>
      </c>
    </row>
    <row r="5" ht="46" customHeight="1">
      <c r="A5" s="80" t="inlineStr">
        <is>
          <t>עוגות · צוות סהר</t>
        </is>
      </c>
      <c r="B5" s="86" t="inlineStr">
        <is>
          <t>סהר שירון</t>
        </is>
      </c>
      <c r="C5" s="69" t="inlineStr">
        <is>
          <t>עוגות</t>
        </is>
      </c>
      <c r="D5" s="87">
        <f>IF($A5="","",'חניכים'!$H$132&amp;"")</f>
        <v/>
      </c>
      <c r="E5" s="69" t="inlineStr">
        <is>
          <t>ורוד</t>
        </is>
      </c>
      <c r="F5" s="88">
        <f>IF($A5="","",COUNTIF('חניכים'!$B$3:$B$132,$A5))</f>
        <v/>
      </c>
    </row>
    <row r="6" ht="46" customHeight="1">
      <c r="A6" s="80" t="inlineStr">
        <is>
          <t>עוגות · צוות שילת</t>
        </is>
      </c>
      <c r="B6" s="86" t="inlineStr">
        <is>
          <t>שילת פילפל</t>
        </is>
      </c>
      <c r="C6" s="69" t="inlineStr">
        <is>
          <t>עוגות</t>
        </is>
      </c>
      <c r="D6" s="87">
        <f>IF($A6="","",'חניכים'!$I$132&amp;"")</f>
        <v/>
      </c>
      <c r="E6" s="69" t="inlineStr">
        <is>
          <t>ורוד</t>
        </is>
      </c>
      <c r="F6" s="88">
        <f>IF($A6="","",COUNTIF('חניכים'!$B$3:$B$132,$A6))</f>
        <v/>
      </c>
    </row>
    <row r="7" ht="46" customHeight="1">
      <c r="A7" s="80" t="inlineStr">
        <is>
          <t>ארוחת צהריים שישי</t>
        </is>
      </c>
      <c r="B7" s="86" t="inlineStr">
        <is>
          <t>ינון לוי</t>
        </is>
      </c>
      <c r="C7" s="69" t="n"/>
      <c r="D7" s="87">
        <f>IF($A7="","",'חניכים'!$J$132&amp;"")</f>
        <v/>
      </c>
      <c r="E7" s="69" t="inlineStr">
        <is>
          <t>ספארי</t>
        </is>
      </c>
      <c r="F7" s="88">
        <f>IF($A7="","",COUNTIF('חניכים'!$B$3:$B$132,$A7))</f>
        <v/>
      </c>
    </row>
    <row r="8" ht="46" customHeight="1">
      <c r="A8" s="80" t="inlineStr">
        <is>
          <t>בית מדרש · ארוחת ערב וטיש</t>
        </is>
      </c>
      <c r="B8" s="86" t="n"/>
      <c r="C8" s="69" t="inlineStr">
        <is>
          <t>בית מדרש ופינת קפה</t>
        </is>
      </c>
      <c r="D8" s="87">
        <f>IF($A8="","",'חניכים'!$K$132&amp;"")</f>
        <v/>
      </c>
      <c r="E8" s="69" t="inlineStr">
        <is>
          <t>ים</t>
        </is>
      </c>
      <c r="F8" s="88">
        <f>IF($A8="","",COUNTIF('חניכים'!$B$3:$B$132,$A8))</f>
        <v/>
      </c>
    </row>
    <row r="9" ht="46" customHeight="1">
      <c r="A9" s="80" t="inlineStr">
        <is>
          <t>בית מדרש · קידוש</t>
        </is>
      </c>
      <c r="B9" s="86" t="n"/>
      <c r="C9" s="69" t="inlineStr">
        <is>
          <t>בית מדרש ופינת קפה</t>
        </is>
      </c>
      <c r="D9" s="87">
        <f>IF($A9="","",'חניכים'!$L$132&amp;"")</f>
        <v/>
      </c>
      <c r="E9" s="69" t="inlineStr">
        <is>
          <t>ים</t>
        </is>
      </c>
      <c r="F9" s="88">
        <f>IF($A9="","",COUNTIF('חניכים'!$B$3:$B$132,$A9))</f>
        <v/>
      </c>
    </row>
    <row r="10" ht="46" customHeight="1">
      <c r="A10" s="80" t="inlineStr">
        <is>
          <t>בית מדרש · צהריים בשבת</t>
        </is>
      </c>
      <c r="B10" s="86" t="n"/>
      <c r="C10" s="69" t="inlineStr">
        <is>
          <t>בית מדרש ופינת קפה</t>
        </is>
      </c>
      <c r="D10" s="87">
        <f>IF($A10="","",'חניכים'!$M$132&amp;"")</f>
        <v/>
      </c>
      <c r="E10" s="69" t="inlineStr">
        <is>
          <t>ים</t>
        </is>
      </c>
      <c r="F10" s="88">
        <f>IF($A10="","",COUNTIF('חניכים'!$B$3:$B$132,$A10))</f>
        <v/>
      </c>
    </row>
    <row r="11" ht="46" customHeight="1">
      <c r="A11" s="80" t="n"/>
      <c r="B11" s="86" t="n"/>
      <c r="C11" s="69" t="n"/>
      <c r="D11" s="87">
        <f>IF($A11="","",'חניכים'!$N$132&amp;"")</f>
        <v/>
      </c>
      <c r="E11" s="69" t="inlineStr">
        <is>
          <t>ספארי</t>
        </is>
      </c>
      <c r="F11" s="88">
        <f>IF($A11="","",COUNTIF('חניכים'!$B$3:$B$132,$A11))</f>
        <v/>
      </c>
    </row>
    <row r="12" ht="46" customHeight="1">
      <c r="A12" s="80" t="n"/>
      <c r="B12" s="86" t="n"/>
      <c r="C12" s="69" t="n"/>
      <c r="D12" s="87">
        <f>IF($A12="","",'חניכים'!$O$132&amp;"")</f>
        <v/>
      </c>
      <c r="E12" s="69" t="inlineStr">
        <is>
          <t>שדה</t>
        </is>
      </c>
      <c r="F12" s="88">
        <f>IF($A12="","",COUNTIF('חניכים'!$B$3:$B$132,$A12))</f>
        <v/>
      </c>
    </row>
    <row r="13" ht="46" customHeight="1">
      <c r="A13" s="80" t="n"/>
      <c r="B13" s="86" t="n"/>
      <c r="C13" s="69" t="n"/>
      <c r="D13" s="87">
        <f>IF($A13="","",'חניכים'!$P$132&amp;"")</f>
        <v/>
      </c>
      <c r="E13" s="69" t="inlineStr">
        <is>
          <t>סגול</t>
        </is>
      </c>
      <c r="F13" s="88">
        <f>IF($A13="","",COUNTIF('חניכים'!$B$3:$B$132,$A13))</f>
        <v/>
      </c>
    </row>
    <row r="14" ht="46" customHeight="1">
      <c r="A14" s="80" t="n"/>
      <c r="B14" s="86" t="n"/>
      <c r="C14" s="69" t="n"/>
      <c r="D14" s="87">
        <f>IF($A14="","",'חניכים'!$Q$132&amp;"")</f>
        <v/>
      </c>
      <c r="E14" s="69" t="inlineStr">
        <is>
          <t>ירוק</t>
        </is>
      </c>
      <c r="F14" s="88">
        <f>IF($A14="","",COUNTIF('חניכים'!$B$3:$B$132,$A14))</f>
        <v/>
      </c>
    </row>
    <row r="16" ht="28" customHeight="1">
      <c r="A16" s="24" t="inlineStr">
        <is>
          <t>שמות הקבוצות והמובילים נקבעים כאן. «קבוצת אם» מאגדת תת-קבוצות תחת קבוצה אחת (למשל ארבע תת-הקבוצות של בית המדרש). רשימת החניכים מחושבת מגיליון «חניכים» — אין מה להקליד בה. ערכת הצבע קובעת את צבע הכרטיסייה.</t>
        </is>
      </c>
    </row>
  </sheetData>
  <mergeCells count="2">
    <mergeCell ref="A16:F16"/>
    <mergeCell ref="A1:F1"/>
  </mergeCells>
  <dataValidations count="1">
    <dataValidation sqref="E3:E14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3" customWidth="1" min="3" max="3"/>
    <col width="66" customWidth="1" min="4" max="4"/>
    <col width="9" customWidth="1" min="5" max="5"/>
    <col width="26" customWidth="1" min="6" max="6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שעה</t>
        </is>
      </c>
      <c r="F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90" t="n"/>
      <c r="F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90" t="n"/>
      <c r="F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90" t="n"/>
      <c r="F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90" t="n"/>
      <c r="F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90" t="n"/>
      <c r="F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90" t="n"/>
      <c r="F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90" t="n"/>
      <c r="F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90" t="n"/>
      <c r="F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90" t="n"/>
      <c r="F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90" t="n"/>
      <c r="F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90" t="n"/>
      <c r="F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פרווה לטיש</t>
        </is>
      </c>
      <c r="E14" s="90" t="n"/>
      <c r="F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מאפים</t>
        </is>
      </c>
      <c r="C15" s="76" t="inlineStr">
        <is>
          <t>שישי</t>
        </is>
      </c>
      <c r="D15" s="68" t="inlineStr">
        <is>
          <t>עוגות לסעודה שלישית</t>
        </is>
      </c>
      <c r="E15" s="90" t="n"/>
      <c r="F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ערב שבת</t>
        </is>
      </c>
      <c r="E16" s="90" t="n"/>
      <c r="F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סלטים לארוחת צהריים שבת</t>
        </is>
      </c>
      <c r="E17" s="90" t="n"/>
      <c r="F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סלט ביצים</t>
        </is>
      </c>
      <c r="E18" s="90" t="n"/>
      <c r="F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מטבוחה</t>
        </is>
      </c>
      <c r="E19" s="90" t="n"/>
      <c r="F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שישי</t>
        </is>
      </c>
      <c r="D20" s="68" t="inlineStr">
        <is>
          <t>חיתוך ירקות לסלט</t>
        </is>
      </c>
      <c r="E20" s="90" t="n"/>
      <c r="F20" s="76" t="inlineStr">
        <is>
          <t>שישי — הכנות ועבודה</t>
        </is>
      </c>
    </row>
    <row r="21" ht="20" customHeight="1">
      <c r="A21" s="91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90" t="n">
        <v>0.2916666666666667</v>
      </c>
      <c r="F21" s="76" t="inlineStr">
        <is>
          <t>שישי — ארוחת בוקר</t>
        </is>
      </c>
    </row>
    <row r="22" ht="20" customHeight="1">
      <c r="A22" s="91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90" t="n">
        <v>0.4375</v>
      </c>
      <c r="F22" s="76" t="inlineStr">
        <is>
          <t>שישי — ארוחת צהריים</t>
        </is>
      </c>
    </row>
    <row r="23" ht="20" customHeight="1">
      <c r="A23" s="91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פריקת האוכל שמגיע מהקייטרינג</t>
        </is>
      </c>
      <c r="E23" s="90" t="n">
        <v>0.5833333333333334</v>
      </c>
      <c r="F23" s="76" t="inlineStr">
        <is>
          <t>סעודת שבת</t>
        </is>
      </c>
    </row>
    <row r="24" ht="20" customHeight="1">
      <c r="A24" s="91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הנחת האוכל על הפלטות, וחיבור מיחמים בפינת קפה</t>
        </is>
      </c>
      <c r="E24" s="90" t="n">
        <v>0.7083333333333334</v>
      </c>
      <c r="F24" s="76" t="inlineStr">
        <is>
          <t>סעודת שבת</t>
        </is>
      </c>
    </row>
    <row r="25" ht="20" customHeight="1">
      <c r="A25" s="91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הורדת האוכל מהפלטות ומתנור החימום לארוחה</t>
        </is>
      </c>
      <c r="E25" s="90" t="n">
        <v>0.8125</v>
      </c>
      <c r="F25" s="76" t="inlineStr">
        <is>
          <t>סעודת שבת</t>
        </is>
      </c>
    </row>
    <row r="26" ht="20" customHeight="1">
      <c r="A26" s="91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שולחן — טחינה, צלחות וסכו"ם, לחמניות, וסלטים מהקייטרינג אם יש</t>
        </is>
      </c>
      <c r="E26" s="90" t="n">
        <v>0.8125</v>
      </c>
      <c r="F26" s="76" t="inlineStr">
        <is>
          <t>סעודת שבת</t>
        </is>
      </c>
    </row>
    <row r="27" ht="20" customHeight="1">
      <c r="A27" s="91" t="inlineStr">
        <is>
          <t>תורנות ארוחה</t>
        </is>
      </c>
      <c r="B27" s="20" t="inlineStr">
        <is>
          <t>טיש</t>
        </is>
      </c>
      <c r="C27" s="76" t="inlineStr">
        <is>
          <t>שישי</t>
        </is>
      </c>
      <c r="D27" s="68" t="inlineStr">
        <is>
          <t>חימום 10 עוגות פרווה על הפלטה</t>
        </is>
      </c>
      <c r="E27" s="90" t="n">
        <v>0.875</v>
      </c>
      <c r="F27" s="76" t="inlineStr">
        <is>
          <t>טיש עם איש צוות</t>
        </is>
      </c>
    </row>
    <row r="28" ht="20" customHeight="1">
      <c r="A28" s="91" t="inlineStr">
        <is>
          <t>תורנות ארוחה</t>
        </is>
      </c>
      <c r="B28" s="20" t="inlineStr">
        <is>
          <t>טיש</t>
        </is>
      </c>
      <c r="C28" s="76" t="inlineStr">
        <is>
          <t>שישי</t>
        </is>
      </c>
      <c r="D28" s="68" t="inlineStr">
        <is>
          <t>חיתוך אבטיח</t>
        </is>
      </c>
      <c r="E28" s="90" t="n">
        <v>0.875</v>
      </c>
      <c r="F28" s="76" t="inlineStr">
        <is>
          <t>טיש עם איש צוות</t>
        </is>
      </c>
    </row>
    <row r="29" ht="20" customHeight="1">
      <c r="A29" s="91" t="inlineStr">
        <is>
          <t>תורנות ארוחה</t>
        </is>
      </c>
      <c r="B29" s="20" t="inlineStr">
        <is>
          <t>טיש</t>
        </is>
      </c>
      <c r="C29" s="76" t="inlineStr">
        <is>
          <t>שישי</t>
        </is>
      </c>
      <c r="D29" s="68" t="inlineStr">
        <is>
          <t>פריסת שולחן במרכז — 10 עוגות פרווה, גרעינים, בקבוקים ואבטיח, כוסות ושתייה</t>
        </is>
      </c>
      <c r="E29" s="90" t="n">
        <v>0.8958333333333334</v>
      </c>
      <c r="F29" s="76" t="inlineStr">
        <is>
          <t>טיש עם איש צוות</t>
        </is>
      </c>
    </row>
    <row r="30" ht="20" customHeight="1">
      <c r="A30" s="91" t="inlineStr">
        <is>
          <t>תורנות ארוחה</t>
        </is>
      </c>
      <c r="B30" s="20" t="inlineStr">
        <is>
          <t>טיש</t>
        </is>
      </c>
      <c r="C30" s="76" t="inlineStr">
        <is>
          <t>שישי</t>
        </is>
      </c>
      <c r="D30" s="68" t="inlineStr">
        <is>
          <t>סידור המרחב בחדר האוכל — שולחנות בקוביה במרכז, כיסאות במעגל מסביב</t>
        </is>
      </c>
      <c r="E30" s="90" t="n">
        <v>0.8958333333333334</v>
      </c>
      <c r="F30" s="76" t="inlineStr">
        <is>
          <t>טיש עם איש צוות</t>
        </is>
      </c>
    </row>
    <row r="31" ht="20" customHeight="1">
      <c r="A31" s="91" t="inlineStr">
        <is>
          <t>תורנות ארוחה</t>
        </is>
      </c>
      <c r="B31" s="20" t="inlineStr">
        <is>
          <t>טיש</t>
        </is>
      </c>
      <c r="C31" s="76" t="inlineStr">
        <is>
          <t>שישי</t>
        </is>
      </c>
      <c r="D31" s="68" t="inlineStr">
        <is>
          <t>ניקיון חדר האוכל בסיום הטיש — טאטוא, שטיפת גסטרונומים וניקוי השולחנות</t>
        </is>
      </c>
      <c r="E31" s="90" t="n"/>
      <c r="F31" s="76" t="inlineStr">
        <is>
          <t>טיש עם איש צוות</t>
        </is>
      </c>
    </row>
    <row r="32" ht="20" customHeight="1">
      <c r="A32" s="91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וניקיון פינת קפה — להוציא חלב, למלא קפה וסוכר</t>
        </is>
      </c>
      <c r="E32" s="90" t="n">
        <v>0.4375</v>
      </c>
      <c r="F32" s="76" t="inlineStr">
        <is>
          <t>קידוש</t>
        </is>
      </c>
    </row>
    <row r="33" ht="20" customHeight="1">
      <c r="A33" s="91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חימום עוגות</t>
        </is>
      </c>
      <c r="E33" s="90" t="n">
        <v>0.4375</v>
      </c>
      <c r="F33" s="76" t="inlineStr">
        <is>
          <t>קידוש</t>
        </is>
      </c>
    </row>
    <row r="34" ht="20" customHeight="1">
      <c r="A34" s="91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טאטוא הרצפה, סידור כיסאות וארגון המרחב</t>
        </is>
      </c>
      <c r="E34" s="90" t="n">
        <v>0.4375</v>
      </c>
      <c r="F34" s="76" t="inlineStr">
        <is>
          <t>קידוש</t>
        </is>
      </c>
    </row>
    <row r="35" ht="20" customHeight="1">
      <c r="A35" s="91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הוצאת 15 עוגות, חלב, קורנפלקס, ענבים ואבטיח</t>
        </is>
      </c>
      <c r="E35" s="90" t="n">
        <v>0.4375</v>
      </c>
      <c r="F35" s="76" t="inlineStr">
        <is>
          <t>קידוש</t>
        </is>
      </c>
    </row>
    <row r="36" ht="20" customHeight="1">
      <c r="A36" s="91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חיתוך האבטיח</t>
        </is>
      </c>
      <c r="E36" s="90" t="n">
        <v>0.4375</v>
      </c>
      <c r="F36" s="76" t="inlineStr">
        <is>
          <t>קידוש</t>
        </is>
      </c>
    </row>
    <row r="37" ht="20" customHeight="1">
      <c r="A37" s="91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הנחת האוכל בתנור החימום</t>
        </is>
      </c>
      <c r="E37" s="90" t="n">
        <v>0.4583333333333333</v>
      </c>
      <c r="F37" s="76" t="inlineStr">
        <is>
          <t>ארוחת צהריים</t>
        </is>
      </c>
    </row>
    <row r="38" ht="20" customHeight="1">
      <c r="A38" s="91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פריסת האוכל, כפות הגשה, צלחות וסכו"ם</t>
        </is>
      </c>
      <c r="E38" s="90" t="n">
        <v>0.5208333333333334</v>
      </c>
      <c r="F38" s="76" t="inlineStr">
        <is>
          <t>ארוחת צהריים</t>
        </is>
      </c>
    </row>
    <row r="39" ht="20" customHeight="1">
      <c r="A39" s="91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סידור שולחנות וכיסאות לארוחה, ופינוי הכל בסיום</t>
        </is>
      </c>
      <c r="E39" s="90" t="n">
        <v>0.5208333333333334</v>
      </c>
      <c r="F39" s="76" t="inlineStr">
        <is>
          <t>ארוחת צהריים</t>
        </is>
      </c>
    </row>
    <row r="40" ht="20" customHeight="1">
      <c r="A40" s="91" t="inlineStr">
        <is>
          <t>תורנות ארוחה</t>
        </is>
      </c>
      <c r="B40" s="20" t="inlineStr">
        <is>
          <t>סעודה שלישית</t>
        </is>
      </c>
      <c r="C40" s="76" t="inlineStr">
        <is>
          <t>שבת</t>
        </is>
      </c>
      <c r="D40" s="68" t="inlineStr">
        <is>
          <t>הכנסת מאפים לחימום והוצאת האוכל</t>
        </is>
      </c>
      <c r="E40" s="90" t="n"/>
      <c r="F40" s="76" t="inlineStr">
        <is>
          <t>סעודה שלישית</t>
        </is>
      </c>
    </row>
    <row r="41" ht="20" customHeight="1">
      <c r="A41" s="91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עריכת המרחב וסידור בסיום</t>
        </is>
      </c>
      <c r="E41" s="90" t="n"/>
      <c r="F41" s="76" t="inlineStr">
        <is>
          <t>סעודה שלישית</t>
        </is>
      </c>
    </row>
    <row r="42" ht="20" customHeight="1">
      <c r="A42" s="92" t="inlineStr">
        <is>
          <t>ניקיון וסידור</t>
        </is>
      </c>
      <c r="B42" s="20" t="inlineStr">
        <is>
          <t>בית מיכאל</t>
        </is>
      </c>
      <c r="C42" s="76" t="inlineStr">
        <is>
          <t>שישי</t>
        </is>
      </c>
      <c r="D42" s="68" t="inlineStr">
        <is>
          <t>הפיכת בית מיכאל לבית כנסת — מחיצה, שורות כיסאות משני הצדדים, סידורים על הכיסאות, הפעלת מזגן</t>
        </is>
      </c>
      <c r="E42" s="90" t="n"/>
      <c r="F42" s="76" t="inlineStr">
        <is>
          <t>קבלת שבת וערבית</t>
        </is>
      </c>
    </row>
    <row r="43" ht="20" customHeight="1">
      <c r="A43" s="92" t="inlineStr">
        <is>
          <t>ניקיון וסידור</t>
        </is>
      </c>
      <c r="B43" s="20" t="inlineStr">
        <is>
          <t>בית מיכאל</t>
        </is>
      </c>
      <c r="C43" s="76" t="inlineStr">
        <is>
          <t>שישי</t>
        </is>
      </c>
      <c r="D43" s="68" t="inlineStr">
        <is>
          <t>הבאת ספות וסידור מרחב הטיש</t>
        </is>
      </c>
      <c r="E43" s="90" t="n"/>
      <c r="F43" s="76" t="inlineStr">
        <is>
          <t>טיש עם איש צוות</t>
        </is>
      </c>
    </row>
    <row r="44" ht="20" customHeight="1">
      <c r="A44" s="92" t="inlineStr">
        <is>
          <t>ניקיון וסידור</t>
        </is>
      </c>
      <c r="B44" s="20" t="inlineStr">
        <is>
          <t>בית מיכאל</t>
        </is>
      </c>
      <c r="C44" s="76" t="inlineStr">
        <is>
          <t>מוצאי שבת</t>
        </is>
      </c>
      <c r="D44" s="68" t="inlineStr">
        <is>
          <t>טאטוא ושטיפת בית מיכאל</t>
        </is>
      </c>
      <c r="E44" s="90" t="n"/>
      <c r="F44" s="76" t="inlineStr">
        <is>
          <t>ניקיונות וארגון הקמפוס</t>
        </is>
      </c>
    </row>
    <row r="45" ht="20" customHeight="1">
      <c r="A45" s="92" t="inlineStr">
        <is>
          <t>ניקיון וסידור</t>
        </is>
      </c>
      <c r="B45" s="20" t="inlineStr">
        <is>
          <t>בית מיכאל</t>
        </is>
      </c>
      <c r="C45" s="76" t="inlineStr">
        <is>
          <t>מוצאי שבת</t>
        </is>
      </c>
      <c r="D45" s="68" t="inlineStr">
        <is>
          <t>החזרת בית המדרש לסידור המקורי</t>
        </is>
      </c>
      <c r="E45" s="90" t="n"/>
      <c r="F45" s="76" t="inlineStr">
        <is>
          <t>ניקיונות וארגון הקמפוס</t>
        </is>
      </c>
    </row>
    <row r="46" ht="20" customHeight="1">
      <c r="A46" s="92" t="inlineStr">
        <is>
          <t>ניקיון וסידור</t>
        </is>
      </c>
      <c r="B46" s="20" t="inlineStr">
        <is>
          <t>חדר אוכל</t>
        </is>
      </c>
      <c r="C46" s="76" t="inlineStr">
        <is>
          <t>משתנה</t>
        </is>
      </c>
      <c r="D46" s="68" t="inlineStr">
        <is>
          <t>ניקיון וסידור חדר אוכל</t>
        </is>
      </c>
      <c r="E46" s="90" t="n"/>
      <c r="F46" s="76" t="n"/>
    </row>
    <row r="47" ht="20" customHeight="1">
      <c r="A47" s="92" t="inlineStr">
        <is>
          <t>ניקיון וסידור</t>
        </is>
      </c>
      <c r="B47" s="20" t="inlineStr">
        <is>
          <t>חדר אוכל</t>
        </is>
      </c>
      <c r="C47" s="76" t="inlineStr">
        <is>
          <t>משתנה</t>
        </is>
      </c>
      <c r="D47" s="68" t="inlineStr">
        <is>
          <t>שטיפת רצפת חדר האוכל</t>
        </is>
      </c>
      <c r="E47" s="90" t="n"/>
      <c r="F47" s="76" t="n"/>
    </row>
    <row r="48" ht="20" customHeight="1">
      <c r="A48" s="92" t="inlineStr">
        <is>
          <t>ניקיון וסידור</t>
        </is>
      </c>
      <c r="B48" s="20" t="inlineStr">
        <is>
          <t>שירותי חדר אוכל</t>
        </is>
      </c>
      <c r="C48" s="76" t="inlineStr">
        <is>
          <t>משתנה</t>
        </is>
      </c>
      <c r="D48" s="68" t="inlineStr">
        <is>
          <t>ניקיון שירותי חדר אוכל</t>
        </is>
      </c>
      <c r="E48" s="90" t="n"/>
      <c r="F48" s="76" t="n"/>
    </row>
    <row r="49" ht="20" customHeight="1">
      <c r="A49" s="92" t="inlineStr">
        <is>
          <t>ניקיון וסידור</t>
        </is>
      </c>
      <c r="B49" s="20" t="inlineStr">
        <is>
          <t>שירותים כלליים</t>
        </is>
      </c>
      <c r="C49" s="76" t="inlineStr">
        <is>
          <t>משתנה</t>
        </is>
      </c>
      <c r="D49" s="68" t="inlineStr">
        <is>
          <t>ניקיון שירותים — אקונומיקה ונייר</t>
        </is>
      </c>
      <c r="E49" s="90" t="n"/>
      <c r="F49" s="76" t="n"/>
    </row>
    <row r="50" ht="20" customHeight="1">
      <c r="A50" s="92" t="inlineStr">
        <is>
          <t>ניקיון וסידור</t>
        </is>
      </c>
      <c r="B50" s="20" t="inlineStr">
        <is>
          <t>מטבח</t>
        </is>
      </c>
      <c r="C50" s="76" t="inlineStr">
        <is>
          <t>משתנה</t>
        </is>
      </c>
      <c r="D50" s="68" t="inlineStr">
        <is>
          <t>ניקיון מטבח — כולל הכל</t>
        </is>
      </c>
      <c r="E50" s="90" t="n"/>
      <c r="F50" s="76" t="n"/>
    </row>
    <row r="51" ht="20" customHeight="1">
      <c r="A51" s="92" t="inlineStr">
        <is>
          <t>ניקיון וסידור</t>
        </is>
      </c>
      <c r="B51" s="20" t="inlineStr">
        <is>
          <t>מטבח</t>
        </is>
      </c>
      <c r="C51" s="76" t="inlineStr">
        <is>
          <t>משתנה</t>
        </is>
      </c>
      <c r="D51" s="68" t="inlineStr">
        <is>
          <t>כיריים וכיורים</t>
        </is>
      </c>
      <c r="E51" s="90" t="n"/>
      <c r="F51" s="76" t="n"/>
    </row>
    <row r="52" ht="20" customHeight="1">
      <c r="A52" s="92" t="inlineStr">
        <is>
          <t>ניקיון וסידור</t>
        </is>
      </c>
      <c r="B52" s="20" t="inlineStr">
        <is>
          <t>מטבח</t>
        </is>
      </c>
      <c r="C52" s="76" t="inlineStr">
        <is>
          <t>משתנה</t>
        </is>
      </c>
      <c r="D52" s="68" t="inlineStr">
        <is>
          <t>פינוי כלים מהייבוש וסידור מזווה</t>
        </is>
      </c>
      <c r="E52" s="90" t="n"/>
      <c r="F52" s="76" t="n"/>
    </row>
    <row r="53" ht="20" customHeight="1">
      <c r="A53" s="92" t="inlineStr">
        <is>
          <t>ניקיון וסידור</t>
        </is>
      </c>
      <c r="B53" s="20" t="inlineStr">
        <is>
          <t>חדר מקררים</t>
        </is>
      </c>
      <c r="C53" s="76" t="inlineStr">
        <is>
          <t>משתנה</t>
        </is>
      </c>
      <c r="D53" s="68" t="inlineStr">
        <is>
          <t>ניקיון וסידור חדר מקררים</t>
        </is>
      </c>
      <c r="E53" s="90" t="n"/>
      <c r="F53" s="76" t="n"/>
    </row>
    <row r="54" ht="20" customHeight="1">
      <c r="A54" s="92" t="inlineStr">
        <is>
          <t>ניקיון וסידור</t>
        </is>
      </c>
      <c r="B54" s="20" t="inlineStr">
        <is>
          <t>קוביה</t>
        </is>
      </c>
      <c r="C54" s="76" t="inlineStr">
        <is>
          <t>משתנה</t>
        </is>
      </c>
      <c r="D54" s="68" t="inlineStr">
        <is>
          <t>ניקיון וסידור הקוביה</t>
        </is>
      </c>
      <c r="E54" s="90" t="n"/>
      <c r="F54" s="76" t="n"/>
    </row>
    <row r="55" ht="20" customHeight="1">
      <c r="A55" s="92" t="inlineStr">
        <is>
          <t>ניקיון וסידור</t>
        </is>
      </c>
      <c r="B55" s="20" t="inlineStr">
        <is>
          <t>מרחבי חבורות</t>
        </is>
      </c>
      <c r="C55" s="76" t="inlineStr">
        <is>
          <t>משתנה</t>
        </is>
      </c>
      <c r="D55" s="68" t="inlineStr">
        <is>
          <t>סידור מרחבי החבורות — כיסאות לפי מספר החבורות</t>
        </is>
      </c>
      <c r="E55" s="90" t="n"/>
      <c r="F55" s="76" t="inlineStr">
        <is>
          <t>חבורות חניכים</t>
        </is>
      </c>
    </row>
    <row r="56" ht="20" customHeight="1">
      <c r="A56" s="92" t="inlineStr">
        <is>
          <t>ניקיון וסידור</t>
        </is>
      </c>
      <c r="B56" s="20" t="inlineStr">
        <is>
          <t>מרפסת וחצר</t>
        </is>
      </c>
      <c r="C56" s="76" t="inlineStr">
        <is>
          <t>משתנה</t>
        </is>
      </c>
      <c r="D56" s="68" t="inlineStr">
        <is>
          <t>ניקיון וסידור המרפסת והחצר</t>
        </is>
      </c>
      <c r="E56" s="90" t="n"/>
      <c r="F56" s="76" t="n"/>
    </row>
    <row r="57" ht="20" customHeight="1">
      <c r="A57" s="92" t="inlineStr">
        <is>
          <t>ניקיון וסידור</t>
        </is>
      </c>
      <c r="B57" s="20" t="inlineStr">
        <is>
          <t>כללי</t>
        </is>
      </c>
      <c r="C57" s="76" t="inlineStr">
        <is>
          <t>מוצאי שבת</t>
        </is>
      </c>
      <c r="D57" s="68" t="inlineStr">
        <is>
          <t>החזרת ספות ורהיטים למקומם</t>
        </is>
      </c>
      <c r="E57" s="90" t="n"/>
      <c r="F57" s="76" t="inlineStr">
        <is>
          <t>ניקיונות וארגון הקמפוס</t>
        </is>
      </c>
    </row>
    <row r="58" ht="20" customHeight="1">
      <c r="A58" s="93" t="inlineStr">
        <is>
          <t>אחריות טכנית</t>
        </is>
      </c>
      <c r="B58" s="20" t="inlineStr">
        <is>
          <t>חימום</t>
        </is>
      </c>
      <c r="C58" s="76" t="inlineStr">
        <is>
          <t>שישי</t>
        </is>
      </c>
      <c r="D58" s="68" t="inlineStr">
        <is>
          <t>הכנת פלטות חימום והדלקתן</t>
        </is>
      </c>
      <c r="E58" s="90" t="n"/>
      <c r="F58" s="76" t="inlineStr">
        <is>
          <t>שישי — הכנות ועבודה</t>
        </is>
      </c>
    </row>
    <row r="59" ht="20" customHeight="1">
      <c r="A59" s="93" t="inlineStr">
        <is>
          <t>אחריות טכנית</t>
        </is>
      </c>
      <c r="B59" s="20" t="inlineStr">
        <is>
          <t>חימום</t>
        </is>
      </c>
      <c r="C59" s="76" t="inlineStr">
        <is>
          <t>שישי</t>
        </is>
      </c>
      <c r="D59" s="68" t="inlineStr">
        <is>
          <t>הדלקת תנור החימום במטבח</t>
        </is>
      </c>
      <c r="E59" s="90" t="n"/>
      <c r="F59" s="76" t="inlineStr">
        <is>
          <t>שישי — הכנות ועבודה</t>
        </is>
      </c>
    </row>
    <row r="60" ht="20" customHeight="1">
      <c r="A60" s="93" t="inlineStr">
        <is>
          <t>אחריות טכנית</t>
        </is>
      </c>
      <c r="B60" s="20" t="inlineStr">
        <is>
          <t>חימום</t>
        </is>
      </c>
      <c r="C60" s="76" t="inlineStr">
        <is>
          <t>שישי</t>
        </is>
      </c>
      <c r="D60" s="68" t="inlineStr">
        <is>
          <t>מילוי והדלקת מיחמים</t>
        </is>
      </c>
      <c r="E60" s="90" t="n"/>
      <c r="F60" s="76" t="inlineStr">
        <is>
          <t>שישי — הכנות ועבודה</t>
        </is>
      </c>
    </row>
    <row r="61" ht="20" customHeight="1">
      <c r="A61" s="93" t="inlineStr">
        <is>
          <t>אחריות טכנית</t>
        </is>
      </c>
      <c r="B61" s="20" t="inlineStr">
        <is>
          <t>חימום</t>
        </is>
      </c>
      <c r="C61" s="76" t="inlineStr">
        <is>
          <t>שבת</t>
        </is>
      </c>
      <c r="D61" s="68" t="inlineStr">
        <is>
          <t>לוודא שהאוכל על הפלטות בזמן</t>
        </is>
      </c>
      <c r="E61" s="90" t="n"/>
      <c r="F61" s="76" t="inlineStr">
        <is>
          <t>ארוחת צהריים</t>
        </is>
      </c>
    </row>
    <row r="62" ht="20" customHeight="1">
      <c r="A62" s="93" t="inlineStr">
        <is>
          <t>אחריות טכנית</t>
        </is>
      </c>
      <c r="B62" s="20" t="inlineStr">
        <is>
          <t>הבדלה</t>
        </is>
      </c>
      <c r="C62" s="76" t="inlineStr">
        <is>
          <t>שישי</t>
        </is>
      </c>
      <c r="D62" s="68" t="inlineStr">
        <is>
          <t>הכנת ציוד הבדלה — נר, יין, בשמים</t>
        </is>
      </c>
      <c r="E62" s="90" t="n"/>
      <c r="F62" s="76" t="inlineStr">
        <is>
          <t>הבדלה</t>
        </is>
      </c>
    </row>
    <row r="63" ht="20" customHeight="1">
      <c r="A63" s="93" t="inlineStr">
        <is>
          <t>אחריות טכנית</t>
        </is>
      </c>
      <c r="B63" s="20" t="inlineStr">
        <is>
          <t>חשמל</t>
        </is>
      </c>
      <c r="C63" s="76" t="inlineStr">
        <is>
          <t>שישי</t>
        </is>
      </c>
      <c r="D63" s="68" t="inlineStr">
        <is>
          <t>הדלקת אורות ומזגנים לשבת וכיוון שעון שבת</t>
        </is>
      </c>
      <c r="E63" s="90" t="n"/>
      <c r="F63" s="76" t="inlineStr">
        <is>
          <t>שישי — הכנות ועבודה</t>
        </is>
      </c>
    </row>
    <row r="64" ht="20" customHeight="1">
      <c r="A64" s="93" t="inlineStr">
        <is>
          <t>אחריות טכנית</t>
        </is>
      </c>
      <c r="B64" s="20" t="inlineStr">
        <is>
          <t>עיתון</t>
        </is>
      </c>
      <c r="C64" s="76" t="inlineStr">
        <is>
          <t>שישי</t>
        </is>
      </c>
      <c r="D64" s="68" t="inlineStr">
        <is>
          <t>הכנת עיתון השבת והפצתו</t>
        </is>
      </c>
      <c r="E64" s="90" t="n"/>
      <c r="F64" s="76" t="inlineStr">
        <is>
          <t>שישי — הכנות ועבודה</t>
        </is>
      </c>
    </row>
    <row r="65" ht="20" customHeight="1">
      <c r="A65" s="93" t="inlineStr">
        <is>
          <t>אחריות טכנית</t>
        </is>
      </c>
      <c r="B65" s="20" t="inlineStr">
        <is>
          <t>מרחבים</t>
        </is>
      </c>
      <c r="C65" s="76" t="inlineStr">
        <is>
          <t>שישי</t>
        </is>
      </c>
      <c r="D65" s="68" t="inlineStr">
        <is>
          <t>פתיחת המרחבים והכנתם</t>
        </is>
      </c>
      <c r="E65" s="90" t="n"/>
      <c r="F65" s="76" t="inlineStr">
        <is>
          <t>שישי — הכנות ועבודה</t>
        </is>
      </c>
    </row>
    <row r="66" ht="20" customHeight="1">
      <c r="A66" s="93" t="inlineStr">
        <is>
          <t>אחריות טכנית</t>
        </is>
      </c>
      <c r="B66" s="20" t="inlineStr">
        <is>
          <t>חשמל</t>
        </is>
      </c>
      <c r="C66" s="76" t="inlineStr">
        <is>
          <t>מוצאי שבת</t>
        </is>
      </c>
      <c r="D66" s="68" t="inlineStr">
        <is>
          <t>כיבוי פלטות, מיחמים ותנור חימום</t>
        </is>
      </c>
      <c r="E66" s="90" t="n"/>
      <c r="F66" s="76" t="inlineStr">
        <is>
          <t>ניקיונות וארגון הקמפוס</t>
        </is>
      </c>
    </row>
    <row r="67" ht="20" customHeight="1">
      <c r="A67" s="19" t="n"/>
      <c r="B67" s="20" t="n"/>
      <c r="C67" s="76" t="n"/>
      <c r="D67" s="68" t="n"/>
      <c r="E67" s="90" t="n"/>
      <c r="F67" s="76" t="n"/>
    </row>
    <row r="68" ht="20" customHeight="1">
      <c r="A68" s="19" t="n"/>
      <c r="B68" s="20" t="n"/>
      <c r="C68" s="76" t="n"/>
      <c r="D68" s="68" t="n"/>
      <c r="E68" s="90" t="n"/>
      <c r="F68" s="76" t="n"/>
    </row>
    <row r="69" ht="20" customHeight="1">
      <c r="A69" s="19" t="n"/>
      <c r="B69" s="20" t="n"/>
      <c r="C69" s="76" t="n"/>
      <c r="D69" s="68" t="n"/>
      <c r="E69" s="90" t="n"/>
      <c r="F69" s="76" t="n"/>
    </row>
    <row r="70" ht="20" customHeight="1">
      <c r="A70" s="19" t="n"/>
      <c r="B70" s="20" t="n"/>
      <c r="C70" s="76" t="n"/>
      <c r="D70" s="68" t="n"/>
      <c r="E70" s="90" t="n"/>
      <c r="F70" s="76" t="n"/>
    </row>
    <row r="71" ht="20" customHeight="1">
      <c r="A71" s="19" t="n"/>
      <c r="B71" s="20" t="n"/>
      <c r="C71" s="76" t="n"/>
      <c r="D71" s="68" t="n"/>
      <c r="E71" s="90" t="n"/>
      <c r="F71" s="76" t="n"/>
    </row>
    <row r="72" ht="20" customHeight="1">
      <c r="A72" s="19" t="n"/>
      <c r="B72" s="20" t="n"/>
      <c r="C72" s="76" t="n"/>
      <c r="D72" s="68" t="n"/>
      <c r="E72" s="90" t="n"/>
      <c r="F72" s="76" t="n"/>
    </row>
    <row r="73" ht="20" customHeight="1">
      <c r="A73" s="19" t="n"/>
      <c r="B73" s="20" t="n"/>
      <c r="C73" s="76" t="n"/>
      <c r="D73" s="68" t="n"/>
      <c r="E73" s="90" t="n"/>
      <c r="F73" s="76" t="n"/>
    </row>
    <row r="74" ht="20" customHeight="1">
      <c r="A74" s="19" t="n"/>
      <c r="B74" s="20" t="n"/>
      <c r="C74" s="76" t="n"/>
      <c r="D74" s="68" t="n"/>
      <c r="E74" s="90" t="n"/>
      <c r="F74" s="76" t="n"/>
    </row>
    <row r="75" ht="20" customHeight="1">
      <c r="A75" s="19" t="n"/>
      <c r="B75" s="20" t="n"/>
      <c r="C75" s="76" t="n"/>
      <c r="D75" s="68" t="n"/>
      <c r="E75" s="90" t="n"/>
      <c r="F75" s="76" t="n"/>
    </row>
    <row r="76" ht="20" customHeight="1">
      <c r="A76" s="19" t="n"/>
      <c r="B76" s="20" t="n"/>
      <c r="C76" s="76" t="n"/>
      <c r="D76" s="68" t="n"/>
      <c r="E76" s="90" t="n"/>
      <c r="F76" s="76" t="n"/>
    </row>
    <row r="77" ht="20" customHeight="1">
      <c r="A77" s="19" t="n"/>
      <c r="B77" s="20" t="n"/>
      <c r="C77" s="76" t="n"/>
      <c r="D77" s="68" t="n"/>
      <c r="E77" s="90" t="n"/>
      <c r="F77" s="76" t="n"/>
    </row>
    <row r="78" ht="20" customHeight="1">
      <c r="A78" s="19" t="n"/>
      <c r="B78" s="20" t="n"/>
      <c r="C78" s="76" t="n"/>
      <c r="D78" s="68" t="n"/>
      <c r="E78" s="90" t="n"/>
      <c r="F78" s="76" t="n"/>
    </row>
    <row r="79" ht="20" customHeight="1">
      <c r="A79" s="19" t="n"/>
      <c r="B79" s="20" t="n"/>
      <c r="C79" s="76" t="n"/>
      <c r="D79" s="68" t="n"/>
      <c r="E79" s="90" t="n"/>
      <c r="F79" s="76" t="n"/>
    </row>
    <row r="80" ht="20" customHeight="1">
      <c r="A80" s="19" t="n"/>
      <c r="B80" s="20" t="n"/>
      <c r="C80" s="76" t="n"/>
      <c r="D80" s="68" t="n"/>
      <c r="E80" s="90" t="n"/>
      <c r="F80" s="76" t="n"/>
    </row>
    <row r="81" ht="20" customHeight="1">
      <c r="A81" s="19" t="n"/>
      <c r="B81" s="20" t="n"/>
      <c r="C81" s="76" t="n"/>
      <c r="D81" s="68" t="n"/>
      <c r="E81" s="90" t="n"/>
      <c r="F81" s="76" t="n"/>
    </row>
    <row r="82" ht="20" customHeight="1">
      <c r="A82" s="19" t="n"/>
      <c r="B82" s="20" t="n"/>
      <c r="C82" s="76" t="n"/>
      <c r="D82" s="68" t="n"/>
      <c r="E82" s="90" t="n"/>
      <c r="F82" s="76" t="n"/>
    </row>
    <row r="83" ht="20" customHeight="1">
      <c r="A83" s="19" t="n"/>
      <c r="B83" s="20" t="n"/>
      <c r="C83" s="76" t="n"/>
      <c r="D83" s="68" t="n"/>
      <c r="E83" s="90" t="n"/>
      <c r="F83" s="76" t="n"/>
    </row>
    <row r="84" ht="20" customHeight="1">
      <c r="A84" s="19" t="n"/>
      <c r="B84" s="20" t="n"/>
      <c r="C84" s="76" t="n"/>
      <c r="D84" s="68" t="n"/>
      <c r="E84" s="90" t="n"/>
      <c r="F84" s="76" t="n"/>
    </row>
    <row r="85" ht="20" customHeight="1">
      <c r="A85" s="19" t="n"/>
      <c r="B85" s="20" t="n"/>
      <c r="C85" s="76" t="n"/>
      <c r="D85" s="68" t="n"/>
      <c r="E85" s="90" t="n"/>
      <c r="F85" s="76" t="n"/>
    </row>
    <row r="86" ht="20" customHeight="1">
      <c r="A86" s="19" t="n"/>
      <c r="B86" s="20" t="n"/>
      <c r="C86" s="76" t="n"/>
      <c r="D86" s="68" t="n"/>
      <c r="E86" s="90" t="n"/>
      <c r="F86" s="76" t="n"/>
    </row>
    <row r="87" ht="20" customHeight="1">
      <c r="A87" s="19" t="n"/>
      <c r="B87" s="20" t="n"/>
      <c r="C87" s="76" t="n"/>
      <c r="D87" s="68" t="n"/>
      <c r="E87" s="90" t="n"/>
      <c r="F87" s="76" t="n"/>
    </row>
    <row r="88" ht="20" customHeight="1">
      <c r="A88" s="19" t="n"/>
      <c r="B88" s="20" t="n"/>
      <c r="C88" s="76" t="n"/>
      <c r="D88" s="68" t="n"/>
      <c r="E88" s="90" t="n"/>
      <c r="F88" s="76" t="n"/>
    </row>
    <row r="89" ht="20" customHeight="1">
      <c r="A89" s="19" t="n"/>
      <c r="B89" s="20" t="n"/>
      <c r="C89" s="76" t="n"/>
      <c r="D89" s="68" t="n"/>
      <c r="E89" s="90" t="n"/>
      <c r="F89" s="76" t="n"/>
    </row>
    <row r="90" ht="20" customHeight="1">
      <c r="A90" s="19" t="n"/>
      <c r="B90" s="20" t="n"/>
      <c r="C90" s="76" t="n"/>
      <c r="D90" s="68" t="n"/>
      <c r="E90" s="90" t="n"/>
      <c r="F90" s="76" t="n"/>
    </row>
    <row r="91" ht="20" customHeight="1">
      <c r="A91" s="19" t="n"/>
      <c r="B91" s="20" t="n"/>
      <c r="C91" s="76" t="n"/>
      <c r="D91" s="68" t="n"/>
      <c r="E91" s="90" t="n"/>
      <c r="F91" s="76" t="n"/>
    </row>
    <row r="92" ht="20" customHeight="1">
      <c r="A92" s="19" t="n"/>
      <c r="B92" s="20" t="n"/>
      <c r="C92" s="76" t="n"/>
      <c r="D92" s="68" t="n"/>
      <c r="E92" s="90" t="n"/>
      <c r="F92" s="76" t="n"/>
    </row>
    <row r="93" ht="20" customHeight="1">
      <c r="A93" s="19" t="n"/>
      <c r="B93" s="20" t="n"/>
      <c r="C93" s="76" t="n"/>
      <c r="D93" s="68" t="n"/>
      <c r="E93" s="90" t="n"/>
      <c r="F93" s="76" t="n"/>
    </row>
    <row r="94" ht="20" customHeight="1">
      <c r="A94" s="19" t="n"/>
      <c r="B94" s="20" t="n"/>
      <c r="C94" s="76" t="n"/>
      <c r="D94" s="68" t="n"/>
      <c r="E94" s="90" t="n"/>
      <c r="F94" s="76" t="n"/>
    </row>
    <row r="95" ht="20" customHeight="1">
      <c r="A95" s="19" t="n"/>
      <c r="B95" s="20" t="n"/>
      <c r="C95" s="76" t="n"/>
      <c r="D95" s="68" t="n"/>
      <c r="E95" s="90" t="n"/>
      <c r="F95" s="76" t="n"/>
    </row>
    <row r="96" ht="20" customHeight="1">
      <c r="A96" s="19" t="n"/>
      <c r="B96" s="20" t="n"/>
      <c r="C96" s="76" t="n"/>
      <c r="D96" s="68" t="n"/>
      <c r="E96" s="90" t="n"/>
      <c r="F96" s="76" t="n"/>
    </row>
    <row r="97" ht="20" customHeight="1">
      <c r="A97" s="19" t="n"/>
      <c r="B97" s="20" t="n"/>
      <c r="C97" s="76" t="n"/>
      <c r="D97" s="68" t="n"/>
      <c r="E97" s="90" t="n"/>
      <c r="F97" s="76" t="n"/>
    </row>
    <row r="98" ht="20" customHeight="1">
      <c r="A98" s="19" t="n"/>
      <c r="B98" s="20" t="n"/>
      <c r="C98" s="76" t="n"/>
      <c r="D98" s="68" t="n"/>
      <c r="E98" s="90" t="n"/>
      <c r="F98" s="76" t="n"/>
    </row>
    <row r="99" ht="20" customHeight="1">
      <c r="A99" s="19" t="n"/>
      <c r="B99" s="20" t="n"/>
      <c r="C99" s="76" t="n"/>
      <c r="D99" s="68" t="n"/>
      <c r="E99" s="90" t="n"/>
      <c r="F99" s="76" t="n"/>
    </row>
    <row r="100" ht="20" customHeight="1">
      <c r="A100" s="19" t="n"/>
      <c r="B100" s="20" t="n"/>
      <c r="C100" s="76" t="n"/>
      <c r="D100" s="68" t="n"/>
      <c r="E100" s="90" t="n"/>
      <c r="F100" s="76" t="n"/>
    </row>
    <row r="101" ht="20" customHeight="1">
      <c r="A101" s="19" t="n"/>
      <c r="B101" s="20" t="n"/>
      <c r="C101" s="76" t="n"/>
      <c r="D101" s="68" t="n"/>
      <c r="E101" s="90" t="n"/>
      <c r="F101" s="76" t="n"/>
    </row>
    <row r="102" ht="20" customHeight="1">
      <c r="A102" s="19" t="n"/>
      <c r="B102" s="20" t="n"/>
      <c r="C102" s="76" t="n"/>
      <c r="D102" s="68" t="n"/>
      <c r="E102" s="90" t="n"/>
      <c r="F102" s="76" t="n"/>
    </row>
    <row r="103" ht="20" customHeight="1">
      <c r="A103" s="19" t="n"/>
      <c r="B103" s="20" t="n"/>
      <c r="C103" s="76" t="n"/>
      <c r="D103" s="68" t="n"/>
      <c r="E103" s="90" t="n"/>
      <c r="F103" s="76" t="n"/>
    </row>
    <row r="104" ht="20" customHeight="1">
      <c r="A104" s="19" t="n"/>
      <c r="B104" s="20" t="n"/>
      <c r="C104" s="76" t="n"/>
      <c r="D104" s="68" t="n"/>
      <c r="E104" s="90" t="n"/>
      <c r="F104" s="76" t="n"/>
    </row>
    <row r="105" ht="20" customHeight="1">
      <c r="A105" s="19" t="n"/>
      <c r="B105" s="20" t="n"/>
      <c r="C105" s="76" t="n"/>
      <c r="D105" s="68" t="n"/>
      <c r="E105" s="90" t="n"/>
      <c r="F105" s="76" t="n"/>
    </row>
    <row r="106" ht="20" customHeight="1">
      <c r="A106" s="19" t="n"/>
      <c r="B106" s="20" t="n"/>
      <c r="C106" s="76" t="n"/>
      <c r="D106" s="68" t="n"/>
      <c r="E106" s="90" t="n"/>
      <c r="F106" s="76" t="n"/>
    </row>
    <row r="107" ht="20" customHeight="1">
      <c r="A107" s="19" t="n"/>
      <c r="B107" s="20" t="n"/>
      <c r="C107" s="76" t="n"/>
      <c r="D107" s="68" t="n"/>
      <c r="E107" s="90" t="n"/>
      <c r="F107" s="76" t="n"/>
    </row>
    <row r="108" ht="20" customHeight="1">
      <c r="A108" s="19" t="n"/>
      <c r="B108" s="20" t="n"/>
      <c r="C108" s="76" t="n"/>
      <c r="D108" s="68" t="n"/>
      <c r="E108" s="90" t="n"/>
      <c r="F108" s="76" t="n"/>
    </row>
    <row r="109" ht="20" customHeight="1">
      <c r="A109" s="19" t="n"/>
      <c r="B109" s="20" t="n"/>
      <c r="C109" s="76" t="n"/>
      <c r="D109" s="68" t="n"/>
      <c r="E109" s="90" t="n"/>
      <c r="F109" s="76" t="n"/>
    </row>
    <row r="110" ht="20" customHeight="1">
      <c r="A110" s="19" t="n"/>
      <c r="B110" s="20" t="n"/>
      <c r="C110" s="76" t="n"/>
      <c r="D110" s="68" t="n"/>
      <c r="E110" s="90" t="n"/>
      <c r="F110" s="76" t="n"/>
    </row>
    <row r="111" ht="20" customHeight="1">
      <c r="A111" s="19" t="n"/>
      <c r="B111" s="20" t="n"/>
      <c r="C111" s="76" t="n"/>
      <c r="D111" s="68" t="n"/>
      <c r="E111" s="90" t="n"/>
      <c r="F111" s="76" t="n"/>
    </row>
    <row r="112" ht="20" customHeight="1">
      <c r="A112" s="19" t="n"/>
      <c r="B112" s="20" t="n"/>
      <c r="C112" s="76" t="n"/>
      <c r="D112" s="68" t="n"/>
      <c r="E112" s="90" t="n"/>
      <c r="F112" s="76" t="n"/>
    </row>
    <row r="113" ht="20" customHeight="1">
      <c r="A113" s="19" t="n"/>
      <c r="B113" s="20" t="n"/>
      <c r="C113" s="76" t="n"/>
      <c r="D113" s="68" t="n"/>
      <c r="E113" s="90" t="n"/>
      <c r="F113" s="76" t="n"/>
    </row>
    <row r="114" ht="20" customHeight="1">
      <c r="A114" s="19" t="n"/>
      <c r="B114" s="20" t="n"/>
      <c r="C114" s="76" t="n"/>
      <c r="D114" s="68" t="n"/>
      <c r="E114" s="90" t="n"/>
      <c r="F114" s="76" t="n"/>
    </row>
    <row r="115" ht="20" customHeight="1">
      <c r="A115" s="19" t="n"/>
      <c r="B115" s="20" t="n"/>
      <c r="C115" s="76" t="n"/>
      <c r="D115" s="68" t="n"/>
      <c r="E115" s="90" t="n"/>
      <c r="F115" s="76" t="n"/>
    </row>
    <row r="116" ht="20" customHeight="1">
      <c r="A116" s="19" t="n"/>
      <c r="B116" s="20" t="n"/>
      <c r="C116" s="76" t="n"/>
      <c r="D116" s="68" t="n"/>
      <c r="E116" s="90" t="n"/>
      <c r="F116" s="76" t="n"/>
    </row>
    <row r="117" ht="20" customHeight="1">
      <c r="A117" s="19" t="n"/>
      <c r="B117" s="20" t="n"/>
      <c r="C117" s="76" t="n"/>
      <c r="D117" s="68" t="n"/>
      <c r="E117" s="90" t="n"/>
      <c r="F117" s="76" t="n"/>
    </row>
    <row r="118" ht="20" customHeight="1">
      <c r="A118" s="19" t="n"/>
      <c r="B118" s="20" t="n"/>
      <c r="C118" s="76" t="n"/>
      <c r="D118" s="68" t="n"/>
      <c r="E118" s="90" t="n"/>
      <c r="F118" s="76" t="n"/>
    </row>
    <row r="119" ht="20" customHeight="1">
      <c r="A119" s="19" t="n"/>
      <c r="B119" s="20" t="n"/>
      <c r="C119" s="76" t="n"/>
      <c r="D119" s="68" t="n"/>
      <c r="E119" s="90" t="n"/>
      <c r="F119" s="76" t="n"/>
    </row>
    <row r="120" ht="20" customHeight="1">
      <c r="A120" s="19" t="n"/>
      <c r="B120" s="20" t="n"/>
      <c r="C120" s="76" t="n"/>
      <c r="D120" s="68" t="n"/>
      <c r="E120" s="90" t="n"/>
      <c r="F120" s="76" t="n"/>
    </row>
    <row r="121" ht="20" customHeight="1">
      <c r="A121" s="19" t="n"/>
      <c r="B121" s="20" t="n"/>
      <c r="C121" s="76" t="n"/>
      <c r="D121" s="68" t="n"/>
      <c r="E121" s="90" t="n"/>
      <c r="F121" s="76" t="n"/>
    </row>
    <row r="122" ht="20" customHeight="1">
      <c r="A122" s="19" t="n"/>
      <c r="B122" s="20" t="n"/>
      <c r="C122" s="76" t="n"/>
      <c r="D122" s="68" t="n"/>
      <c r="E122" s="90" t="n"/>
      <c r="F122" s="76" t="n"/>
    </row>
    <row r="123" ht="20" customHeight="1">
      <c r="A123" s="19" t="n"/>
      <c r="B123" s="20" t="n"/>
      <c r="C123" s="76" t="n"/>
      <c r="D123" s="68" t="n"/>
      <c r="E123" s="90" t="n"/>
      <c r="F123" s="76" t="n"/>
    </row>
    <row r="124" ht="20" customHeight="1">
      <c r="A124" s="19" t="n"/>
      <c r="B124" s="20" t="n"/>
      <c r="C124" s="76" t="n"/>
      <c r="D124" s="68" t="n"/>
      <c r="E124" s="90" t="n"/>
      <c r="F124" s="76" t="n"/>
    </row>
    <row r="125" ht="20" customHeight="1">
      <c r="A125" s="19" t="n"/>
      <c r="B125" s="20" t="n"/>
      <c r="C125" s="76" t="n"/>
      <c r="D125" s="68" t="n"/>
      <c r="E125" s="90" t="n"/>
      <c r="F125" s="76" t="n"/>
    </row>
    <row r="126" ht="20" customHeight="1">
      <c r="A126" s="19" t="n"/>
      <c r="B126" s="20" t="n"/>
      <c r="C126" s="76" t="n"/>
      <c r="D126" s="68" t="n"/>
      <c r="E126" s="90" t="n"/>
      <c r="F126" s="76" t="n"/>
    </row>
    <row r="127" ht="20" customHeight="1">
      <c r="A127" s="19" t="n"/>
      <c r="B127" s="20" t="n"/>
      <c r="C127" s="76" t="n"/>
      <c r="D127" s="68" t="n"/>
      <c r="E127" s="90" t="n"/>
      <c r="F127" s="76" t="n"/>
    </row>
    <row r="128" ht="20" customHeight="1">
      <c r="A128" s="19" t="n"/>
      <c r="B128" s="20" t="n"/>
      <c r="C128" s="76" t="n"/>
      <c r="D128" s="68" t="n"/>
      <c r="E128" s="90" t="n"/>
      <c r="F128" s="76" t="n"/>
    </row>
    <row r="129" ht="20" customHeight="1">
      <c r="A129" s="19" t="n"/>
      <c r="B129" s="20" t="n"/>
      <c r="C129" s="76" t="n"/>
      <c r="D129" s="68" t="n"/>
      <c r="E129" s="90" t="n"/>
      <c r="F129" s="76" t="n"/>
    </row>
    <row r="130" ht="20" customHeight="1">
      <c r="A130" s="19" t="n"/>
      <c r="B130" s="20" t="n"/>
      <c r="C130" s="76" t="n"/>
      <c r="D130" s="68" t="n"/>
      <c r="E130" s="90" t="n"/>
      <c r="F130" s="76" t="n"/>
    </row>
    <row r="131" ht="20" customHeight="1">
      <c r="A131" s="19" t="n"/>
      <c r="B131" s="20" t="n"/>
      <c r="C131" s="76" t="n"/>
      <c r="D131" s="68" t="n"/>
      <c r="E131" s="90" t="n"/>
      <c r="F131" s="76" t="n"/>
    </row>
    <row r="132" ht="20" customHeight="1">
      <c r="A132" s="19" t="n"/>
      <c r="B132" s="20" t="n"/>
      <c r="C132" s="76" t="n"/>
      <c r="D132" s="68" t="n"/>
      <c r="E132" s="90" t="n"/>
      <c r="F132" s="76" t="n"/>
    </row>
    <row r="133" ht="20" customHeight="1">
      <c r="A133" s="19" t="n"/>
      <c r="B133" s="20" t="n"/>
      <c r="C133" s="76" t="n"/>
      <c r="D133" s="68" t="n"/>
      <c r="E133" s="90" t="n"/>
      <c r="F133" s="76" t="n"/>
    </row>
    <row r="134" ht="20" customHeight="1">
      <c r="A134" s="19" t="n"/>
      <c r="B134" s="20" t="n"/>
      <c r="C134" s="76" t="n"/>
      <c r="D134" s="68" t="n"/>
      <c r="E134" s="90" t="n"/>
      <c r="F134" s="76" t="n"/>
    </row>
    <row r="135" ht="20" customHeight="1">
      <c r="A135" s="19" t="n"/>
      <c r="B135" s="20" t="n"/>
      <c r="C135" s="76" t="n"/>
      <c r="D135" s="68" t="n"/>
      <c r="E135" s="90" t="n"/>
      <c r="F135" s="76" t="n"/>
    </row>
    <row r="136" ht="20" customHeight="1">
      <c r="A136" s="19" t="n"/>
      <c r="B136" s="20" t="n"/>
      <c r="C136" s="76" t="n"/>
      <c r="D136" s="68" t="n"/>
      <c r="E136" s="90" t="n"/>
      <c r="F136" s="76" t="n"/>
    </row>
    <row r="137" ht="20" customHeight="1">
      <c r="A137" s="19" t="n"/>
      <c r="B137" s="20" t="n"/>
      <c r="C137" s="76" t="n"/>
      <c r="D137" s="68" t="n"/>
      <c r="E137" s="90" t="n"/>
      <c r="F137" s="76" t="n"/>
    </row>
    <row r="138" ht="20" customHeight="1">
      <c r="A138" s="19" t="n"/>
      <c r="B138" s="20" t="n"/>
      <c r="C138" s="76" t="n"/>
      <c r="D138" s="68" t="n"/>
      <c r="E138" s="90" t="n"/>
      <c r="F138" s="76" t="n"/>
    </row>
    <row r="139" ht="20" customHeight="1">
      <c r="A139" s="19" t="n"/>
      <c r="B139" s="20" t="n"/>
      <c r="C139" s="76" t="n"/>
      <c r="D139" s="68" t="n"/>
      <c r="E139" s="90" t="n"/>
      <c r="F139" s="76" t="n"/>
    </row>
    <row r="140" ht="20" customHeight="1">
      <c r="A140" s="19" t="n"/>
      <c r="B140" s="20" t="n"/>
      <c r="C140" s="76" t="n"/>
      <c r="D140" s="68" t="n"/>
      <c r="E140" s="90" t="n"/>
      <c r="F140" s="76" t="n"/>
    </row>
    <row r="141" ht="20" customHeight="1">
      <c r="A141" s="19" t="n"/>
      <c r="B141" s="20" t="n"/>
      <c r="C141" s="76" t="n"/>
      <c r="D141" s="68" t="n"/>
      <c r="E141" s="90" t="n"/>
      <c r="F141" s="76" t="n"/>
    </row>
    <row r="142" ht="20" customHeight="1">
      <c r="A142" s="19" t="n"/>
      <c r="B142" s="20" t="n"/>
      <c r="C142" s="76" t="n"/>
      <c r="D142" s="68" t="n"/>
      <c r="E142" s="90" t="n"/>
      <c r="F142" s="76" t="n"/>
    </row>
    <row r="143" ht="20" customHeight="1">
      <c r="A143" s="19" t="n"/>
      <c r="B143" s="20" t="n"/>
      <c r="C143" s="76" t="n"/>
      <c r="D143" s="68" t="n"/>
      <c r="E143" s="90" t="n"/>
      <c r="F143" s="76" t="n"/>
    </row>
    <row r="144" ht="20" customHeight="1">
      <c r="A144" s="19" t="n"/>
      <c r="B144" s="20" t="n"/>
      <c r="C144" s="76" t="n"/>
      <c r="D144" s="68" t="n"/>
      <c r="E144" s="90" t="n"/>
      <c r="F144" s="76" t="n"/>
    </row>
    <row r="145" ht="20" customHeight="1">
      <c r="A145" s="19" t="n"/>
      <c r="B145" s="20" t="n"/>
      <c r="C145" s="76" t="n"/>
      <c r="D145" s="68" t="n"/>
      <c r="E145" s="90" t="n"/>
      <c r="F145" s="76" t="n"/>
    </row>
    <row r="146" ht="20" customHeight="1">
      <c r="A146" s="19" t="n"/>
      <c r="B146" s="20" t="n"/>
      <c r="C146" s="76" t="n"/>
      <c r="D146" s="68" t="n"/>
      <c r="E146" s="90" t="n"/>
      <c r="F146" s="76" t="n"/>
    </row>
    <row r="147" ht="20" customHeight="1">
      <c r="A147" s="19" t="n"/>
      <c r="B147" s="20" t="n"/>
      <c r="C147" s="76" t="n"/>
      <c r="D147" s="68" t="n"/>
      <c r="E147" s="90" t="n"/>
      <c r="F147" s="76" t="n"/>
    </row>
    <row r="148" ht="20" customHeight="1">
      <c r="A148" s="19" t="n"/>
      <c r="B148" s="20" t="n"/>
      <c r="C148" s="76" t="n"/>
      <c r="D148" s="68" t="n"/>
      <c r="E148" s="90" t="n"/>
      <c r="F148" s="76" t="n"/>
    </row>
    <row r="149" ht="20" customHeight="1">
      <c r="A149" s="19" t="n"/>
      <c r="B149" s="20" t="n"/>
      <c r="C149" s="76" t="n"/>
      <c r="D149" s="68" t="n"/>
      <c r="E149" s="90" t="n"/>
      <c r="F149" s="76" t="n"/>
    </row>
    <row r="150" ht="20" customHeight="1">
      <c r="A150" s="19" t="n"/>
      <c r="B150" s="20" t="n"/>
      <c r="C150" s="76" t="n"/>
      <c r="D150" s="68" t="n"/>
      <c r="E150" s="90" t="n"/>
      <c r="F150" s="76" t="n"/>
    </row>
    <row r="151" ht="20" customHeight="1">
      <c r="A151" s="19" t="n"/>
      <c r="B151" s="20" t="n"/>
      <c r="C151" s="76" t="n"/>
      <c r="D151" s="68" t="n"/>
      <c r="E151" s="90" t="n"/>
      <c r="F151" s="76" t="n"/>
    </row>
    <row r="152" ht="20" customHeight="1">
      <c r="A152" s="19" t="n"/>
      <c r="B152" s="20" t="n"/>
      <c r="C152" s="76" t="n"/>
      <c r="D152" s="68" t="n"/>
      <c r="E152" s="90" t="n"/>
      <c r="F152" s="76" t="n"/>
    </row>
    <row r="153" ht="20" customHeight="1">
      <c r="A153" s="19" t="n"/>
      <c r="B153" s="20" t="n"/>
      <c r="C153" s="76" t="n"/>
      <c r="D153" s="68" t="n"/>
      <c r="E153" s="90" t="n"/>
      <c r="F153" s="76" t="n"/>
    </row>
    <row r="154" ht="20" customHeight="1">
      <c r="A154" s="19" t="n"/>
      <c r="B154" s="20" t="n"/>
      <c r="C154" s="76" t="n"/>
      <c r="D154" s="68" t="n"/>
      <c r="E154" s="90" t="n"/>
      <c r="F154" s="76" t="n"/>
    </row>
    <row r="155" ht="20" customHeight="1">
      <c r="A155" s="19" t="n"/>
      <c r="B155" s="20" t="n"/>
      <c r="C155" s="76" t="n"/>
      <c r="D155" s="68" t="n"/>
      <c r="E155" s="90" t="n"/>
      <c r="F155" s="76" t="n"/>
    </row>
    <row r="156" ht="20" customHeight="1">
      <c r="A156" s="19" t="n"/>
      <c r="B156" s="20" t="n"/>
      <c r="C156" s="76" t="n"/>
      <c r="D156" s="68" t="n"/>
      <c r="E156" s="90" t="n"/>
      <c r="F156" s="76" t="n"/>
    </row>
    <row r="157" ht="20" customHeight="1">
      <c r="A157" s="19" t="n"/>
      <c r="B157" s="20" t="n"/>
      <c r="C157" s="76" t="n"/>
      <c r="D157" s="68" t="n"/>
      <c r="E157" s="90" t="n"/>
      <c r="F157" s="76" t="n"/>
    </row>
    <row r="158" ht="20" customHeight="1">
      <c r="A158" s="19" t="n"/>
      <c r="B158" s="20" t="n"/>
      <c r="C158" s="76" t="n"/>
      <c r="D158" s="68" t="n"/>
      <c r="E158" s="90" t="n"/>
      <c r="F158" s="76" t="n"/>
    </row>
    <row r="159" ht="20" customHeight="1">
      <c r="A159" s="19" t="n"/>
      <c r="B159" s="20" t="n"/>
      <c r="C159" s="76" t="n"/>
      <c r="D159" s="68" t="n"/>
      <c r="E159" s="90" t="n"/>
      <c r="F159" s="76" t="n"/>
    </row>
    <row r="160" ht="20" customHeight="1">
      <c r="A160" s="19" t="n"/>
      <c r="B160" s="20" t="n"/>
      <c r="C160" s="76" t="n"/>
      <c r="D160" s="68" t="n"/>
      <c r="E160" s="90" t="n"/>
      <c r="F160" s="76" t="n"/>
    </row>
    <row r="161" ht="20" customHeight="1">
      <c r="A161" s="19" t="n"/>
      <c r="B161" s="20" t="n"/>
      <c r="C161" s="76" t="n"/>
      <c r="D161" s="68" t="n"/>
      <c r="E161" s="90" t="n"/>
      <c r="F161" s="76" t="n"/>
    </row>
    <row r="162" ht="20" customHeight="1">
      <c r="A162" s="19" t="n"/>
      <c r="B162" s="20" t="n"/>
      <c r="C162" s="76" t="n"/>
      <c r="D162" s="68" t="n"/>
      <c r="E162" s="90" t="n"/>
      <c r="F162" s="76" t="n"/>
    </row>
    <row r="163" ht="20" customHeight="1">
      <c r="A163" s="19" t="n"/>
      <c r="B163" s="20" t="n"/>
      <c r="C163" s="76" t="n"/>
      <c r="D163" s="68" t="n"/>
      <c r="E163" s="90" t="n"/>
      <c r="F163" s="76" t="n"/>
    </row>
    <row r="164" ht="20" customHeight="1">
      <c r="A164" s="19" t="n"/>
      <c r="B164" s="20" t="n"/>
      <c r="C164" s="76" t="n"/>
      <c r="D164" s="68" t="n"/>
      <c r="E164" s="90" t="n"/>
      <c r="F164" s="76" t="n"/>
    </row>
    <row r="165" ht="20" customHeight="1">
      <c r="A165" s="19" t="n"/>
      <c r="B165" s="20" t="n"/>
      <c r="C165" s="76" t="n"/>
      <c r="D165" s="68" t="n"/>
      <c r="E165" s="90" t="n"/>
      <c r="F165" s="76" t="n"/>
    </row>
    <row r="166" ht="20" customHeight="1">
      <c r="A166" s="19" t="n"/>
      <c r="B166" s="20" t="n"/>
      <c r="C166" s="76" t="n"/>
      <c r="D166" s="68" t="n"/>
      <c r="E166" s="90" t="n"/>
      <c r="F166" s="76" t="n"/>
    </row>
    <row r="167" ht="20" customHeight="1">
      <c r="A167" s="19" t="n"/>
      <c r="B167" s="20" t="n"/>
      <c r="C167" s="76" t="n"/>
      <c r="D167" s="68" t="n"/>
      <c r="E167" s="90" t="n"/>
      <c r="F167" s="76" t="n"/>
    </row>
    <row r="168" ht="20" customHeight="1">
      <c r="A168" s="19" t="n"/>
      <c r="B168" s="20" t="n"/>
      <c r="C168" s="76" t="n"/>
      <c r="D168" s="68" t="n"/>
      <c r="E168" s="90" t="n"/>
      <c r="F168" s="76" t="n"/>
    </row>
    <row r="169" ht="20" customHeight="1">
      <c r="A169" s="19" t="n"/>
      <c r="B169" s="20" t="n"/>
      <c r="C169" s="76" t="n"/>
      <c r="D169" s="68" t="n"/>
      <c r="E169" s="90" t="n"/>
      <c r="F169" s="76" t="n"/>
    </row>
    <row r="170" ht="20" customHeight="1">
      <c r="A170" s="19" t="n"/>
      <c r="B170" s="20" t="n"/>
      <c r="C170" s="76" t="n"/>
      <c r="D170" s="68" t="n"/>
      <c r="E170" s="90" t="n"/>
      <c r="F170" s="76" t="n"/>
    </row>
    <row r="171" ht="20" customHeight="1">
      <c r="A171" s="19" t="n"/>
      <c r="B171" s="20" t="n"/>
      <c r="C171" s="76" t="n"/>
      <c r="D171" s="68" t="n"/>
      <c r="E171" s="90" t="n"/>
      <c r="F171" s="76" t="n"/>
    </row>
    <row r="172" ht="20" customHeight="1">
      <c r="A172" s="19" t="n"/>
      <c r="B172" s="20" t="n"/>
      <c r="C172" s="76" t="n"/>
      <c r="D172" s="68" t="n"/>
      <c r="E172" s="90" t="n"/>
      <c r="F172" s="76" t="n"/>
    </row>
    <row r="173" ht="20" customHeight="1">
      <c r="A173" s="19" t="n"/>
      <c r="B173" s="20" t="n"/>
      <c r="C173" s="76" t="n"/>
      <c r="D173" s="68" t="n"/>
      <c r="E173" s="90" t="n"/>
      <c r="F173" s="76" t="n"/>
    </row>
    <row r="174" ht="20" customHeight="1">
      <c r="A174" s="19" t="n"/>
      <c r="B174" s="20" t="n"/>
      <c r="C174" s="76" t="n"/>
      <c r="D174" s="68" t="n"/>
      <c r="E174" s="90" t="n"/>
      <c r="F174" s="76" t="n"/>
    </row>
    <row r="175" ht="20" customHeight="1">
      <c r="A175" s="19" t="n"/>
      <c r="B175" s="20" t="n"/>
      <c r="C175" s="76" t="n"/>
      <c r="D175" s="68" t="n"/>
      <c r="E175" s="90" t="n"/>
      <c r="F175" s="76" t="n"/>
    </row>
    <row r="176" ht="20" customHeight="1">
      <c r="A176" s="19" t="n"/>
      <c r="B176" s="20" t="n"/>
      <c r="C176" s="76" t="n"/>
      <c r="D176" s="68" t="n"/>
      <c r="E176" s="90" t="n"/>
      <c r="F176" s="76" t="n"/>
    </row>
    <row r="177" ht="20" customHeight="1">
      <c r="A177" s="19" t="n"/>
      <c r="B177" s="20" t="n"/>
      <c r="C177" s="76" t="n"/>
      <c r="D177" s="68" t="n"/>
      <c r="E177" s="90" t="n"/>
      <c r="F177" s="76" t="n"/>
    </row>
    <row r="178" ht="20" customHeight="1">
      <c r="A178" s="19" t="n"/>
      <c r="B178" s="20" t="n"/>
      <c r="C178" s="76" t="n"/>
      <c r="D178" s="68" t="n"/>
      <c r="E178" s="90" t="n"/>
      <c r="F178" s="76" t="n"/>
    </row>
    <row r="179" ht="20" customHeight="1">
      <c r="A179" s="19" t="n"/>
      <c r="B179" s="20" t="n"/>
      <c r="C179" s="76" t="n"/>
      <c r="D179" s="68" t="n"/>
      <c r="E179" s="90" t="n"/>
      <c r="F179" s="76" t="n"/>
    </row>
    <row r="180" ht="20" customHeight="1">
      <c r="A180" s="19" t="n"/>
      <c r="B180" s="20" t="n"/>
      <c r="C180" s="76" t="n"/>
      <c r="D180" s="68" t="n"/>
      <c r="E180" s="90" t="n"/>
      <c r="F180" s="76" t="n"/>
    </row>
    <row r="181" ht="20" customHeight="1">
      <c r="A181" s="19" t="n"/>
      <c r="B181" s="20" t="n"/>
      <c r="C181" s="76" t="n"/>
      <c r="D181" s="68" t="n"/>
      <c r="E181" s="90" t="n"/>
      <c r="F181" s="76" t="n"/>
    </row>
    <row r="182" ht="20" customHeight="1">
      <c r="A182" s="19" t="n"/>
      <c r="B182" s="20" t="n"/>
      <c r="C182" s="76" t="n"/>
      <c r="D182" s="68" t="n"/>
      <c r="E182" s="90" t="n"/>
      <c r="F182" s="76" t="n"/>
    </row>
    <row r="183" ht="20" customHeight="1">
      <c r="A183" s="19" t="n"/>
      <c r="B183" s="20" t="n"/>
      <c r="C183" s="76" t="n"/>
      <c r="D183" s="68" t="n"/>
      <c r="E183" s="90" t="n"/>
      <c r="F183" s="76" t="n"/>
    </row>
    <row r="184" ht="20" customHeight="1">
      <c r="A184" s="19" t="n"/>
      <c r="B184" s="20" t="n"/>
      <c r="C184" s="76" t="n"/>
      <c r="D184" s="68" t="n"/>
      <c r="E184" s="90" t="n"/>
      <c r="F184" s="76" t="n"/>
    </row>
    <row r="185" ht="20" customHeight="1">
      <c r="A185" s="19" t="n"/>
      <c r="B185" s="20" t="n"/>
      <c r="C185" s="76" t="n"/>
      <c r="D185" s="68" t="n"/>
      <c r="E185" s="90" t="n"/>
      <c r="F185" s="76" t="n"/>
    </row>
    <row r="186" ht="20" customHeight="1">
      <c r="A186" s="19" t="n"/>
      <c r="B186" s="20" t="n"/>
      <c r="C186" s="76" t="n"/>
      <c r="D186" s="68" t="n"/>
      <c r="E186" s="90" t="n"/>
      <c r="F186" s="76" t="n"/>
    </row>
    <row r="187" ht="20" customHeight="1">
      <c r="A187" s="19" t="n"/>
      <c r="B187" s="20" t="n"/>
      <c r="C187" s="76" t="n"/>
      <c r="D187" s="68" t="n"/>
      <c r="E187" s="90" t="n"/>
      <c r="F187" s="76" t="n"/>
    </row>
    <row r="188" ht="20" customHeight="1">
      <c r="A188" s="19" t="n"/>
      <c r="B188" s="20" t="n"/>
      <c r="C188" s="76" t="n"/>
      <c r="D188" s="68" t="n"/>
      <c r="E188" s="90" t="n"/>
      <c r="F188" s="76" t="n"/>
    </row>
    <row r="189" ht="20" customHeight="1">
      <c r="A189" s="19" t="n"/>
      <c r="B189" s="20" t="n"/>
      <c r="C189" s="76" t="n"/>
      <c r="D189" s="68" t="n"/>
      <c r="E189" s="90" t="n"/>
      <c r="F189" s="76" t="n"/>
    </row>
    <row r="190" ht="20" customHeight="1">
      <c r="A190" s="19" t="n"/>
      <c r="B190" s="20" t="n"/>
      <c r="C190" s="76" t="n"/>
      <c r="D190" s="68" t="n"/>
      <c r="E190" s="90" t="n"/>
      <c r="F190" s="76" t="n"/>
    </row>
    <row r="191" ht="20" customHeight="1">
      <c r="A191" s="19" t="n"/>
      <c r="B191" s="20" t="n"/>
      <c r="C191" s="76" t="n"/>
      <c r="D191" s="68" t="n"/>
      <c r="E191" s="90" t="n"/>
      <c r="F191" s="76" t="n"/>
    </row>
    <row r="192" ht="20" customHeight="1">
      <c r="A192" s="19" t="n"/>
      <c r="B192" s="20" t="n"/>
      <c r="C192" s="76" t="n"/>
      <c r="D192" s="68" t="n"/>
      <c r="E192" s="90" t="n"/>
      <c r="F192" s="76" t="n"/>
    </row>
    <row r="193" ht="20" customHeight="1">
      <c r="A193" s="19" t="n"/>
      <c r="B193" s="20" t="n"/>
      <c r="C193" s="76" t="n"/>
      <c r="D193" s="68" t="n"/>
      <c r="E193" s="90" t="n"/>
      <c r="F193" s="76" t="n"/>
    </row>
    <row r="194" ht="20" customHeight="1">
      <c r="A194" s="19" t="n"/>
      <c r="B194" s="20" t="n"/>
      <c r="C194" s="76" t="n"/>
      <c r="D194" s="68" t="n"/>
      <c r="E194" s="90" t="n"/>
      <c r="F194" s="76" t="n"/>
    </row>
    <row r="195" ht="20" customHeight="1">
      <c r="A195" s="19" t="n"/>
      <c r="B195" s="20" t="n"/>
      <c r="C195" s="76" t="n"/>
      <c r="D195" s="68" t="n"/>
      <c r="E195" s="90" t="n"/>
      <c r="F195" s="76" t="n"/>
    </row>
    <row r="196" ht="20" customHeight="1">
      <c r="A196" s="19" t="n"/>
      <c r="B196" s="20" t="n"/>
      <c r="C196" s="76" t="n"/>
      <c r="D196" s="68" t="n"/>
      <c r="E196" s="90" t="n"/>
      <c r="F196" s="76" t="n"/>
    </row>
    <row r="197" ht="20" customHeight="1">
      <c r="A197" s="19" t="n"/>
      <c r="B197" s="20" t="n"/>
      <c r="C197" s="76" t="n"/>
      <c r="D197" s="68" t="n"/>
      <c r="E197" s="90" t="n"/>
      <c r="F197" s="76" t="n"/>
    </row>
    <row r="198" ht="20" customHeight="1">
      <c r="A198" s="19" t="n"/>
      <c r="B198" s="20" t="n"/>
      <c r="C198" s="76" t="n"/>
      <c r="D198" s="68" t="n"/>
      <c r="E198" s="90" t="n"/>
      <c r="F198" s="76" t="n"/>
    </row>
    <row r="199" ht="20" customHeight="1">
      <c r="A199" s="19" t="n"/>
      <c r="B199" s="20" t="n"/>
      <c r="C199" s="76" t="n"/>
      <c r="D199" s="68" t="n"/>
      <c r="E199" s="90" t="n"/>
      <c r="F199" s="76" t="n"/>
    </row>
    <row r="200" ht="20" customHeight="1">
      <c r="A200" s="19" t="n"/>
      <c r="B200" s="20" t="n"/>
      <c r="C200" s="76" t="n"/>
      <c r="D200" s="68" t="n"/>
      <c r="E200" s="90" t="n"/>
      <c r="F200" s="76" t="n"/>
    </row>
    <row r="201" ht="20" customHeight="1">
      <c r="A201" s="19" t="n"/>
      <c r="B201" s="20" t="n"/>
      <c r="C201" s="76" t="n"/>
      <c r="D201" s="68" t="n"/>
      <c r="E201" s="90" t="n"/>
      <c r="F201" s="76" t="n"/>
    </row>
    <row r="202" ht="20" customHeight="1">
      <c r="A202" s="19" t="n"/>
      <c r="B202" s="20" t="n"/>
      <c r="C202" s="76" t="n"/>
      <c r="D202" s="68" t="n"/>
      <c r="E202" s="90" t="n"/>
      <c r="F202" s="76" t="n"/>
    </row>
    <row r="203" ht="20" customHeight="1">
      <c r="A203" s="19" t="n"/>
      <c r="B203" s="20" t="n"/>
      <c r="C203" s="76" t="n"/>
      <c r="D203" s="68" t="n"/>
      <c r="E203" s="90" t="n"/>
      <c r="F203" s="76" t="n"/>
    </row>
    <row r="204" ht="20" customHeight="1">
      <c r="A204" s="19" t="n"/>
      <c r="B204" s="20" t="n"/>
      <c r="C204" s="76" t="n"/>
      <c r="D204" s="68" t="n"/>
      <c r="E204" s="90" t="n"/>
      <c r="F204" s="76" t="n"/>
    </row>
    <row r="205" ht="20" customHeight="1">
      <c r="A205" s="19" t="n"/>
      <c r="B205" s="20" t="n"/>
      <c r="C205" s="76" t="n"/>
      <c r="D205" s="68" t="n"/>
      <c r="E205" s="90" t="n"/>
      <c r="F205" s="76" t="n"/>
    </row>
    <row r="206" ht="20" customHeight="1">
      <c r="A206" s="19" t="n"/>
      <c r="B206" s="20" t="n"/>
      <c r="C206" s="76" t="n"/>
      <c r="D206" s="68" t="n"/>
      <c r="E206" s="90" t="n"/>
      <c r="F206" s="76" t="n"/>
    </row>
    <row r="207" ht="20" customHeight="1">
      <c r="A207" s="19" t="n"/>
      <c r="B207" s="20" t="n"/>
      <c r="C207" s="76" t="n"/>
      <c r="D207" s="68" t="n"/>
      <c r="E207" s="90" t="n"/>
      <c r="F207" s="76" t="n"/>
    </row>
    <row r="208" ht="20" customHeight="1">
      <c r="A208" s="19" t="n"/>
      <c r="B208" s="20" t="n"/>
      <c r="C208" s="76" t="n"/>
      <c r="D208" s="68" t="n"/>
      <c r="E208" s="90" t="n"/>
      <c r="F208" s="76" t="n"/>
    </row>
    <row r="209" ht="20" customHeight="1">
      <c r="A209" s="19" t="n"/>
      <c r="B209" s="20" t="n"/>
      <c r="C209" s="76" t="n"/>
      <c r="D209" s="68" t="n"/>
      <c r="E209" s="90" t="n"/>
      <c r="F209" s="76" t="n"/>
    </row>
    <row r="210" ht="20" customHeight="1">
      <c r="A210" s="19" t="n"/>
      <c r="B210" s="20" t="n"/>
      <c r="C210" s="76" t="n"/>
      <c r="D210" s="68" t="n"/>
      <c r="E210" s="90" t="n"/>
      <c r="F210" s="76" t="n"/>
    </row>
    <row r="211" ht="20" customHeight="1">
      <c r="A211" s="19" t="n"/>
      <c r="B211" s="20" t="n"/>
      <c r="C211" s="76" t="n"/>
      <c r="D211" s="68" t="n"/>
      <c r="E211" s="90" t="n"/>
      <c r="F211" s="76" t="n"/>
    </row>
    <row r="212" ht="20" customHeight="1">
      <c r="A212" s="19" t="n"/>
      <c r="B212" s="20" t="n"/>
      <c r="C212" s="76" t="n"/>
      <c r="D212" s="68" t="n"/>
      <c r="E212" s="90" t="n"/>
      <c r="F212" s="76" t="n"/>
    </row>
    <row r="213" ht="20" customHeight="1">
      <c r="A213" s="19" t="n"/>
      <c r="B213" s="20" t="n"/>
      <c r="C213" s="76" t="n"/>
      <c r="D213" s="68" t="n"/>
      <c r="E213" s="90" t="n"/>
      <c r="F213" s="76" t="n"/>
    </row>
    <row r="214" ht="20" customHeight="1">
      <c r="A214" s="19" t="n"/>
      <c r="B214" s="20" t="n"/>
      <c r="C214" s="76" t="n"/>
      <c r="D214" s="68" t="n"/>
      <c r="E214" s="90" t="n"/>
      <c r="F214" s="76" t="n"/>
    </row>
    <row r="215" ht="20" customHeight="1">
      <c r="A215" s="19" t="n"/>
      <c r="B215" s="20" t="n"/>
      <c r="C215" s="76" t="n"/>
      <c r="D215" s="68" t="n"/>
      <c r="E215" s="90" t="n"/>
      <c r="F215" s="76" t="n"/>
    </row>
    <row r="216" ht="20" customHeight="1">
      <c r="A216" s="19" t="n"/>
      <c r="B216" s="20" t="n"/>
      <c r="C216" s="76" t="n"/>
      <c r="D216" s="68" t="n"/>
      <c r="E216" s="90" t="n"/>
      <c r="F216" s="76" t="n"/>
    </row>
    <row r="217" ht="20" customHeight="1">
      <c r="A217" s="19" t="n"/>
      <c r="B217" s="20" t="n"/>
      <c r="C217" s="76" t="n"/>
      <c r="D217" s="68" t="n"/>
      <c r="E217" s="90" t="n"/>
      <c r="F217" s="76" t="n"/>
    </row>
    <row r="218" ht="20" customHeight="1">
      <c r="A218" s="19" t="n"/>
      <c r="B218" s="20" t="n"/>
      <c r="C218" s="76" t="n"/>
      <c r="D218" s="68" t="n"/>
      <c r="E218" s="90" t="n"/>
      <c r="F218" s="76" t="n"/>
    </row>
    <row r="219" ht="20" customHeight="1">
      <c r="A219" s="19" t="n"/>
      <c r="B219" s="20" t="n"/>
      <c r="C219" s="76" t="n"/>
      <c r="D219" s="68" t="n"/>
      <c r="E219" s="90" t="n"/>
      <c r="F219" s="76" t="n"/>
    </row>
    <row r="220" ht="20" customHeight="1">
      <c r="A220" s="19" t="n"/>
      <c r="B220" s="20" t="n"/>
      <c r="C220" s="76" t="n"/>
      <c r="D220" s="68" t="n"/>
      <c r="E220" s="90" t="n"/>
      <c r="F220" s="76" t="n"/>
    </row>
    <row r="221" ht="20" customHeight="1">
      <c r="A221" s="19" t="n"/>
      <c r="B221" s="20" t="n"/>
      <c r="C221" s="76" t="n"/>
      <c r="D221" s="68" t="n"/>
      <c r="E221" s="90" t="n"/>
      <c r="F221" s="76" t="n"/>
    </row>
    <row r="222" ht="20" customHeight="1">
      <c r="A222" s="19" t="n"/>
      <c r="B222" s="20" t="n"/>
      <c r="C222" s="76" t="n"/>
      <c r="D222" s="68" t="n"/>
      <c r="E222" s="90" t="n"/>
      <c r="F222" s="76" t="n"/>
    </row>
    <row r="223" ht="20" customHeight="1">
      <c r="A223" s="19" t="n"/>
      <c r="B223" s="20" t="n"/>
      <c r="C223" s="76" t="n"/>
      <c r="D223" s="68" t="n"/>
      <c r="E223" s="90" t="n"/>
      <c r="F223" s="76" t="n"/>
    </row>
    <row r="224" ht="20" customHeight="1">
      <c r="A224" s="19" t="n"/>
      <c r="B224" s="20" t="n"/>
      <c r="C224" s="76" t="n"/>
      <c r="D224" s="68" t="n"/>
      <c r="E224" s="90" t="n"/>
      <c r="F224" s="76" t="n"/>
    </row>
    <row r="225" ht="20" customHeight="1">
      <c r="A225" s="19" t="n"/>
      <c r="B225" s="20" t="n"/>
      <c r="C225" s="76" t="n"/>
      <c r="D225" s="68" t="n"/>
      <c r="E225" s="90" t="n"/>
      <c r="F225" s="76" t="n"/>
    </row>
    <row r="226" ht="20" customHeight="1">
      <c r="A226" s="19" t="n"/>
      <c r="B226" s="20" t="n"/>
      <c r="C226" s="76" t="n"/>
      <c r="D226" s="68" t="n"/>
      <c r="E226" s="90" t="n"/>
      <c r="F226" s="76" t="n"/>
    </row>
    <row r="227" ht="20" customHeight="1">
      <c r="A227" s="19" t="n"/>
      <c r="B227" s="20" t="n"/>
      <c r="C227" s="76" t="n"/>
      <c r="D227" s="68" t="n"/>
      <c r="E227" s="90" t="n"/>
      <c r="F227" s="76" t="n"/>
    </row>
    <row r="228" ht="20" customHeight="1">
      <c r="A228" s="19" t="n"/>
      <c r="B228" s="20" t="n"/>
      <c r="C228" s="76" t="n"/>
      <c r="D228" s="68" t="n"/>
      <c r="E228" s="90" t="n"/>
      <c r="F228" s="76" t="n"/>
    </row>
    <row r="229" ht="20" customHeight="1">
      <c r="A229" s="19" t="n"/>
      <c r="B229" s="20" t="n"/>
      <c r="C229" s="76" t="n"/>
      <c r="D229" s="68" t="n"/>
      <c r="E229" s="90" t="n"/>
      <c r="F229" s="76" t="n"/>
    </row>
    <row r="230" ht="20" customHeight="1">
      <c r="A230" s="19" t="n"/>
      <c r="B230" s="20" t="n"/>
      <c r="C230" s="76" t="n"/>
      <c r="D230" s="68" t="n"/>
      <c r="E230" s="90" t="n"/>
      <c r="F230" s="76" t="n"/>
    </row>
    <row r="231" ht="20" customHeight="1">
      <c r="A231" s="19" t="n"/>
      <c r="B231" s="20" t="n"/>
      <c r="C231" s="76" t="n"/>
      <c r="D231" s="68" t="n"/>
      <c r="E231" s="90" t="n"/>
      <c r="F231" s="76" t="n"/>
    </row>
    <row r="232" ht="20" customHeight="1">
      <c r="A232" s="19" t="n"/>
      <c r="B232" s="20" t="n"/>
      <c r="C232" s="76" t="n"/>
      <c r="D232" s="68" t="n"/>
      <c r="E232" s="90" t="n"/>
      <c r="F232" s="76" t="n"/>
    </row>
    <row r="233" ht="20" customHeight="1">
      <c r="A233" s="19" t="n"/>
      <c r="B233" s="20" t="n"/>
      <c r="C233" s="76" t="n"/>
      <c r="D233" s="68" t="n"/>
      <c r="E233" s="90" t="n"/>
      <c r="F233" s="76" t="n"/>
    </row>
    <row r="234" ht="20" customHeight="1">
      <c r="A234" s="19" t="n"/>
      <c r="B234" s="20" t="n"/>
      <c r="C234" s="76" t="n"/>
      <c r="D234" s="68" t="n"/>
      <c r="E234" s="90" t="n"/>
      <c r="F234" s="76" t="n"/>
    </row>
    <row r="235" ht="20" customHeight="1">
      <c r="A235" s="19" t="n"/>
      <c r="B235" s="20" t="n"/>
      <c r="C235" s="76" t="n"/>
      <c r="D235" s="68" t="n"/>
      <c r="E235" s="90" t="n"/>
      <c r="F235" s="76" t="n"/>
    </row>
    <row r="236" ht="20" customHeight="1">
      <c r="A236" s="19" t="n"/>
      <c r="B236" s="20" t="n"/>
      <c r="C236" s="76" t="n"/>
      <c r="D236" s="68" t="n"/>
      <c r="E236" s="90" t="n"/>
      <c r="F236" s="76" t="n"/>
    </row>
    <row r="237" ht="20" customHeight="1">
      <c r="A237" s="19" t="n"/>
      <c r="B237" s="20" t="n"/>
      <c r="C237" s="76" t="n"/>
      <c r="D237" s="68" t="n"/>
      <c r="E237" s="90" t="n"/>
      <c r="F237" s="76" t="n"/>
    </row>
    <row r="238" ht="20" customHeight="1">
      <c r="A238" s="19" t="n"/>
      <c r="B238" s="20" t="n"/>
      <c r="C238" s="76" t="n"/>
      <c r="D238" s="68" t="n"/>
      <c r="E238" s="90" t="n"/>
      <c r="F238" s="76" t="n"/>
    </row>
    <row r="239" ht="20" customHeight="1">
      <c r="A239" s="19" t="n"/>
      <c r="B239" s="20" t="n"/>
      <c r="C239" s="76" t="n"/>
      <c r="D239" s="68" t="n"/>
      <c r="E239" s="90" t="n"/>
      <c r="F239" s="76" t="n"/>
    </row>
    <row r="240" ht="20" customHeight="1">
      <c r="A240" s="19" t="n"/>
      <c r="B240" s="20" t="n"/>
      <c r="C240" s="76" t="n"/>
      <c r="D240" s="68" t="n"/>
      <c r="E240" s="90" t="n"/>
      <c r="F240" s="76" t="n"/>
    </row>
    <row r="241" ht="20" customHeight="1">
      <c r="A241" s="19" t="n"/>
      <c r="B241" s="20" t="n"/>
      <c r="C241" s="76" t="n"/>
      <c r="D241" s="68" t="n"/>
      <c r="E241" s="90" t="n"/>
      <c r="F241" s="76" t="n"/>
    </row>
    <row r="242" ht="20" customHeight="1">
      <c r="A242" s="19" t="n"/>
      <c r="B242" s="20" t="n"/>
      <c r="C242" s="76" t="n"/>
      <c r="D242" s="68" t="n"/>
      <c r="E242" s="90" t="n"/>
      <c r="F242" s="76" t="n"/>
    </row>
    <row r="243" ht="20" customHeight="1">
      <c r="A243" s="19" t="n"/>
      <c r="B243" s="20" t="n"/>
      <c r="C243" s="76" t="n"/>
      <c r="D243" s="68" t="n"/>
      <c r="E243" s="90" t="n"/>
      <c r="F243" s="76" t="n"/>
    </row>
    <row r="244" ht="20" customHeight="1">
      <c r="A244" s="19" t="n"/>
      <c r="B244" s="20" t="n"/>
      <c r="C244" s="76" t="n"/>
      <c r="D244" s="68" t="n"/>
      <c r="E244" s="90" t="n"/>
      <c r="F244" s="76" t="n"/>
    </row>
    <row r="245" ht="20" customHeight="1">
      <c r="A245" s="19" t="n"/>
      <c r="B245" s="20" t="n"/>
      <c r="C245" s="76" t="n"/>
      <c r="D245" s="68" t="n"/>
      <c r="E245" s="90" t="n"/>
      <c r="F245" s="76" t="n"/>
    </row>
    <row r="246" ht="20" customHeight="1">
      <c r="A246" s="19" t="n"/>
      <c r="B246" s="20" t="n"/>
      <c r="C246" s="76" t="n"/>
      <c r="D246" s="68" t="n"/>
      <c r="E246" s="90" t="n"/>
      <c r="F246" s="76" t="n"/>
    </row>
    <row r="247" ht="20" customHeight="1">
      <c r="A247" s="19" t="n"/>
      <c r="B247" s="20" t="n"/>
      <c r="C247" s="76" t="n"/>
      <c r="D247" s="68" t="n"/>
      <c r="E247" s="90" t="n"/>
      <c r="F247" s="76" t="n"/>
    </row>
    <row r="248" ht="20" customHeight="1">
      <c r="A248" s="19" t="n"/>
      <c r="B248" s="20" t="n"/>
      <c r="C248" s="76" t="n"/>
      <c r="D248" s="68" t="n"/>
      <c r="E248" s="90" t="n"/>
      <c r="F248" s="76" t="n"/>
    </row>
    <row r="249" ht="20" customHeight="1">
      <c r="A249" s="19" t="n"/>
      <c r="B249" s="20" t="n"/>
      <c r="C249" s="76" t="n"/>
      <c r="D249" s="68" t="n"/>
      <c r="E249" s="90" t="n"/>
      <c r="F249" s="76" t="n"/>
    </row>
    <row r="250" ht="20" customHeight="1">
      <c r="A250" s="19" t="n"/>
      <c r="B250" s="20" t="n"/>
      <c r="C250" s="76" t="n"/>
      <c r="D250" s="68" t="n"/>
      <c r="E250" s="90" t="n"/>
      <c r="F250" s="76" t="n"/>
    </row>
    <row r="251" ht="20" customHeight="1">
      <c r="A251" s="19" t="n"/>
      <c r="B251" s="20" t="n"/>
      <c r="C251" s="76" t="n"/>
      <c r="D251" s="68" t="n"/>
      <c r="E251" s="90" t="n"/>
      <c r="F251" s="76" t="n"/>
    </row>
    <row r="252" ht="20" customHeight="1">
      <c r="A252" s="19" t="n"/>
      <c r="B252" s="20" t="n"/>
      <c r="C252" s="76" t="n"/>
      <c r="D252" s="68" t="n"/>
      <c r="E252" s="90" t="n"/>
      <c r="F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«שעה» ו«עוגן» הן ברירות המחדל שנכתבות לשיבוץ ומשם ללו"ז הצל.</t>
        </is>
      </c>
    </row>
  </sheetData>
  <mergeCells count="2">
    <mergeCell ref="A254:F254"/>
    <mergeCell ref="A1:F1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F3:F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4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5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6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5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5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5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5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5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5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5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5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5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5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5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5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5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5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5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5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5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5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5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5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5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5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5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5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5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5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5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5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5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5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5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5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5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5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5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5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5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5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5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5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5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5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5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5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5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5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5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5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5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5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5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2026-09-04T07:56:53Z</dcterms:created>
  <dcterms:modified xsi:type="dcterms:W3CDTF">2026-09-04T07:56:54Z</dcterms:modified>
</cp:coreProperties>
</file>