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6"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8" borderId="1" applyAlignment="1" pivotButton="0" quotePrefix="0" xfId="0">
      <alignment horizontal="right" vertical="top" wrapText="1" readingOrder="2"/>
    </xf>
    <xf numFmtId="0" fontId="8" fillId="7"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8" borderId="1" applyAlignment="1" pivotButton="0" quotePrefix="0" xfId="0">
      <alignment horizontal="right"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ניקוד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COUNTIF('חניכים'!$C$3:$C$132,"כן")+COUNTIF('חניכים'!$C$3:$C$132,"לא")</f>
        <v/>
      </c>
      <c r="C9" s="12" t="inlineStr">
        <is>
          <t>מתוך רשימת הנוכחות</t>
        </is>
      </c>
    </row>
    <row r="10" ht="22" customHeight="1">
      <c r="A10" s="3" t="inlineStr">
        <is>
          <t>זמינים לתורנות</t>
        </is>
      </c>
      <c r="B10" s="11">
        <f>COUNTIF('חניכים'!$C$3:$C$132,"כן")</f>
        <v/>
      </c>
      <c r="C10" s="12" t="n"/>
    </row>
    <row r="11" ht="22" customHeight="1">
      <c r="A11" s="3" t="inlineStr">
        <is>
          <t>בתורנות</t>
        </is>
      </c>
      <c r="B11" s="11">
        <f>COUNTA('חניכים'!$D$3:$D$132)</f>
        <v/>
      </c>
      <c r="C11" s="12" t="inlineStr">
        <is>
          <t>חניכים עם קבוצה אחת לפחות</t>
        </is>
      </c>
      <c r="E11" s="5" t="inlineStr">
        <is>
          <t>איך זה עובד</t>
        </is>
      </c>
    </row>
    <row r="12" ht="34" customHeight="1">
      <c r="A12" s="3" t="inlineStr">
        <is>
          <t>זמינים בלי תורנות</t>
        </is>
      </c>
      <c r="B12" s="11">
        <f>COUNTIFS('חניכים'!$C$3:$C$132,"כן",'חניכים'!$D$3:$D$132,"")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COUNTA('משימות'!$E$3:$E$122)-COUNTA('משימות'!$J$3:$J$122)</f>
        <v/>
      </c>
      <c r="C15" s="12" t="inlineStr">
        <is>
          <t>לא יופיעו ליד אירוע בלו"ז הצל</t>
        </is>
      </c>
      <c r="D15" s="7" t="inlineStr">
        <is>
          <t>•</t>
        </is>
      </c>
      <c r="E15" s="8" t="inlineStr">
        <is>
          <t>«ניקוד» במשימה (1 רגיל, 2 קשה, 3 קשה מאוד) 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מתכון על הפלייר: ב«משימות» בוחרים מנה בעמודת «מתכון», והמתכון מ«מתכונים» מודפס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שישי</t>
        </is>
      </c>
      <c r="B7" s="17" t="n"/>
      <c r="C7" s="18" t="inlineStr">
        <is>
          <t>תחילת עבודה</t>
        </is>
      </c>
      <c r="D7" s="19" t="n"/>
      <c r="E7" s="20" t="n"/>
      <c r="F7" s="21" t="n">
        <v>0.3333333333333333</v>
      </c>
      <c r="G7" s="22">
        <f>IF(C7="","",COUNTIF('משימות'!$J$3:$J$122,C7))</f>
        <v/>
      </c>
    </row>
    <row r="8" ht="22" customHeight="1">
      <c r="A8" s="16" t="inlineStr">
        <is>
          <t>שישי</t>
        </is>
      </c>
      <c r="B8" s="17" t="n"/>
      <c r="C8" s="18" t="inlineStr">
        <is>
          <t>ארוחת צהריים</t>
        </is>
      </c>
      <c r="D8" s="19" t="n"/>
      <c r="E8" s="20" t="n"/>
      <c r="F8" s="21" t="n">
        <v>0.5</v>
      </c>
      <c r="G8" s="22">
        <f>IF(C8="","",COUNTIF('משימות'!$J$3:$J$122,C8))</f>
        <v/>
      </c>
    </row>
    <row r="9" ht="22" customHeight="1">
      <c r="A9" s="16" t="inlineStr">
        <is>
          <t>שישי</t>
        </is>
      </c>
      <c r="B9" s="17" t="n"/>
      <c r="C9" s="18" t="inlineStr">
        <is>
          <t>הדלקת נרות</t>
        </is>
      </c>
      <c r="D9" s="19" t="n"/>
      <c r="E9" s="20" t="n"/>
      <c r="F9" s="21">
        <f>IF($B$4="","",$B$4)</f>
        <v/>
      </c>
      <c r="G9" s="22">
        <f>IF(C9="","",COUNTIF('משימות'!$J$3:$J$122,C9))</f>
        <v/>
      </c>
    </row>
    <row r="10" ht="22" customHeight="1">
      <c r="A10" s="16" t="inlineStr">
        <is>
          <t>שישי</t>
        </is>
      </c>
      <c r="B10" s="17" t="n"/>
      <c r="C10" s="18" t="inlineStr">
        <is>
          <t>קבלת שבת וערבית</t>
        </is>
      </c>
      <c r="D10" s="19" t="inlineStr">
        <is>
          <t>בית מיכאל</t>
        </is>
      </c>
      <c r="E10" s="20" t="n"/>
      <c r="F10" s="21">
        <f>IF($B$4="","",ROUND(($B$4+TIME(0,10,0))*288,0)/288)</f>
        <v/>
      </c>
      <c r="G10" s="22">
        <f>IF(C10="","",COUNTIF('משימות'!$J$3:$J$122,C10))</f>
        <v/>
      </c>
    </row>
    <row r="11" ht="22" customHeight="1">
      <c r="A11" s="16" t="inlineStr">
        <is>
          <t>שישי</t>
        </is>
      </c>
      <c r="B11" s="17" t="n"/>
      <c r="C11" s="18" t="inlineStr">
        <is>
          <t>סעודת שבת</t>
        </is>
      </c>
      <c r="D11" s="19" t="inlineStr">
        <is>
          <t>חדר אוכל</t>
        </is>
      </c>
      <c r="E11" s="20" t="n"/>
      <c r="F11" s="21">
        <f>IF($B$4="","",ROUND(($B$4+TIME(1,40,0))*288,0)/288)</f>
        <v/>
      </c>
      <c r="G11" s="22">
        <f>IF(C11="","",COUNTIF('משימות'!$J$3:$J$122,C11))</f>
        <v/>
      </c>
    </row>
    <row r="12" ht="22" customHeight="1">
      <c r="A12" s="16" t="inlineStr">
        <is>
          <t>שישי</t>
        </is>
      </c>
      <c r="B12" s="17" t="n"/>
      <c r="C12" s="18" t="inlineStr">
        <is>
          <t>טיש בחדר אוכל</t>
        </is>
      </c>
      <c r="D12" s="19" t="inlineStr">
        <is>
          <t>חדר אוכל</t>
        </is>
      </c>
      <c r="E12" s="20" t="n"/>
      <c r="F12" s="21">
        <f>IF($B$4="","",ROUND(($B$4+TIME(3,10,0))*288,0)/288)</f>
        <v/>
      </c>
      <c r="G12" s="22">
        <f>IF(C12="","",COUNTIF('משימות'!$J$3:$J$122,C12))</f>
        <v/>
      </c>
    </row>
    <row r="13" ht="22" customHeight="1">
      <c r="A13" s="23" t="inlineStr">
        <is>
          <t>שבת</t>
        </is>
      </c>
      <c r="B13" s="17" t="n"/>
      <c r="C13" s="18" t="inlineStr">
        <is>
          <t>קידוש</t>
        </is>
      </c>
      <c r="D13" s="19" t="n"/>
      <c r="E13" s="20" t="n"/>
      <c r="F13" s="21" t="n">
        <v>0.4583333333333333</v>
      </c>
      <c r="G13" s="22">
        <f>IF(C13="","",COUNTIF('משימות'!$J$3:$J$122,C13))</f>
        <v/>
      </c>
    </row>
    <row r="14" ht="22" customHeight="1">
      <c r="A14" s="23" t="inlineStr">
        <is>
          <t>שבת</t>
        </is>
      </c>
      <c r="B14" s="17" t="n"/>
      <c r="C14" s="18" t="inlineStr">
        <is>
          <t>חבורות</t>
        </is>
      </c>
      <c r="D14" s="19" t="n"/>
      <c r="E14" s="20" t="n"/>
      <c r="F14" s="21" t="n">
        <v>0.4895833333333333</v>
      </c>
      <c r="G14" s="22">
        <f>IF(C14="","",COUNTIF('משימות'!$J$3:$J$122,C14))</f>
        <v/>
      </c>
    </row>
    <row r="15" ht="22" customHeight="1">
      <c r="A15" s="23" t="inlineStr">
        <is>
          <t>שבת</t>
        </is>
      </c>
      <c r="B15" s="17" t="n"/>
      <c r="C15" s="18" t="inlineStr">
        <is>
          <t>ארוחת צהריים</t>
        </is>
      </c>
      <c r="D15" s="19" t="inlineStr">
        <is>
          <t>חדר אוכל</t>
        </is>
      </c>
      <c r="E15" s="20" t="n"/>
      <c r="F15" s="21" t="n">
        <v>0.5520833333333334</v>
      </c>
      <c r="G15" s="22">
        <f>IF(C15="","",COUNTIF('משימות'!$J$3:$J$122,C15))</f>
        <v/>
      </c>
    </row>
    <row r="16" ht="22" customHeight="1">
      <c r="A16" s="23" t="inlineStr">
        <is>
          <t>שבת</t>
        </is>
      </c>
      <c r="B16" s="17" t="n"/>
      <c r="C16" s="18" t="inlineStr">
        <is>
          <t>שיעור</t>
        </is>
      </c>
      <c r="D16" s="19" t="n"/>
      <c r="E16" s="20" t="n"/>
      <c r="F16" s="21" t="n">
        <v>0.7083333333333334</v>
      </c>
      <c r="G16" s="22">
        <f>IF(C16="","",COUNTIF('משימות'!$J$3:$J$122,C16))</f>
        <v/>
      </c>
    </row>
    <row r="17" ht="22" customHeight="1">
      <c r="A17" s="23" t="inlineStr">
        <is>
          <t>שבת</t>
        </is>
      </c>
      <c r="B17" s="17" t="n"/>
      <c r="C17" s="18" t="inlineStr">
        <is>
          <t>סעודה שלישית</t>
        </is>
      </c>
      <c r="D17" s="19" t="n"/>
      <c r="E17" s="20" t="n"/>
      <c r="F17" s="21">
        <f>IF($D$4="","",ROUND(($D$4-TIME(1,40,0))*288,0)/288)</f>
        <v/>
      </c>
      <c r="G17" s="22">
        <f>IF(C17="","",COUNTIF('משימות'!$J$3:$J$122,C17))</f>
        <v/>
      </c>
    </row>
    <row r="18" ht="22" customHeight="1">
      <c r="A18" s="23" t="inlineStr">
        <is>
          <t>שבת</t>
        </is>
      </c>
      <c r="B18" s="17" t="n"/>
      <c r="C18" s="18" t="inlineStr">
        <is>
          <t>הבדלה</t>
        </is>
      </c>
      <c r="D18" s="19" t="n"/>
      <c r="E18" s="20" t="n"/>
      <c r="F18" s="21">
        <f>IF($D$4="","",$D$4)</f>
        <v/>
      </c>
      <c r="G18" s="22">
        <f>IF(C18="","",COUNTIF('משימות'!$J$3:$J$122,C18))</f>
        <v/>
      </c>
    </row>
    <row r="19" ht="22" customHeight="1">
      <c r="A19" s="23" t="inlineStr">
        <is>
          <t>שבת</t>
        </is>
      </c>
      <c r="B19" s="17" t="n"/>
      <c r="C19" s="18" t="inlineStr">
        <is>
          <t>ניקיונות מוצ"ש</t>
        </is>
      </c>
      <c r="D19" s="19" t="inlineStr">
        <is>
          <t>בית המדרש</t>
        </is>
      </c>
      <c r="E19" s="20" t="n"/>
      <c r="F19" s="21">
        <f>IF($D$4="","",ROUND(($D$4+TIME(0,20,0))*288,0)/288)</f>
        <v/>
      </c>
      <c r="G19" s="22">
        <f>IF(C19="","",COUNTIF('משימות'!$J$3:$J$122,C19))</f>
        <v/>
      </c>
    </row>
    <row r="20" ht="22" customHeight="1">
      <c r="A20" s="24" t="n"/>
      <c r="B20" s="17" t="n"/>
      <c r="C20" s="18" t="n"/>
      <c r="D20" s="19" t="n"/>
      <c r="E20" s="20" t="n"/>
      <c r="F20" s="21" t="n"/>
      <c r="G20" s="22">
        <f>IF(C20="","",COUNTIF('משימות'!$J$3:$J$122,C20))</f>
        <v/>
      </c>
    </row>
    <row r="21" ht="22" customHeight="1">
      <c r="A21" s="24" t="n"/>
      <c r="B21" s="17" t="n"/>
      <c r="C21" s="18" t="n"/>
      <c r="D21" s="19" t="n"/>
      <c r="E21" s="20" t="n"/>
      <c r="F21" s="21" t="n"/>
      <c r="G21" s="22">
        <f>IF(C21="","",COUNTIF('משימות'!$J$3:$J$122,C21))</f>
        <v/>
      </c>
    </row>
    <row r="22" ht="22" customHeight="1">
      <c r="A22" s="24" t="n"/>
      <c r="B22" s="17" t="n"/>
      <c r="C22" s="18" t="n"/>
      <c r="D22" s="19" t="n"/>
      <c r="E22" s="20" t="n"/>
      <c r="F22" s="21" t="n"/>
      <c r="G22" s="22">
        <f>IF(C22="","",COUNTIF('משימות'!$J$3:$J$122,C22))</f>
        <v/>
      </c>
    </row>
    <row r="23" ht="22" customHeight="1">
      <c r="A23" s="24" t="n"/>
      <c r="B23" s="17" t="n"/>
      <c r="C23" s="18" t="n"/>
      <c r="D23" s="19" t="n"/>
      <c r="E23" s="20" t="n"/>
      <c r="F23" s="21" t="n"/>
      <c r="G23" s="22">
        <f>IF(C23="","",COUNTIF('משימות'!$J$3:$J$122,C23))</f>
        <v/>
      </c>
    </row>
    <row r="24" ht="22" customHeight="1">
      <c r="A24" s="24" t="n"/>
      <c r="B24" s="17" t="n"/>
      <c r="C24" s="18" t="n"/>
      <c r="D24" s="19" t="n"/>
      <c r="E24" s="20" t="n"/>
      <c r="F24" s="21" t="n"/>
      <c r="G24" s="22">
        <f>IF(C24="","",COUNTIF('משימות'!$J$3:$J$122,C24))</f>
        <v/>
      </c>
    </row>
    <row r="25" ht="22" customHeight="1">
      <c r="A25" s="24" t="n"/>
      <c r="B25" s="17" t="n"/>
      <c r="C25" s="18" t="n"/>
      <c r="D25" s="19" t="n"/>
      <c r="E25" s="20" t="n"/>
      <c r="F25" s="21" t="n"/>
      <c r="G25" s="22">
        <f>IF(C25="","",COUNTIF('משימות'!$J$3:$J$122,C25))</f>
        <v/>
      </c>
    </row>
    <row r="26" ht="22" customHeight="1">
      <c r="A26" s="24" t="n"/>
      <c r="B26" s="17" t="n"/>
      <c r="C26" s="18" t="n"/>
      <c r="D26" s="19" t="n"/>
      <c r="E26" s="20" t="n"/>
      <c r="F26" s="21" t="n"/>
      <c r="G26" s="22">
        <f>IF(C26="","",COUNTIF('משימות'!$J$3:$J$122,C26))</f>
        <v/>
      </c>
    </row>
    <row r="27" ht="22" customHeight="1">
      <c r="A27" s="24" t="n"/>
      <c r="B27" s="17" t="n"/>
      <c r="C27" s="18" t="n"/>
      <c r="D27" s="19" t="n"/>
      <c r="E27" s="20" t="n"/>
      <c r="F27" s="21" t="n"/>
      <c r="G27" s="22">
        <f>IF(C27="","",COUNTIF('משימות'!$J$3:$J$122,C27))</f>
        <v/>
      </c>
    </row>
    <row r="28" ht="22" customHeight="1">
      <c r="A28" s="24" t="n"/>
      <c r="B28" s="17" t="n"/>
      <c r="C28" s="18" t="n"/>
      <c r="D28" s="19" t="n"/>
      <c r="E28" s="20" t="n"/>
      <c r="F28" s="21" t="n"/>
      <c r="G28" s="22">
        <f>IF(C28="","",COUNTIF('משימות'!$J$3:$J$122,C28))</f>
        <v/>
      </c>
    </row>
    <row r="29" ht="22" customHeight="1">
      <c r="A29" s="24" t="n"/>
      <c r="B29" s="17" t="n"/>
      <c r="C29" s="18" t="n"/>
      <c r="D29" s="19" t="n"/>
      <c r="E29" s="20" t="n"/>
      <c r="F29" s="21" t="n"/>
      <c r="G29" s="22">
        <f>IF(C29="","",COUNTIF('משימות'!$J$3:$J$122,C29))</f>
        <v/>
      </c>
    </row>
    <row r="30" ht="22" customHeight="1">
      <c r="A30" s="24" t="n"/>
      <c r="B30" s="17" t="n"/>
      <c r="C30" s="18" t="n"/>
      <c r="D30" s="19" t="n"/>
      <c r="E30" s="20" t="n"/>
      <c r="F30" s="21" t="n"/>
      <c r="G30" s="22">
        <f>IF(C30="","",COUNTIF('משימות'!$J$3:$J$122,C30))</f>
        <v/>
      </c>
    </row>
    <row r="31" ht="22" customHeight="1">
      <c r="A31" s="24" t="n"/>
      <c r="B31" s="17" t="n"/>
      <c r="C31" s="18" t="n"/>
      <c r="D31" s="19" t="n"/>
      <c r="E31" s="20" t="n"/>
      <c r="F31" s="21" t="n"/>
      <c r="G31" s="22">
        <f>IF(C31="","",COUNTIF('משימות'!$J$3:$J$122,C31))</f>
        <v/>
      </c>
    </row>
    <row r="32" ht="22" customHeight="1">
      <c r="A32" s="24" t="n"/>
      <c r="B32" s="17" t="n"/>
      <c r="C32" s="18" t="n"/>
      <c r="D32" s="19" t="n"/>
      <c r="E32" s="20" t="n"/>
      <c r="F32" s="21" t="n"/>
      <c r="G32" s="22">
        <f>IF(C32="","",COUNTIF('משימות'!$J$3:$J$122,C32))</f>
        <v/>
      </c>
    </row>
    <row r="33" ht="22" customHeight="1">
      <c r="A33" s="24" t="n"/>
      <c r="B33" s="17" t="n"/>
      <c r="C33" s="18" t="n"/>
      <c r="D33" s="19" t="n"/>
      <c r="E33" s="20" t="n"/>
      <c r="F33" s="21" t="n"/>
      <c r="G33" s="22">
        <f>IF(C33="","",COUNTIF('משימות'!$J$3:$J$122,C33))</f>
        <v/>
      </c>
    </row>
    <row r="34" ht="22" customHeight="1">
      <c r="A34" s="24" t="n"/>
      <c r="B34" s="17" t="n"/>
      <c r="C34" s="18" t="n"/>
      <c r="D34" s="19" t="n"/>
      <c r="E34" s="20" t="n"/>
      <c r="F34" s="21" t="n"/>
      <c r="G34" s="22">
        <f>IF(C34="","",COUNTIF('משימות'!$J$3:$J$122,C34))</f>
        <v/>
      </c>
    </row>
    <row r="35" ht="22" customHeight="1">
      <c r="A35" s="24" t="n"/>
      <c r="B35" s="17" t="n"/>
      <c r="C35" s="18" t="n"/>
      <c r="D35" s="19" t="n"/>
      <c r="E35" s="20" t="n"/>
      <c r="F35" s="21" t="n"/>
      <c r="G35" s="22">
        <f>IF(C35="","",COUNTIF('משימות'!$J$3:$J$122,C35))</f>
        <v/>
      </c>
    </row>
    <row r="36" ht="22" customHeight="1">
      <c r="A36" s="24" t="n"/>
      <c r="B36" s="17" t="n"/>
      <c r="C36" s="18" t="n"/>
      <c r="D36" s="19" t="n"/>
      <c r="E36" s="20" t="n"/>
      <c r="F36" s="21" t="n"/>
      <c r="G36" s="22">
        <f>IF(C36="","",COUNTIF('משימות'!$J$3:$J$122,C36))</f>
        <v/>
      </c>
    </row>
    <row r="38" ht="28" customHeight="1">
      <c r="A38" s="25"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K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48" customWidth="1" min="5" max="5"/>
    <col width="7" customWidth="1" min="6" max="6"/>
    <col width="40" customWidth="1" min="7" max="7"/>
    <col width="16" customWidth="1" min="8" max="8"/>
    <col width="7" customWidth="1" min="9" max="9"/>
    <col width="18" customWidth="1" min="10" max="10"/>
    <col width="20" customWidth="1" min="11" max="11"/>
  </cols>
  <sheetData>
    <row r="1" ht="36" customHeight="1">
      <c r="A1" s="26"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ניקוד</t>
        </is>
      </c>
      <c r="J2" s="9" t="inlineStr">
        <is>
          <t>עוגן בלו"ז</t>
        </is>
      </c>
      <c r="K2" s="9" t="inlineStr">
        <is>
          <t>הערה</t>
        </is>
      </c>
    </row>
    <row r="3" ht="30" customHeight="1">
      <c r="A3" s="27" t="inlineStr">
        <is>
          <t>הכנות שישי</t>
        </is>
      </c>
      <c r="B3" s="28" t="inlineStr">
        <is>
          <t>שישי</t>
        </is>
      </c>
      <c r="C3" s="29" t="n">
        <v>0.3333333333333333</v>
      </c>
      <c r="D3" s="19" t="inlineStr">
        <is>
          <t>חלות</t>
        </is>
      </c>
      <c r="E3" s="20" t="inlineStr">
        <is>
          <t>לישה, התפחה, קליעה ואפייה</t>
        </is>
      </c>
      <c r="F3" s="27" t="n">
        <v>5</v>
      </c>
      <c r="G3" s="30" t="n"/>
      <c r="H3" s="19" t="inlineStr">
        <is>
          <t>חלות</t>
        </is>
      </c>
      <c r="I3" s="27" t="n">
        <v>1</v>
      </c>
      <c r="J3" s="19" t="inlineStr">
        <is>
          <t>תחילת עבודה</t>
        </is>
      </c>
      <c r="K3" s="20" t="n"/>
    </row>
    <row r="4" ht="30" customHeight="1">
      <c r="A4" s="27" t="inlineStr">
        <is>
          <t>הכנות שישי</t>
        </is>
      </c>
      <c r="B4" s="28" t="inlineStr">
        <is>
          <t>שישי</t>
        </is>
      </c>
      <c r="C4" s="29" t="n">
        <v>0.3333333333333333</v>
      </c>
      <c r="D4" s="19" t="inlineStr">
        <is>
          <t>עוגות שמרים</t>
        </is>
      </c>
      <c r="E4" s="20" t="inlineStr">
        <is>
          <t>בצק, מילוי, קליעת קראנץ' ואפייה</t>
        </is>
      </c>
      <c r="F4" s="27" t="n">
        <v>4</v>
      </c>
      <c r="G4" s="30" t="n"/>
      <c r="H4" s="19" t="inlineStr">
        <is>
          <t>עוגות שמרים (קראנץ' קינמון ושוקולד)</t>
        </is>
      </c>
      <c r="I4" s="27" t="n">
        <v>1</v>
      </c>
      <c r="J4" s="19" t="inlineStr">
        <is>
          <t>תחילת עבודה</t>
        </is>
      </c>
      <c r="K4" s="20" t="n"/>
    </row>
    <row r="5" ht="30" customHeight="1">
      <c r="A5" s="27" t="inlineStr">
        <is>
          <t>הכנות שישי</t>
        </is>
      </c>
      <c r="B5" s="28" t="inlineStr">
        <is>
          <t>שישי</t>
        </is>
      </c>
      <c r="C5" s="29" t="n">
        <v>0.3333333333333333</v>
      </c>
      <c r="D5" s="19" t="inlineStr">
        <is>
          <t>מטבוחה</t>
        </is>
      </c>
      <c r="E5" s="20" t="inlineStr">
        <is>
          <t>בישול ארוך עד מרקם ריבתי</t>
        </is>
      </c>
      <c r="F5" s="27" t="n">
        <v>4</v>
      </c>
      <c r="G5" s="30" t="n"/>
      <c r="H5" s="19" t="inlineStr">
        <is>
          <t>מטבוחה</t>
        </is>
      </c>
      <c r="I5" s="27" t="n">
        <v>1</v>
      </c>
      <c r="J5" s="19" t="inlineStr">
        <is>
          <t>תחילת עבודה</t>
        </is>
      </c>
      <c r="K5" s="20" t="n"/>
    </row>
    <row r="6" ht="30" customHeight="1">
      <c r="A6" s="27" t="inlineStr">
        <is>
          <t>הכנות שישי</t>
        </is>
      </c>
      <c r="B6" s="28" t="inlineStr">
        <is>
          <t>שישי</t>
        </is>
      </c>
      <c r="C6" s="29" t="n">
        <v>0.3333333333333333</v>
      </c>
      <c r="D6" s="19" t="inlineStr">
        <is>
          <t>עוגת דבש</t>
        </is>
      </c>
      <c r="E6" s="20" t="inlineStr">
        <is>
          <t>אפיית 10–12 תבניות אינגליש</t>
        </is>
      </c>
      <c r="F6" s="27" t="n">
        <v>2</v>
      </c>
      <c r="G6" s="30" t="n"/>
      <c r="H6" s="19" t="inlineStr">
        <is>
          <t>עוגת דבש</t>
        </is>
      </c>
      <c r="I6" s="27" t="n">
        <v>1</v>
      </c>
      <c r="J6" s="19" t="inlineStr">
        <is>
          <t>תחילת עבודה</t>
        </is>
      </c>
      <c r="K6" s="20" t="n"/>
    </row>
    <row r="7" ht="30" customHeight="1">
      <c r="A7" s="27" t="inlineStr">
        <is>
          <t>הכנות שישי</t>
        </is>
      </c>
      <c r="B7" s="28" t="inlineStr">
        <is>
          <t>שישי</t>
        </is>
      </c>
      <c r="C7" s="29" t="n">
        <v>0.3333333333333333</v>
      </c>
      <c r="D7" s="19" t="inlineStr">
        <is>
          <t>עוגיות שוקולד צ'יפס</t>
        </is>
      </c>
      <c r="E7" s="20" t="inlineStr">
        <is>
          <t>הכנת הבצק, כדרור ואפייה</t>
        </is>
      </c>
      <c r="F7" s="27" t="n">
        <v>2</v>
      </c>
      <c r="G7" s="30" t="n"/>
      <c r="H7" s="19" t="inlineStr">
        <is>
          <t>עוגיות שוקולד צ'יפס</t>
        </is>
      </c>
      <c r="I7" s="27" t="n">
        <v>1</v>
      </c>
      <c r="J7" s="19" t="inlineStr">
        <is>
          <t>תחילת עבודה</t>
        </is>
      </c>
      <c r="K7" s="20" t="n"/>
    </row>
    <row r="8" ht="30" customHeight="1">
      <c r="A8" s="27" t="inlineStr">
        <is>
          <t>הכנות שישי</t>
        </is>
      </c>
      <c r="B8" s="28" t="inlineStr">
        <is>
          <t>שישי</t>
        </is>
      </c>
      <c r="C8" s="29" t="n">
        <v>0.3333333333333333</v>
      </c>
      <c r="D8" s="19" t="inlineStr">
        <is>
          <t>בראוניז ללא גלוטן</t>
        </is>
      </c>
      <c r="E8" s="20" t="inlineStr">
        <is>
          <t>המסה, ערבוב ואפייה</t>
        </is>
      </c>
      <c r="F8" s="27" t="n">
        <v>2</v>
      </c>
      <c r="G8" s="30" t="n"/>
      <c r="H8" s="19" t="inlineStr">
        <is>
          <t>בראוניז ללא גלוטן</t>
        </is>
      </c>
      <c r="I8" s="27" t="n">
        <v>1</v>
      </c>
      <c r="J8" s="19" t="inlineStr">
        <is>
          <t>תחילת עבודה</t>
        </is>
      </c>
      <c r="K8" s="20" t="n"/>
    </row>
    <row r="9" ht="30" customHeight="1">
      <c r="A9" s="27" t="inlineStr">
        <is>
          <t>הכנות שישי</t>
        </is>
      </c>
      <c r="B9" s="28" t="inlineStr">
        <is>
          <t>שישי</t>
        </is>
      </c>
      <c r="C9" s="29" t="n">
        <v>0.3333333333333333</v>
      </c>
      <c r="D9" s="19" t="inlineStr">
        <is>
          <t>סלט חצילים</t>
        </is>
      </c>
      <c r="E9" s="20" t="inlineStr">
        <is>
          <t>קלייה, סינון, קיצוץ ותיבול</t>
        </is>
      </c>
      <c r="F9" s="27" t="n">
        <v>2</v>
      </c>
      <c r="G9" s="30" t="n"/>
      <c r="H9" s="19" t="inlineStr">
        <is>
          <t>סלט חצילים קלויים</t>
        </is>
      </c>
      <c r="I9" s="27" t="n">
        <v>1</v>
      </c>
      <c r="J9" s="19" t="inlineStr">
        <is>
          <t>תחילת עבודה</t>
        </is>
      </c>
      <c r="K9" s="20" t="n"/>
    </row>
    <row r="10" ht="30" customHeight="1">
      <c r="A10" s="27" t="inlineStr">
        <is>
          <t>הכנות שישי</t>
        </is>
      </c>
      <c r="B10" s="28" t="inlineStr">
        <is>
          <t>שישי</t>
        </is>
      </c>
      <c r="C10" s="29" t="n">
        <v>0.3333333333333333</v>
      </c>
      <c r="D10" s="19" t="inlineStr">
        <is>
          <t>ארוחת צהריים שישי</t>
        </is>
      </c>
      <c r="E10" s="20" t="inlineStr">
        <is>
          <t>הכנת החומוס</t>
        </is>
      </c>
      <c r="F10" s="27" t="n">
        <v>2</v>
      </c>
      <c r="G10" s="30" t="n"/>
      <c r="H10" s="19" t="n"/>
      <c r="I10" s="27" t="n">
        <v>1</v>
      </c>
      <c r="J10" s="19" t="inlineStr">
        <is>
          <t>תחילת עבודה</t>
        </is>
      </c>
      <c r="K10" s="20" t="n"/>
    </row>
    <row r="11" ht="30" customHeight="1">
      <c r="A11" s="27" t="inlineStr">
        <is>
          <t>הכנות שישי</t>
        </is>
      </c>
      <c r="B11" s="28" t="inlineStr">
        <is>
          <t>שישי</t>
        </is>
      </c>
      <c r="C11" s="29" t="n">
        <v>0.5</v>
      </c>
      <c r="D11" s="19" t="inlineStr">
        <is>
          <t>ארוחת צהריים שישי</t>
        </is>
      </c>
      <c r="E11" s="20" t="inlineStr">
        <is>
          <t>הגשת ארוחת הצהריים</t>
        </is>
      </c>
      <c r="F11" s="27" t="n">
        <v>2</v>
      </c>
      <c r="G11" s="30" t="n"/>
      <c r="H11" s="19" t="n"/>
      <c r="I11" s="27" t="n">
        <v>1</v>
      </c>
      <c r="J11" s="19" t="inlineStr">
        <is>
          <t>ארוחת צהריים</t>
        </is>
      </c>
      <c r="K11" s="20" t="n"/>
    </row>
    <row r="12" ht="30" customHeight="1">
      <c r="A12" s="27" t="inlineStr">
        <is>
          <t>הכנות שישי</t>
        </is>
      </c>
      <c r="B12" s="28" t="inlineStr">
        <is>
          <t>שישי</t>
        </is>
      </c>
      <c r="C12" s="29" t="n">
        <v>0.5416666666666666</v>
      </c>
      <c r="D12" s="19" t="inlineStr">
        <is>
          <t>ארוחת צהריים שישי</t>
        </is>
      </c>
      <c r="E12" s="20" t="inlineStr">
        <is>
          <t>קיפול הארוחה, שטיפת כלים</t>
        </is>
      </c>
      <c r="F12" s="27" t="n">
        <v>2</v>
      </c>
      <c r="G12" s="30" t="n"/>
      <c r="H12" s="19" t="n"/>
      <c r="I12" s="27" t="n">
        <v>1</v>
      </c>
      <c r="J12" s="19" t="inlineStr">
        <is>
          <t>ארוחת צהריים</t>
        </is>
      </c>
      <c r="K12" s="20" t="n"/>
    </row>
    <row r="13" ht="30" customHeight="1">
      <c r="A13" s="27" t="inlineStr">
        <is>
          <t>תורנות שישי</t>
        </is>
      </c>
      <c r="B13" s="28" t="inlineStr">
        <is>
          <t>שישי</t>
        </is>
      </c>
      <c r="C13" s="29" t="n">
        <v>0.3333333333333333</v>
      </c>
      <c r="D13" s="19" t="inlineStr">
        <is>
          <t>בית מדרש</t>
        </is>
      </c>
      <c r="E13" s="20" t="inlineStr">
        <is>
          <t>העברת שולחנות לכיתת בית המדרש — לא בגרירה</t>
        </is>
      </c>
      <c r="F13" s="27" t="n">
        <v>6</v>
      </c>
      <c r="G13" s="30" t="n"/>
      <c r="H13" s="19" t="n"/>
      <c r="I13" s="27" t="n">
        <v>1</v>
      </c>
      <c r="J13" s="19" t="inlineStr">
        <is>
          <t>תחילת עבודה</t>
        </is>
      </c>
      <c r="K13" s="20" t="n"/>
    </row>
    <row r="14" ht="30" customHeight="1">
      <c r="A14" s="27" t="inlineStr">
        <is>
          <t>תורנות שישי</t>
        </is>
      </c>
      <c r="B14" s="28" t="inlineStr">
        <is>
          <t>שישי</t>
        </is>
      </c>
      <c r="C14" s="29" t="n">
        <v>0.3333333333333333</v>
      </c>
      <c r="D14" s="19" t="inlineStr">
        <is>
          <t>בית מדרש</t>
        </is>
      </c>
      <c r="E14" s="20" t="inlineStr">
        <is>
          <t>טאטוא ושטיפת רצפה</t>
        </is>
      </c>
      <c r="F14" s="27" t="n">
        <v>3</v>
      </c>
      <c r="G14" s="30" t="n"/>
      <c r="H14" s="19" t="n"/>
      <c r="I14" s="27" t="n">
        <v>1</v>
      </c>
      <c r="J14" s="19" t="inlineStr">
        <is>
          <t>תחילת עבודה</t>
        </is>
      </c>
      <c r="K14" s="20" t="n"/>
    </row>
    <row r="15" ht="30" customHeight="1">
      <c r="A15" s="27" t="inlineStr">
        <is>
          <t>תורנות שישי</t>
        </is>
      </c>
      <c r="B15" s="28" t="inlineStr">
        <is>
          <t>שישי</t>
        </is>
      </c>
      <c r="C15" s="29" t="n">
        <v>0.3333333333333333</v>
      </c>
      <c r="D15" s="19" t="inlineStr">
        <is>
          <t>בית מדרש</t>
        </is>
      </c>
      <c r="E15" s="20" t="inlineStr">
        <is>
          <t>תליית מחיצה</t>
        </is>
      </c>
      <c r="F15" s="27" t="n">
        <v>2</v>
      </c>
      <c r="G15" s="30" t="n"/>
      <c r="H15" s="19" t="n"/>
      <c r="I15" s="27" t="n">
        <v>1</v>
      </c>
      <c r="J15" s="19" t="inlineStr">
        <is>
          <t>תחילת עבודה</t>
        </is>
      </c>
      <c r="K15" s="20" t="n"/>
    </row>
    <row r="16" ht="30" customHeight="1">
      <c r="A16" s="27" t="inlineStr">
        <is>
          <t>תורנות שישי</t>
        </is>
      </c>
      <c r="B16" s="28" t="inlineStr">
        <is>
          <t>שישי</t>
        </is>
      </c>
      <c r="C16" s="29" t="n">
        <v>0.3333333333333333</v>
      </c>
      <c r="D16" s="19" t="inlineStr">
        <is>
          <t>בית מדרש</t>
        </is>
      </c>
      <c r="E16" s="20" t="inlineStr">
        <is>
          <t>סידור כסאות בשורות — כולל 3 שורות עזרת ישראל</t>
        </is>
      </c>
      <c r="F16" s="27" t="n">
        <v>4</v>
      </c>
      <c r="G16" s="30" t="n"/>
      <c r="H16" s="19" t="n"/>
      <c r="I16" s="27" t="n">
        <v>1</v>
      </c>
      <c r="J16" s="19" t="inlineStr">
        <is>
          <t>תחילת עבודה</t>
        </is>
      </c>
      <c r="K16" s="20" t="n"/>
    </row>
    <row r="17" ht="30" customHeight="1">
      <c r="A17" s="27" t="inlineStr">
        <is>
          <t>תורנות שישי</t>
        </is>
      </c>
      <c r="B17" s="28" t="inlineStr">
        <is>
          <t>שישי</t>
        </is>
      </c>
      <c r="C17" s="29" t="n">
        <v>0.3333333333333333</v>
      </c>
      <c r="D17" s="19" t="inlineStr">
        <is>
          <t>בית מדרש</t>
        </is>
      </c>
      <c r="E17" s="20" t="inlineStr">
        <is>
          <t>הנחת סידורים על הכסאות</t>
        </is>
      </c>
      <c r="F17" s="27" t="n">
        <v>1</v>
      </c>
      <c r="G17" s="30" t="n"/>
      <c r="H17" s="19" t="n"/>
      <c r="I17" s="27" t="n">
        <v>1</v>
      </c>
      <c r="J17" s="19" t="inlineStr">
        <is>
          <t>תחילת עבודה</t>
        </is>
      </c>
      <c r="K17" s="20" t="n"/>
    </row>
    <row r="18" ht="30" customHeight="1">
      <c r="A18" s="27" t="inlineStr">
        <is>
          <t>תורנות שישי</t>
        </is>
      </c>
      <c r="B18" s="28" t="inlineStr">
        <is>
          <t>שישי</t>
        </is>
      </c>
      <c r="C18" s="29" t="n">
        <v>0.4166666666666667</v>
      </c>
      <c r="D18" s="19" t="inlineStr">
        <is>
          <t>בית מדרש</t>
        </is>
      </c>
      <c r="E18" s="20" t="inlineStr">
        <is>
          <t>עזרה בהכנת החלות</t>
        </is>
      </c>
      <c r="F18" s="27" t="n">
        <v>8</v>
      </c>
      <c r="G18" s="30" t="n"/>
      <c r="H18" s="19" t="n"/>
      <c r="I18" s="27" t="n">
        <v>1</v>
      </c>
      <c r="J18" s="19" t="inlineStr">
        <is>
          <t>תחילת עבודה</t>
        </is>
      </c>
      <c r="K18" s="20" t="n"/>
    </row>
    <row r="19" ht="30" customHeight="1">
      <c r="A19" s="27" t="inlineStr">
        <is>
          <t>תורנות שישי</t>
        </is>
      </c>
      <c r="B19" s="28" t="inlineStr">
        <is>
          <t>שישי</t>
        </is>
      </c>
      <c r="C19" s="29" t="n">
        <v>0.4166666666666667</v>
      </c>
      <c r="D19" s="19" t="inlineStr">
        <is>
          <t>בית מדרש</t>
        </is>
      </c>
      <c r="E19" s="20" t="inlineStr">
        <is>
          <t>עזרה בהכנת עוגות השמרים</t>
        </is>
      </c>
      <c r="F19" s="27" t="n">
        <v>8</v>
      </c>
      <c r="G19" s="30" t="n"/>
      <c r="H19" s="19" t="n"/>
      <c r="I19" s="27" t="n">
        <v>1</v>
      </c>
      <c r="J19" s="19" t="inlineStr">
        <is>
          <t>תחילת עבודה</t>
        </is>
      </c>
      <c r="K19" s="20" t="n"/>
    </row>
    <row r="20" ht="30" customHeight="1">
      <c r="A20" s="27" t="inlineStr">
        <is>
          <t>תורנות שבת</t>
        </is>
      </c>
      <c r="B20" s="28" t="inlineStr">
        <is>
          <t>שישי</t>
        </is>
      </c>
      <c r="C20" s="29" t="n">
        <v>0.5833333333333334</v>
      </c>
      <c r="D20" s="19" t="inlineStr">
        <is>
          <t>בית מדרש · ארוחת ערב וטיש</t>
        </is>
      </c>
      <c r="E20" s="20" t="inlineStr">
        <is>
          <t>פריקת האוכל שמגיע מהקייטרינג</t>
        </is>
      </c>
      <c r="F20" s="27" t="n">
        <v>2</v>
      </c>
      <c r="G20" s="30" t="n"/>
      <c r="H20" s="19" t="n"/>
      <c r="I20" s="27" t="n">
        <v>1</v>
      </c>
      <c r="J20" s="19" t="inlineStr">
        <is>
          <t>הדלקת נרות</t>
        </is>
      </c>
      <c r="K20" s="20" t="n"/>
    </row>
    <row r="21" ht="30" customHeight="1">
      <c r="A21" s="27" t="inlineStr">
        <is>
          <t>תורנות שבת</t>
        </is>
      </c>
      <c r="B21" s="28" t="inlineStr">
        <is>
          <t>שישי</t>
        </is>
      </c>
      <c r="C21" s="29" t="n">
        <v>0.6666666666666666</v>
      </c>
      <c r="D21" s="19" t="inlineStr">
        <is>
          <t>בית מדרש · ארוחת ערב וטיש</t>
        </is>
      </c>
      <c r="E21" s="20" t="inlineStr">
        <is>
          <t>הכנת סלט כרוב — חצי כמות לארוחת הערב</t>
        </is>
      </c>
      <c r="F21" s="27" t="n">
        <v>2</v>
      </c>
      <c r="G21" s="30" t="n"/>
      <c r="H21" s="19" t="inlineStr">
        <is>
          <t>סלט כרוב מרענן</t>
        </is>
      </c>
      <c r="I21" s="27" t="n">
        <v>1</v>
      </c>
      <c r="J21" s="19" t="inlineStr">
        <is>
          <t>הדלקת נרות</t>
        </is>
      </c>
      <c r="K21" s="20" t="n"/>
    </row>
    <row r="22" ht="30" customHeight="1">
      <c r="A22" s="27" t="inlineStr">
        <is>
          <t>תורנות שבת</t>
        </is>
      </c>
      <c r="B22" s="28" t="inlineStr">
        <is>
          <t>שישי</t>
        </is>
      </c>
      <c r="C22" s="29" t="n">
        <v>0.6666666666666666</v>
      </c>
      <c r="D22" s="19" t="inlineStr">
        <is>
          <t>בית מדרש · ארוחת ערב וטיש</t>
        </is>
      </c>
      <c r="E22" s="20" t="inlineStr">
        <is>
          <t>הכנת סלט טחינה — חצי כמות לארוחת הערב</t>
        </is>
      </c>
      <c r="F22" s="27" t="n">
        <v>1</v>
      </c>
      <c r="G22" s="30" t="n"/>
      <c r="H22" s="19" t="inlineStr">
        <is>
          <t>סלט טחינה ביתית</t>
        </is>
      </c>
      <c r="I22" s="27" t="n">
        <v>1</v>
      </c>
      <c r="J22" s="19" t="inlineStr">
        <is>
          <t>הדלקת נרות</t>
        </is>
      </c>
      <c r="K22" s="20" t="n"/>
    </row>
    <row r="23" ht="30" customHeight="1">
      <c r="A23" s="27" t="inlineStr">
        <is>
          <t>תורנות שבת</t>
        </is>
      </c>
      <c r="B23" s="28" t="inlineStr">
        <is>
          <t>שישי</t>
        </is>
      </c>
      <c r="C23" s="29" t="n">
        <v>0.7083333333333334</v>
      </c>
      <c r="D23" s="19" t="inlineStr">
        <is>
          <t>בית מדרש · ארוחת ערב וטיש</t>
        </is>
      </c>
      <c r="E23" s="20" t="inlineStr">
        <is>
          <t>הנחת האוכל על הפלטות, וחיבור מיחמים בפינת קפה</t>
        </is>
      </c>
      <c r="F23" s="27" t="n">
        <v>2</v>
      </c>
      <c r="G23" s="30" t="n"/>
      <c r="H23" s="19" t="n"/>
      <c r="I23" s="27" t="n">
        <v>1</v>
      </c>
      <c r="J23" s="19" t="inlineStr">
        <is>
          <t>הדלקת נרות</t>
        </is>
      </c>
      <c r="K23" s="20" t="n"/>
    </row>
    <row r="24" ht="30" customHeight="1">
      <c r="A24" s="27" t="inlineStr">
        <is>
          <t>תורנות שבת</t>
        </is>
      </c>
      <c r="B24" s="28" t="inlineStr">
        <is>
          <t>שישי</t>
        </is>
      </c>
      <c r="C24" s="29" t="n">
        <v>0.8125</v>
      </c>
      <c r="D24" s="19" t="inlineStr">
        <is>
          <t>בית מדרש · ארוחת ערב וטיש</t>
        </is>
      </c>
      <c r="E24" s="20" t="inlineStr">
        <is>
          <t>הורדת האוכל מהפלטות ומתנור החימום לארוחה</t>
        </is>
      </c>
      <c r="F24" s="27" t="n">
        <v>3</v>
      </c>
      <c r="G24" s="30" t="n"/>
      <c r="H24" s="19" t="n"/>
      <c r="I24" s="27" t="n">
        <v>1</v>
      </c>
      <c r="J24" s="19" t="inlineStr">
        <is>
          <t>קבלת שבת וערבית</t>
        </is>
      </c>
      <c r="K24" s="20" t="n"/>
    </row>
    <row r="25" ht="30" customHeight="1">
      <c r="A25" s="27" t="inlineStr">
        <is>
          <t>תורנות שבת</t>
        </is>
      </c>
      <c r="B25" s="28" t="inlineStr">
        <is>
          <t>שישי</t>
        </is>
      </c>
      <c r="C25" s="29" t="n">
        <v>0.8125</v>
      </c>
      <c r="D25" s="19" t="inlineStr">
        <is>
          <t>בית מדרש · ארוחת ערב וטיש</t>
        </is>
      </c>
      <c r="E25" s="20" t="inlineStr">
        <is>
          <t>עריכת שולחן: טחינה, צלחות וסכו"ם, לחמניות, וסלטים מהקייטרינג אם יש</t>
        </is>
      </c>
      <c r="F25" s="27" t="n">
        <v>3</v>
      </c>
      <c r="G25" s="30" t="n"/>
      <c r="H25" s="19" t="n"/>
      <c r="I25" s="27" t="n">
        <v>1</v>
      </c>
      <c r="J25" s="19" t="inlineStr">
        <is>
          <t>קבלת שבת וערבית</t>
        </is>
      </c>
      <c r="K25" s="20" t="n"/>
    </row>
    <row r="26" ht="30" customHeight="1">
      <c r="A26" s="27" t="inlineStr">
        <is>
          <t>תורנות שבת</t>
        </is>
      </c>
      <c r="B26" s="28" t="inlineStr">
        <is>
          <t>שישי</t>
        </is>
      </c>
      <c r="C26" s="29" t="n">
        <v>0.875</v>
      </c>
      <c r="D26" s="19" t="inlineStr">
        <is>
          <t>בית מדרש · ארוחת ערב וטיש</t>
        </is>
      </c>
      <c r="E26" s="20" t="inlineStr">
        <is>
          <t>חימום 10 עוגות פרווה על הפלטה</t>
        </is>
      </c>
      <c r="F26" s="27" t="n">
        <v>2</v>
      </c>
      <c r="G26" s="30" t="n"/>
      <c r="H26" s="19" t="n"/>
      <c r="I26" s="27" t="n">
        <v>1</v>
      </c>
      <c r="J26" s="19" t="inlineStr">
        <is>
          <t>סעודת שבת</t>
        </is>
      </c>
      <c r="K26" s="20" t="n"/>
    </row>
    <row r="27" ht="30" customHeight="1">
      <c r="A27" s="27" t="inlineStr">
        <is>
          <t>תורנות שבת</t>
        </is>
      </c>
      <c r="B27" s="28" t="inlineStr">
        <is>
          <t>שישי</t>
        </is>
      </c>
      <c r="C27" s="29" t="n">
        <v>0.875</v>
      </c>
      <c r="D27" s="19" t="inlineStr">
        <is>
          <t>בית מדרש · ארוחת ערב וטיש</t>
        </is>
      </c>
      <c r="E27" s="20" t="inlineStr">
        <is>
          <t>חיתוך אבטיח</t>
        </is>
      </c>
      <c r="F27" s="27" t="n">
        <v>1</v>
      </c>
      <c r="G27" s="30" t="n"/>
      <c r="H27" s="19" t="n"/>
      <c r="I27" s="27" t="n">
        <v>1</v>
      </c>
      <c r="J27" s="19" t="inlineStr">
        <is>
          <t>סעודת שבת</t>
        </is>
      </c>
      <c r="K27" s="20" t="n"/>
    </row>
    <row r="28" ht="30" customHeight="1">
      <c r="A28" s="27" t="inlineStr">
        <is>
          <t>תורנות שבת</t>
        </is>
      </c>
      <c r="B28" s="28" t="inlineStr">
        <is>
          <t>שישי</t>
        </is>
      </c>
      <c r="C28" s="29" t="n">
        <v>0.8958333333333334</v>
      </c>
      <c r="D28" s="19" t="inlineStr">
        <is>
          <t>בית מדרש · ארוחת ערב וטיש</t>
        </is>
      </c>
      <c r="E28" s="20" t="inlineStr">
        <is>
          <t>פריסת שולחן במרכז: 10 עוגות פרווה, גרעינים, בקבוקים ואבטיח, כוסות ושתייה</t>
        </is>
      </c>
      <c r="F28" s="27" t="n">
        <v>3</v>
      </c>
      <c r="G28" s="30" t="n"/>
      <c r="H28" s="19" t="n"/>
      <c r="I28" s="27" t="n">
        <v>1</v>
      </c>
      <c r="J28" s="19" t="inlineStr">
        <is>
          <t>סעודת שבת</t>
        </is>
      </c>
      <c r="K28" s="20" t="n"/>
    </row>
    <row r="29" ht="30" customHeight="1">
      <c r="A29" s="27" t="inlineStr">
        <is>
          <t>תורנות שבת</t>
        </is>
      </c>
      <c r="B29" s="28" t="inlineStr">
        <is>
          <t>שישי</t>
        </is>
      </c>
      <c r="C29" s="29" t="n">
        <v>0.8958333333333334</v>
      </c>
      <c r="D29" s="19" t="inlineStr">
        <is>
          <t>בית מדרש · ארוחת ערב וטיש</t>
        </is>
      </c>
      <c r="E29" s="20" t="inlineStr">
        <is>
          <t>סידור המרחב: שולחנות בקוביה במרכז, כיסאות במעגל מסביב</t>
        </is>
      </c>
      <c r="F29" s="27" t="n">
        <v>3</v>
      </c>
      <c r="G29" s="30" t="n"/>
      <c r="H29" s="19" t="n"/>
      <c r="I29" s="27" t="n">
        <v>1</v>
      </c>
      <c r="J29" s="19" t="inlineStr">
        <is>
          <t>סעודת שבת</t>
        </is>
      </c>
      <c r="K29" s="20" t="n"/>
    </row>
    <row r="30" ht="30" customHeight="1">
      <c r="A30" s="27" t="inlineStr">
        <is>
          <t>תורנות שבת</t>
        </is>
      </c>
      <c r="B30" s="28" t="inlineStr">
        <is>
          <t>שישי</t>
        </is>
      </c>
      <c r="C30" s="29" t="n"/>
      <c r="D30" s="19" t="inlineStr">
        <is>
          <t>בית מדרש · ארוחת ערב וטיש</t>
        </is>
      </c>
      <c r="E30" s="20" t="inlineStr">
        <is>
          <t>ניקיון חדר האוכל בסיום הטיש: טאטוא, שטיפת גסטרונומים וניקוי השולחנות</t>
        </is>
      </c>
      <c r="F30" s="27" t="n"/>
      <c r="G30" s="30" t="n"/>
      <c r="H30" s="19" t="n"/>
      <c r="I30" s="27" t="n">
        <v>1</v>
      </c>
      <c r="J30" s="19" t="inlineStr">
        <is>
          <t>טיש בחדר אוכל</t>
        </is>
      </c>
      <c r="K30" s="20" t="n"/>
    </row>
    <row r="31" ht="30" customHeight="1">
      <c r="A31" s="27" t="inlineStr">
        <is>
          <t>תורנות שבת</t>
        </is>
      </c>
      <c r="B31" s="31" t="inlineStr">
        <is>
          <t>שבת</t>
        </is>
      </c>
      <c r="C31" s="29" t="n">
        <v>0.4375</v>
      </c>
      <c r="D31" s="19" t="inlineStr">
        <is>
          <t>בית מדרש · קידוש</t>
        </is>
      </c>
      <c r="E31" s="20" t="inlineStr">
        <is>
          <t>סידור וניקיון פינת קפה — להוציא חלב, למלא קפה וסוכר</t>
        </is>
      </c>
      <c r="F31" s="27" t="n">
        <v>1</v>
      </c>
      <c r="G31" s="30" t="n"/>
      <c r="H31" s="19" t="n"/>
      <c r="I31" s="27" t="n">
        <v>1</v>
      </c>
      <c r="J31" s="19" t="inlineStr">
        <is>
          <t>קידוש</t>
        </is>
      </c>
      <c r="K31" s="20" t="n"/>
    </row>
    <row r="32" ht="30" customHeight="1">
      <c r="A32" s="27" t="inlineStr">
        <is>
          <t>תורנות שבת</t>
        </is>
      </c>
      <c r="B32" s="31" t="inlineStr">
        <is>
          <t>שבת</t>
        </is>
      </c>
      <c r="C32" s="29" t="n">
        <v>0.4375</v>
      </c>
      <c r="D32" s="19" t="inlineStr">
        <is>
          <t>בית מדרש · קידוש</t>
        </is>
      </c>
      <c r="E32" s="20" t="inlineStr">
        <is>
          <t>חימום עוגות</t>
        </is>
      </c>
      <c r="F32" s="27" t="n">
        <v>1</v>
      </c>
      <c r="G32" s="30" t="n"/>
      <c r="H32" s="19" t="n"/>
      <c r="I32" s="27" t="n">
        <v>1</v>
      </c>
      <c r="J32" s="19" t="inlineStr">
        <is>
          <t>קידוש</t>
        </is>
      </c>
      <c r="K32" s="20" t="n"/>
    </row>
    <row r="33" ht="30" customHeight="1">
      <c r="A33" s="27" t="inlineStr">
        <is>
          <t>תורנות שבת</t>
        </is>
      </c>
      <c r="B33" s="31" t="inlineStr">
        <is>
          <t>שבת</t>
        </is>
      </c>
      <c r="C33" s="29" t="n">
        <v>0.4375</v>
      </c>
      <c r="D33" s="19" t="inlineStr">
        <is>
          <t>בית מדרש · קידוש</t>
        </is>
      </c>
      <c r="E33" s="20" t="inlineStr">
        <is>
          <t>טאטוא הרצפה, סידור כיסאות וארגון המרחב</t>
        </is>
      </c>
      <c r="F33" s="27" t="n">
        <v>1</v>
      </c>
      <c r="G33" s="30" t="n"/>
      <c r="H33" s="19" t="n"/>
      <c r="I33" s="27" t="n">
        <v>1</v>
      </c>
      <c r="J33" s="19" t="inlineStr">
        <is>
          <t>קידוש</t>
        </is>
      </c>
      <c r="K33" s="20" t="n"/>
    </row>
    <row r="34" ht="30" customHeight="1">
      <c r="A34" s="27" t="inlineStr">
        <is>
          <t>תורנות שבת</t>
        </is>
      </c>
      <c r="B34" s="31" t="inlineStr">
        <is>
          <t>שבת</t>
        </is>
      </c>
      <c r="C34" s="29" t="n">
        <v>0.4375</v>
      </c>
      <c r="D34" s="19" t="inlineStr">
        <is>
          <t>בית מדרש · קידוש</t>
        </is>
      </c>
      <c r="E34" s="20" t="inlineStr">
        <is>
          <t>הוצאת 15 עוגות, חלב, קורנפלקס, ענבים ואבטיח</t>
        </is>
      </c>
      <c r="F34" s="27" t="n">
        <v>1</v>
      </c>
      <c r="G34" s="30" t="n"/>
      <c r="H34" s="19" t="n"/>
      <c r="I34" s="27" t="n">
        <v>1</v>
      </c>
      <c r="J34" s="19" t="inlineStr">
        <is>
          <t>קידוש</t>
        </is>
      </c>
      <c r="K34" s="20" t="n"/>
    </row>
    <row r="35" ht="30" customHeight="1">
      <c r="A35" s="27" t="inlineStr">
        <is>
          <t>תורנות שבת</t>
        </is>
      </c>
      <c r="B35" s="31" t="inlineStr">
        <is>
          <t>שבת</t>
        </is>
      </c>
      <c r="C35" s="29" t="n">
        <v>0.4375</v>
      </c>
      <c r="D35" s="19" t="inlineStr">
        <is>
          <t>בית מדרש · קידוש</t>
        </is>
      </c>
      <c r="E35" s="20" t="inlineStr">
        <is>
          <t>חיתוך האבטיח</t>
        </is>
      </c>
      <c r="F35" s="27" t="n">
        <v>1</v>
      </c>
      <c r="G35" s="30" t="n"/>
      <c r="H35" s="19" t="n"/>
      <c r="I35" s="27" t="n">
        <v>1</v>
      </c>
      <c r="J35" s="19" t="inlineStr">
        <is>
          <t>קידוש</t>
        </is>
      </c>
      <c r="K35" s="20" t="n"/>
    </row>
    <row r="36" ht="30" customHeight="1">
      <c r="A36" s="27" t="inlineStr">
        <is>
          <t>תורנות שבת</t>
        </is>
      </c>
      <c r="B36" s="31" t="inlineStr">
        <is>
          <t>שבת</t>
        </is>
      </c>
      <c r="C36" s="29" t="n">
        <v>0.4583333333333333</v>
      </c>
      <c r="D36" s="19" t="inlineStr">
        <is>
          <t>בית מדרש · צהריים בשבת</t>
        </is>
      </c>
      <c r="E36" s="20" t="inlineStr">
        <is>
          <t>הנחת האוכל בתנור החימום</t>
        </is>
      </c>
      <c r="F36" s="27" t="n">
        <v>1</v>
      </c>
      <c r="G36" s="30" t="n"/>
      <c r="H36" s="19" t="n"/>
      <c r="I36" s="27" t="n">
        <v>1</v>
      </c>
      <c r="J36" s="19" t="inlineStr">
        <is>
          <t>קידוש</t>
        </is>
      </c>
      <c r="K36" s="20" t="n"/>
    </row>
    <row r="37" ht="30" customHeight="1">
      <c r="A37" s="27" t="inlineStr">
        <is>
          <t>תורנות שבת</t>
        </is>
      </c>
      <c r="B37" s="31" t="inlineStr">
        <is>
          <t>שבת</t>
        </is>
      </c>
      <c r="C37" s="29" t="n">
        <v>0.4583333333333333</v>
      </c>
      <c r="D37" s="19" t="inlineStr">
        <is>
          <t>בית מדרש · צהריים בשבת</t>
        </is>
      </c>
      <c r="E37" s="20" t="inlineStr">
        <is>
          <t>הכנת סלט כרוב — חצי כמות לארוחת הצהריים</t>
        </is>
      </c>
      <c r="F37" s="27" t="n">
        <v>2</v>
      </c>
      <c r="G37" s="30" t="n"/>
      <c r="H37" s="19" t="inlineStr">
        <is>
          <t>סלט כרוב מרענן</t>
        </is>
      </c>
      <c r="I37" s="27" t="n">
        <v>1</v>
      </c>
      <c r="J37" s="19" t="inlineStr">
        <is>
          <t>קידוש</t>
        </is>
      </c>
      <c r="K37" s="20" t="n"/>
    </row>
    <row r="38" ht="30" customHeight="1">
      <c r="A38" s="27" t="inlineStr">
        <is>
          <t>תורנות שבת</t>
        </is>
      </c>
      <c r="B38" s="31" t="inlineStr">
        <is>
          <t>שבת</t>
        </is>
      </c>
      <c r="C38" s="29" t="n">
        <v>0.4583333333333333</v>
      </c>
      <c r="D38" s="19" t="inlineStr">
        <is>
          <t>בית מדרש · צהריים בשבת</t>
        </is>
      </c>
      <c r="E38" s="20" t="inlineStr">
        <is>
          <t>הכנת סלט טחינה — חצי כמות לארוחת הצהריים</t>
        </is>
      </c>
      <c r="F38" s="27" t="n">
        <v>1</v>
      </c>
      <c r="G38" s="30" t="n"/>
      <c r="H38" s="19" t="inlineStr">
        <is>
          <t>סלט טחינה ביתית</t>
        </is>
      </c>
      <c r="I38" s="27" t="n">
        <v>1</v>
      </c>
      <c r="J38" s="19" t="inlineStr">
        <is>
          <t>קידוש</t>
        </is>
      </c>
      <c r="K38" s="20" t="n"/>
    </row>
    <row r="39" ht="30" customHeight="1">
      <c r="A39" s="27" t="inlineStr">
        <is>
          <t>תורנות שבת</t>
        </is>
      </c>
      <c r="B39" s="31" t="inlineStr">
        <is>
          <t>שבת</t>
        </is>
      </c>
      <c r="C39" s="29" t="n">
        <v>0.5208333333333334</v>
      </c>
      <c r="D39" s="19" t="inlineStr">
        <is>
          <t>בית מדרש · צהריים בשבת</t>
        </is>
      </c>
      <c r="E39" s="20" t="inlineStr">
        <is>
          <t>פריסת האוכל, כפות הגשה, צלחות וסכו"ם</t>
        </is>
      </c>
      <c r="F39" s="27" t="n">
        <v>2</v>
      </c>
      <c r="G39" s="30" t="n"/>
      <c r="H39" s="19" t="n"/>
      <c r="I39" s="27" t="n">
        <v>1</v>
      </c>
      <c r="J39" s="19" t="inlineStr">
        <is>
          <t>חבורות</t>
        </is>
      </c>
      <c r="K39" s="20" t="n"/>
    </row>
    <row r="40" ht="30" customHeight="1">
      <c r="A40" s="27" t="inlineStr">
        <is>
          <t>תורנות שבת</t>
        </is>
      </c>
      <c r="B40" s="31" t="inlineStr">
        <is>
          <t>שבת</t>
        </is>
      </c>
      <c r="C40" s="29" t="n">
        <v>0.5208333333333334</v>
      </c>
      <c r="D40" s="19" t="inlineStr">
        <is>
          <t>בית מדרש · צהריים בשבת</t>
        </is>
      </c>
      <c r="E40" s="20" t="inlineStr">
        <is>
          <t>סידור שולחנות וכיסאות לארוחה, ופינוי הכל בסיום</t>
        </is>
      </c>
      <c r="F40" s="27" t="n">
        <v>3</v>
      </c>
      <c r="G40" s="30" t="n"/>
      <c r="H40" s="19" t="n"/>
      <c r="I40" s="27" t="n">
        <v>1</v>
      </c>
      <c r="J40" s="19" t="inlineStr">
        <is>
          <t>חבורות</t>
        </is>
      </c>
      <c r="K40" s="20" t="n"/>
    </row>
    <row r="41" ht="30" customHeight="1">
      <c r="A41" s="27" t="inlineStr">
        <is>
          <t>תורנות שבת</t>
        </is>
      </c>
      <c r="B41" s="32" t="inlineStr">
        <is>
          <t>מוצאי שבת</t>
        </is>
      </c>
      <c r="C41" s="29" t="n"/>
      <c r="D41" s="19" t="n"/>
      <c r="E41" s="20" t="inlineStr">
        <is>
          <t>כולם בבית המדרש לחלוקת גזרות</t>
        </is>
      </c>
      <c r="F41" s="27" t="n"/>
      <c r="G41" s="30" t="n"/>
      <c r="H41" s="19" t="n"/>
      <c r="I41" s="27" t="n">
        <v>1</v>
      </c>
      <c r="J41" s="19" t="inlineStr">
        <is>
          <t>ניקיונות מוצ"ש</t>
        </is>
      </c>
      <c r="K41" s="20" t="n"/>
    </row>
    <row r="42" ht="18" customHeight="1">
      <c r="A42" s="27" t="n"/>
      <c r="B42" s="27" t="n"/>
      <c r="C42" s="29" t="n"/>
      <c r="D42" s="19" t="n"/>
      <c r="E42" s="20" t="n"/>
      <c r="F42" s="27" t="n"/>
      <c r="G42" s="30" t="n"/>
      <c r="H42" s="19" t="n"/>
      <c r="I42" s="27" t="n"/>
      <c r="J42" s="19" t="n"/>
      <c r="K42" s="20" t="n"/>
    </row>
    <row r="43" ht="18" customHeight="1">
      <c r="A43" s="27" t="n"/>
      <c r="B43" s="27" t="n"/>
      <c r="C43" s="29" t="n"/>
      <c r="D43" s="19" t="n"/>
      <c r="E43" s="20" t="n"/>
      <c r="F43" s="27" t="n"/>
      <c r="G43" s="30" t="n"/>
      <c r="H43" s="19" t="n"/>
      <c r="I43" s="27" t="n"/>
      <c r="J43" s="19" t="n"/>
      <c r="K43" s="20" t="n"/>
    </row>
    <row r="44" ht="18" customHeight="1">
      <c r="A44" s="27" t="n"/>
      <c r="B44" s="27" t="n"/>
      <c r="C44" s="29" t="n"/>
      <c r="D44" s="19" t="n"/>
      <c r="E44" s="20" t="n"/>
      <c r="F44" s="27" t="n"/>
      <c r="G44" s="30" t="n"/>
      <c r="H44" s="19" t="n"/>
      <c r="I44" s="27" t="n"/>
      <c r="J44" s="19" t="n"/>
      <c r="K44" s="20" t="n"/>
    </row>
    <row r="45" ht="18" customHeight="1">
      <c r="A45" s="27" t="n"/>
      <c r="B45" s="27" t="n"/>
      <c r="C45" s="29" t="n"/>
      <c r="D45" s="19" t="n"/>
      <c r="E45" s="20" t="n"/>
      <c r="F45" s="27" t="n"/>
      <c r="G45" s="30" t="n"/>
      <c r="H45" s="19" t="n"/>
      <c r="I45" s="27" t="n"/>
      <c r="J45" s="19" t="n"/>
      <c r="K45" s="20" t="n"/>
    </row>
    <row r="46" ht="18" customHeight="1">
      <c r="A46" s="27" t="n"/>
      <c r="B46" s="27" t="n"/>
      <c r="C46" s="29" t="n"/>
      <c r="D46" s="19" t="n"/>
      <c r="E46" s="20" t="n"/>
      <c r="F46" s="27" t="n"/>
      <c r="G46" s="30" t="n"/>
      <c r="H46" s="19" t="n"/>
      <c r="I46" s="27" t="n"/>
      <c r="J46" s="19" t="n"/>
      <c r="K46" s="20" t="n"/>
    </row>
    <row r="47" ht="18" customHeight="1">
      <c r="A47" s="27" t="n"/>
      <c r="B47" s="27" t="n"/>
      <c r="C47" s="29" t="n"/>
      <c r="D47" s="19" t="n"/>
      <c r="E47" s="20" t="n"/>
      <c r="F47" s="27" t="n"/>
      <c r="G47" s="30" t="n"/>
      <c r="H47" s="19" t="n"/>
      <c r="I47" s="27" t="n"/>
      <c r="J47" s="19" t="n"/>
      <c r="K47" s="20" t="n"/>
    </row>
    <row r="48" ht="18" customHeight="1">
      <c r="A48" s="27" t="n"/>
      <c r="B48" s="27" t="n"/>
      <c r="C48" s="29" t="n"/>
      <c r="D48" s="19" t="n"/>
      <c r="E48" s="20" t="n"/>
      <c r="F48" s="27" t="n"/>
      <c r="G48" s="30" t="n"/>
      <c r="H48" s="19" t="n"/>
      <c r="I48" s="27" t="n"/>
      <c r="J48" s="19" t="n"/>
      <c r="K48" s="20" t="n"/>
    </row>
    <row r="49" ht="18" customHeight="1">
      <c r="A49" s="27" t="n"/>
      <c r="B49" s="27" t="n"/>
      <c r="C49" s="29" t="n"/>
      <c r="D49" s="19" t="n"/>
      <c r="E49" s="20" t="n"/>
      <c r="F49" s="27" t="n"/>
      <c r="G49" s="30" t="n"/>
      <c r="H49" s="19" t="n"/>
      <c r="I49" s="27" t="n"/>
      <c r="J49" s="19" t="n"/>
      <c r="K49" s="20" t="n"/>
    </row>
    <row r="50" ht="18" customHeight="1">
      <c r="A50" s="27" t="n"/>
      <c r="B50" s="27" t="n"/>
      <c r="C50" s="29" t="n"/>
      <c r="D50" s="19" t="n"/>
      <c r="E50" s="20" t="n"/>
      <c r="F50" s="27" t="n"/>
      <c r="G50" s="30" t="n"/>
      <c r="H50" s="19" t="n"/>
      <c r="I50" s="27" t="n"/>
      <c r="J50" s="19" t="n"/>
      <c r="K50" s="20" t="n"/>
    </row>
    <row r="51" ht="18" customHeight="1">
      <c r="A51" s="27" t="n"/>
      <c r="B51" s="27" t="n"/>
      <c r="C51" s="29" t="n"/>
      <c r="D51" s="19" t="n"/>
      <c r="E51" s="20" t="n"/>
      <c r="F51" s="27" t="n"/>
      <c r="G51" s="30" t="n"/>
      <c r="H51" s="19" t="n"/>
      <c r="I51" s="27" t="n"/>
      <c r="J51" s="19" t="n"/>
      <c r="K51" s="20" t="n"/>
    </row>
    <row r="52" ht="18" customHeight="1">
      <c r="A52" s="27" t="n"/>
      <c r="B52" s="27" t="n"/>
      <c r="C52" s="29" t="n"/>
      <c r="D52" s="19" t="n"/>
      <c r="E52" s="20" t="n"/>
      <c r="F52" s="27" t="n"/>
      <c r="G52" s="30" t="n"/>
      <c r="H52" s="19" t="n"/>
      <c r="I52" s="27" t="n"/>
      <c r="J52" s="19" t="n"/>
      <c r="K52" s="20" t="n"/>
    </row>
    <row r="53" ht="18" customHeight="1">
      <c r="A53" s="27" t="n"/>
      <c r="B53" s="27" t="n"/>
      <c r="C53" s="29" t="n"/>
      <c r="D53" s="19" t="n"/>
      <c r="E53" s="20" t="n"/>
      <c r="F53" s="27" t="n"/>
      <c r="G53" s="30" t="n"/>
      <c r="H53" s="19" t="n"/>
      <c r="I53" s="27" t="n"/>
      <c r="J53" s="19" t="n"/>
      <c r="K53" s="20" t="n"/>
    </row>
    <row r="54" ht="18" customHeight="1">
      <c r="A54" s="27" t="n"/>
      <c r="B54" s="27" t="n"/>
      <c r="C54" s="29" t="n"/>
      <c r="D54" s="19" t="n"/>
      <c r="E54" s="20" t="n"/>
      <c r="F54" s="27" t="n"/>
      <c r="G54" s="30" t="n"/>
      <c r="H54" s="19" t="n"/>
      <c r="I54" s="27" t="n"/>
      <c r="J54" s="19" t="n"/>
      <c r="K54" s="20" t="n"/>
    </row>
    <row r="55" ht="18" customHeight="1">
      <c r="A55" s="27" t="n"/>
      <c r="B55" s="27" t="n"/>
      <c r="C55" s="29" t="n"/>
      <c r="D55" s="19" t="n"/>
      <c r="E55" s="20" t="n"/>
      <c r="F55" s="27" t="n"/>
      <c r="G55" s="30" t="n"/>
      <c r="H55" s="19" t="n"/>
      <c r="I55" s="27" t="n"/>
      <c r="J55" s="19" t="n"/>
      <c r="K55" s="20" t="n"/>
    </row>
    <row r="56" ht="18" customHeight="1">
      <c r="A56" s="27" t="n"/>
      <c r="B56" s="27" t="n"/>
      <c r="C56" s="29" t="n"/>
      <c r="D56" s="19" t="n"/>
      <c r="E56" s="20" t="n"/>
      <c r="F56" s="27" t="n"/>
      <c r="G56" s="30" t="n"/>
      <c r="H56" s="19" t="n"/>
      <c r="I56" s="27" t="n"/>
      <c r="J56" s="19" t="n"/>
      <c r="K56" s="20" t="n"/>
    </row>
    <row r="57" ht="18" customHeight="1">
      <c r="A57" s="27" t="n"/>
      <c r="B57" s="27" t="n"/>
      <c r="C57" s="29" t="n"/>
      <c r="D57" s="19" t="n"/>
      <c r="E57" s="20" t="n"/>
      <c r="F57" s="27" t="n"/>
      <c r="G57" s="30" t="n"/>
      <c r="H57" s="19" t="n"/>
      <c r="I57" s="27" t="n"/>
      <c r="J57" s="19" t="n"/>
      <c r="K57" s="20" t="n"/>
    </row>
    <row r="58" ht="18" customHeight="1">
      <c r="A58" s="27" t="n"/>
      <c r="B58" s="27" t="n"/>
      <c r="C58" s="29" t="n"/>
      <c r="D58" s="19" t="n"/>
      <c r="E58" s="20" t="n"/>
      <c r="F58" s="27" t="n"/>
      <c r="G58" s="30" t="n"/>
      <c r="H58" s="19" t="n"/>
      <c r="I58" s="27" t="n"/>
      <c r="J58" s="19" t="n"/>
      <c r="K58" s="20" t="n"/>
    </row>
    <row r="59" ht="18" customHeight="1">
      <c r="A59" s="27" t="n"/>
      <c r="B59" s="27" t="n"/>
      <c r="C59" s="29" t="n"/>
      <c r="D59" s="19" t="n"/>
      <c r="E59" s="20" t="n"/>
      <c r="F59" s="27" t="n"/>
      <c r="G59" s="30" t="n"/>
      <c r="H59" s="19" t="n"/>
      <c r="I59" s="27" t="n"/>
      <c r="J59" s="19" t="n"/>
      <c r="K59" s="20" t="n"/>
    </row>
    <row r="60" ht="18" customHeight="1">
      <c r="A60" s="27" t="n"/>
      <c r="B60" s="27" t="n"/>
      <c r="C60" s="29" t="n"/>
      <c r="D60" s="19" t="n"/>
      <c r="E60" s="20" t="n"/>
      <c r="F60" s="27" t="n"/>
      <c r="G60" s="30" t="n"/>
      <c r="H60" s="19" t="n"/>
      <c r="I60" s="27" t="n"/>
      <c r="J60" s="19" t="n"/>
      <c r="K60" s="20" t="n"/>
    </row>
    <row r="61" ht="18" customHeight="1">
      <c r="A61" s="27" t="n"/>
      <c r="B61" s="27" t="n"/>
      <c r="C61" s="29" t="n"/>
      <c r="D61" s="19" t="n"/>
      <c r="E61" s="20" t="n"/>
      <c r="F61" s="27" t="n"/>
      <c r="G61" s="30" t="n"/>
      <c r="H61" s="19" t="n"/>
      <c r="I61" s="27" t="n"/>
      <c r="J61" s="19" t="n"/>
      <c r="K61" s="20" t="n"/>
    </row>
    <row r="62" ht="18" customHeight="1">
      <c r="A62" s="27" t="n"/>
      <c r="B62" s="27" t="n"/>
      <c r="C62" s="29" t="n"/>
      <c r="D62" s="19" t="n"/>
      <c r="E62" s="20" t="n"/>
      <c r="F62" s="27" t="n"/>
      <c r="G62" s="30" t="n"/>
      <c r="H62" s="19" t="n"/>
      <c r="I62" s="27" t="n"/>
      <c r="J62" s="19" t="n"/>
      <c r="K62" s="20" t="n"/>
    </row>
    <row r="63" ht="18" customHeight="1">
      <c r="A63" s="27" t="n"/>
      <c r="B63" s="27" t="n"/>
      <c r="C63" s="29" t="n"/>
      <c r="D63" s="19" t="n"/>
      <c r="E63" s="20" t="n"/>
      <c r="F63" s="27" t="n"/>
      <c r="G63" s="30" t="n"/>
      <c r="H63" s="19" t="n"/>
      <c r="I63" s="27" t="n"/>
      <c r="J63" s="19" t="n"/>
      <c r="K63" s="20" t="n"/>
    </row>
    <row r="64" ht="18" customHeight="1">
      <c r="A64" s="27" t="n"/>
      <c r="B64" s="27" t="n"/>
      <c r="C64" s="29" t="n"/>
      <c r="D64" s="19" t="n"/>
      <c r="E64" s="20" t="n"/>
      <c r="F64" s="27" t="n"/>
      <c r="G64" s="30" t="n"/>
      <c r="H64" s="19" t="n"/>
      <c r="I64" s="27" t="n"/>
      <c r="J64" s="19" t="n"/>
      <c r="K64" s="20" t="n"/>
    </row>
    <row r="65" ht="18" customHeight="1">
      <c r="A65" s="27" t="n"/>
      <c r="B65" s="27" t="n"/>
      <c r="C65" s="29" t="n"/>
      <c r="D65" s="19" t="n"/>
      <c r="E65" s="20" t="n"/>
      <c r="F65" s="27" t="n"/>
      <c r="G65" s="30" t="n"/>
      <c r="H65" s="19" t="n"/>
      <c r="I65" s="27" t="n"/>
      <c r="J65" s="19" t="n"/>
      <c r="K65" s="20" t="n"/>
    </row>
    <row r="66" ht="18" customHeight="1">
      <c r="A66" s="27" t="n"/>
      <c r="B66" s="27" t="n"/>
      <c r="C66" s="29" t="n"/>
      <c r="D66" s="19" t="n"/>
      <c r="E66" s="20" t="n"/>
      <c r="F66" s="27" t="n"/>
      <c r="G66" s="30" t="n"/>
      <c r="H66" s="19" t="n"/>
      <c r="I66" s="27" t="n"/>
      <c r="J66" s="19" t="n"/>
      <c r="K66" s="20" t="n"/>
    </row>
    <row r="67" ht="18" customHeight="1">
      <c r="A67" s="27" t="n"/>
      <c r="B67" s="27" t="n"/>
      <c r="C67" s="29" t="n"/>
      <c r="D67" s="19" t="n"/>
      <c r="E67" s="20" t="n"/>
      <c r="F67" s="27" t="n"/>
      <c r="G67" s="30" t="n"/>
      <c r="H67" s="19" t="n"/>
      <c r="I67" s="27" t="n"/>
      <c r="J67" s="19" t="n"/>
      <c r="K67" s="20" t="n"/>
    </row>
    <row r="68" ht="18" customHeight="1">
      <c r="A68" s="27" t="n"/>
      <c r="B68" s="27" t="n"/>
      <c r="C68" s="29" t="n"/>
      <c r="D68" s="19" t="n"/>
      <c r="E68" s="20" t="n"/>
      <c r="F68" s="27" t="n"/>
      <c r="G68" s="30" t="n"/>
      <c r="H68" s="19" t="n"/>
      <c r="I68" s="27" t="n"/>
      <c r="J68" s="19" t="n"/>
      <c r="K68" s="20" t="n"/>
    </row>
    <row r="69" ht="18" customHeight="1">
      <c r="A69" s="27" t="n"/>
      <c r="B69" s="27" t="n"/>
      <c r="C69" s="29" t="n"/>
      <c r="D69" s="19" t="n"/>
      <c r="E69" s="20" t="n"/>
      <c r="F69" s="27" t="n"/>
      <c r="G69" s="30" t="n"/>
      <c r="H69" s="19" t="n"/>
      <c r="I69" s="27" t="n"/>
      <c r="J69" s="19" t="n"/>
      <c r="K69" s="20" t="n"/>
    </row>
    <row r="70" ht="18" customHeight="1">
      <c r="A70" s="27" t="n"/>
      <c r="B70" s="27" t="n"/>
      <c r="C70" s="29" t="n"/>
      <c r="D70" s="19" t="n"/>
      <c r="E70" s="20" t="n"/>
      <c r="F70" s="27" t="n"/>
      <c r="G70" s="30" t="n"/>
      <c r="H70" s="19" t="n"/>
      <c r="I70" s="27" t="n"/>
      <c r="J70" s="19" t="n"/>
      <c r="K70" s="20" t="n"/>
    </row>
    <row r="71" ht="18" customHeight="1">
      <c r="A71" s="27" t="n"/>
      <c r="B71" s="27" t="n"/>
      <c r="C71" s="29" t="n"/>
      <c r="D71" s="19" t="n"/>
      <c r="E71" s="20" t="n"/>
      <c r="F71" s="27" t="n"/>
      <c r="G71" s="30" t="n"/>
      <c r="H71" s="19" t="n"/>
      <c r="I71" s="27" t="n"/>
      <c r="J71" s="19" t="n"/>
      <c r="K71" s="20" t="n"/>
    </row>
    <row r="72" ht="18" customHeight="1">
      <c r="A72" s="27" t="n"/>
      <c r="B72" s="27" t="n"/>
      <c r="C72" s="29" t="n"/>
      <c r="D72" s="19" t="n"/>
      <c r="E72" s="20" t="n"/>
      <c r="F72" s="27" t="n"/>
      <c r="G72" s="30" t="n"/>
      <c r="H72" s="19" t="n"/>
      <c r="I72" s="27" t="n"/>
      <c r="J72" s="19" t="n"/>
      <c r="K72" s="20" t="n"/>
    </row>
    <row r="73" ht="18" customHeight="1">
      <c r="A73" s="27" t="n"/>
      <c r="B73" s="27" t="n"/>
      <c r="C73" s="29" t="n"/>
      <c r="D73" s="19" t="n"/>
      <c r="E73" s="20" t="n"/>
      <c r="F73" s="27" t="n"/>
      <c r="G73" s="30" t="n"/>
      <c r="H73" s="19" t="n"/>
      <c r="I73" s="27" t="n"/>
      <c r="J73" s="19" t="n"/>
      <c r="K73" s="20" t="n"/>
    </row>
    <row r="74" ht="18" customHeight="1">
      <c r="A74" s="27" t="n"/>
      <c r="B74" s="27" t="n"/>
      <c r="C74" s="29" t="n"/>
      <c r="D74" s="19" t="n"/>
      <c r="E74" s="20" t="n"/>
      <c r="F74" s="27" t="n"/>
      <c r="G74" s="30" t="n"/>
      <c r="H74" s="19" t="n"/>
      <c r="I74" s="27" t="n"/>
      <c r="J74" s="19" t="n"/>
      <c r="K74" s="20" t="n"/>
    </row>
    <row r="75" ht="18" customHeight="1">
      <c r="A75" s="27" t="n"/>
      <c r="B75" s="27" t="n"/>
      <c r="C75" s="29" t="n"/>
      <c r="D75" s="19" t="n"/>
      <c r="E75" s="20" t="n"/>
      <c r="F75" s="27" t="n"/>
      <c r="G75" s="30" t="n"/>
      <c r="H75" s="19" t="n"/>
      <c r="I75" s="27" t="n"/>
      <c r="J75" s="19" t="n"/>
      <c r="K75" s="20" t="n"/>
    </row>
    <row r="76" ht="18" customHeight="1">
      <c r="A76" s="27" t="n"/>
      <c r="B76" s="27" t="n"/>
      <c r="C76" s="29" t="n"/>
      <c r="D76" s="19" t="n"/>
      <c r="E76" s="20" t="n"/>
      <c r="F76" s="27" t="n"/>
      <c r="G76" s="30" t="n"/>
      <c r="H76" s="19" t="n"/>
      <c r="I76" s="27" t="n"/>
      <c r="J76" s="19" t="n"/>
      <c r="K76" s="20" t="n"/>
    </row>
    <row r="77" ht="18" customHeight="1">
      <c r="A77" s="27" t="n"/>
      <c r="B77" s="27" t="n"/>
      <c r="C77" s="29" t="n"/>
      <c r="D77" s="19" t="n"/>
      <c r="E77" s="20" t="n"/>
      <c r="F77" s="27" t="n"/>
      <c r="G77" s="30" t="n"/>
      <c r="H77" s="19" t="n"/>
      <c r="I77" s="27" t="n"/>
      <c r="J77" s="19" t="n"/>
      <c r="K77" s="20" t="n"/>
    </row>
    <row r="78" ht="18" customHeight="1">
      <c r="A78" s="27" t="n"/>
      <c r="B78" s="27" t="n"/>
      <c r="C78" s="29" t="n"/>
      <c r="D78" s="19" t="n"/>
      <c r="E78" s="20" t="n"/>
      <c r="F78" s="27" t="n"/>
      <c r="G78" s="30" t="n"/>
      <c r="H78" s="19" t="n"/>
      <c r="I78" s="27" t="n"/>
      <c r="J78" s="19" t="n"/>
      <c r="K78" s="20" t="n"/>
    </row>
    <row r="79" ht="18" customHeight="1">
      <c r="A79" s="27" t="n"/>
      <c r="B79" s="27" t="n"/>
      <c r="C79" s="29" t="n"/>
      <c r="D79" s="19" t="n"/>
      <c r="E79" s="20" t="n"/>
      <c r="F79" s="27" t="n"/>
      <c r="G79" s="30" t="n"/>
      <c r="H79" s="19" t="n"/>
      <c r="I79" s="27" t="n"/>
      <c r="J79" s="19" t="n"/>
      <c r="K79" s="20" t="n"/>
    </row>
    <row r="80" ht="18" customHeight="1">
      <c r="A80" s="27" t="n"/>
      <c r="B80" s="27" t="n"/>
      <c r="C80" s="29" t="n"/>
      <c r="D80" s="19" t="n"/>
      <c r="E80" s="20" t="n"/>
      <c r="F80" s="27" t="n"/>
      <c r="G80" s="30" t="n"/>
      <c r="H80" s="19" t="n"/>
      <c r="I80" s="27" t="n"/>
      <c r="J80" s="19" t="n"/>
      <c r="K80" s="20" t="n"/>
    </row>
    <row r="81" ht="18" customHeight="1">
      <c r="A81" s="27" t="n"/>
      <c r="B81" s="27" t="n"/>
      <c r="C81" s="29" t="n"/>
      <c r="D81" s="19" t="n"/>
      <c r="E81" s="20" t="n"/>
      <c r="F81" s="27" t="n"/>
      <c r="G81" s="30" t="n"/>
      <c r="H81" s="19" t="n"/>
      <c r="I81" s="27" t="n"/>
      <c r="J81" s="19" t="n"/>
      <c r="K81" s="20" t="n"/>
    </row>
    <row r="82" ht="18" customHeight="1">
      <c r="A82" s="27" t="n"/>
      <c r="B82" s="27" t="n"/>
      <c r="C82" s="29" t="n"/>
      <c r="D82" s="19" t="n"/>
      <c r="E82" s="20" t="n"/>
      <c r="F82" s="27" t="n"/>
      <c r="G82" s="30" t="n"/>
      <c r="H82" s="19" t="n"/>
      <c r="I82" s="27" t="n"/>
      <c r="J82" s="19" t="n"/>
      <c r="K82" s="20" t="n"/>
    </row>
    <row r="83" ht="18" customHeight="1">
      <c r="A83" s="27" t="n"/>
      <c r="B83" s="27" t="n"/>
      <c r="C83" s="29" t="n"/>
      <c r="D83" s="19" t="n"/>
      <c r="E83" s="20" t="n"/>
      <c r="F83" s="27" t="n"/>
      <c r="G83" s="30" t="n"/>
      <c r="H83" s="19" t="n"/>
      <c r="I83" s="27" t="n"/>
      <c r="J83" s="19" t="n"/>
      <c r="K83" s="20" t="n"/>
    </row>
    <row r="84" ht="18" customHeight="1">
      <c r="A84" s="27" t="n"/>
      <c r="B84" s="27" t="n"/>
      <c r="C84" s="29" t="n"/>
      <c r="D84" s="19" t="n"/>
      <c r="E84" s="20" t="n"/>
      <c r="F84" s="27" t="n"/>
      <c r="G84" s="30" t="n"/>
      <c r="H84" s="19" t="n"/>
      <c r="I84" s="27" t="n"/>
      <c r="J84" s="19" t="n"/>
      <c r="K84" s="20" t="n"/>
    </row>
    <row r="85" ht="18" customHeight="1">
      <c r="A85" s="27" t="n"/>
      <c r="B85" s="27" t="n"/>
      <c r="C85" s="29" t="n"/>
      <c r="D85" s="19" t="n"/>
      <c r="E85" s="20" t="n"/>
      <c r="F85" s="27" t="n"/>
      <c r="G85" s="30" t="n"/>
      <c r="H85" s="19" t="n"/>
      <c r="I85" s="27" t="n"/>
      <c r="J85" s="19" t="n"/>
      <c r="K85" s="20" t="n"/>
    </row>
    <row r="86" ht="18" customHeight="1">
      <c r="A86" s="27" t="n"/>
      <c r="B86" s="27" t="n"/>
      <c r="C86" s="29" t="n"/>
      <c r="D86" s="19" t="n"/>
      <c r="E86" s="20" t="n"/>
      <c r="F86" s="27" t="n"/>
      <c r="G86" s="30" t="n"/>
      <c r="H86" s="19" t="n"/>
      <c r="I86" s="27" t="n"/>
      <c r="J86" s="19" t="n"/>
      <c r="K86" s="20" t="n"/>
    </row>
    <row r="87" ht="18" customHeight="1">
      <c r="A87" s="27" t="n"/>
      <c r="B87" s="27" t="n"/>
      <c r="C87" s="29" t="n"/>
      <c r="D87" s="19" t="n"/>
      <c r="E87" s="20" t="n"/>
      <c r="F87" s="27" t="n"/>
      <c r="G87" s="30" t="n"/>
      <c r="H87" s="19" t="n"/>
      <c r="I87" s="27" t="n"/>
      <c r="J87" s="19" t="n"/>
      <c r="K87" s="20" t="n"/>
    </row>
    <row r="88" ht="18" customHeight="1">
      <c r="A88" s="27" t="n"/>
      <c r="B88" s="27" t="n"/>
      <c r="C88" s="29" t="n"/>
      <c r="D88" s="19" t="n"/>
      <c r="E88" s="20" t="n"/>
      <c r="F88" s="27" t="n"/>
      <c r="G88" s="30" t="n"/>
      <c r="H88" s="19" t="n"/>
      <c r="I88" s="27" t="n"/>
      <c r="J88" s="19" t="n"/>
      <c r="K88" s="20" t="n"/>
    </row>
    <row r="89" ht="18" customHeight="1">
      <c r="A89" s="27" t="n"/>
      <c r="B89" s="27" t="n"/>
      <c r="C89" s="29" t="n"/>
      <c r="D89" s="19" t="n"/>
      <c r="E89" s="20" t="n"/>
      <c r="F89" s="27" t="n"/>
      <c r="G89" s="30" t="n"/>
      <c r="H89" s="19" t="n"/>
      <c r="I89" s="27" t="n"/>
      <c r="J89" s="19" t="n"/>
      <c r="K89" s="20" t="n"/>
    </row>
    <row r="90" ht="18" customHeight="1">
      <c r="A90" s="27" t="n"/>
      <c r="B90" s="27" t="n"/>
      <c r="C90" s="29" t="n"/>
      <c r="D90" s="19" t="n"/>
      <c r="E90" s="20" t="n"/>
      <c r="F90" s="27" t="n"/>
      <c r="G90" s="30" t="n"/>
      <c r="H90" s="19" t="n"/>
      <c r="I90" s="27" t="n"/>
      <c r="J90" s="19" t="n"/>
      <c r="K90" s="20" t="n"/>
    </row>
    <row r="91" ht="18" customHeight="1">
      <c r="A91" s="27" t="n"/>
      <c r="B91" s="27" t="n"/>
      <c r="C91" s="29" t="n"/>
      <c r="D91" s="19" t="n"/>
      <c r="E91" s="20" t="n"/>
      <c r="F91" s="27" t="n"/>
      <c r="G91" s="30" t="n"/>
      <c r="H91" s="19" t="n"/>
      <c r="I91" s="27" t="n"/>
      <c r="J91" s="19" t="n"/>
      <c r="K91" s="20" t="n"/>
    </row>
    <row r="92" ht="18" customHeight="1">
      <c r="A92" s="27" t="n"/>
      <c r="B92" s="27" t="n"/>
      <c r="C92" s="29" t="n"/>
      <c r="D92" s="19" t="n"/>
      <c r="E92" s="20" t="n"/>
      <c r="F92" s="27" t="n"/>
      <c r="G92" s="30" t="n"/>
      <c r="H92" s="19" t="n"/>
      <c r="I92" s="27" t="n"/>
      <c r="J92" s="19" t="n"/>
      <c r="K92" s="20" t="n"/>
    </row>
    <row r="93" ht="18" customHeight="1">
      <c r="A93" s="27" t="n"/>
      <c r="B93" s="27" t="n"/>
      <c r="C93" s="29" t="n"/>
      <c r="D93" s="19" t="n"/>
      <c r="E93" s="20" t="n"/>
      <c r="F93" s="27" t="n"/>
      <c r="G93" s="30" t="n"/>
      <c r="H93" s="19" t="n"/>
      <c r="I93" s="27" t="n"/>
      <c r="J93" s="19" t="n"/>
      <c r="K93" s="20" t="n"/>
    </row>
    <row r="94" ht="18" customHeight="1">
      <c r="A94" s="27" t="n"/>
      <c r="B94" s="27" t="n"/>
      <c r="C94" s="29" t="n"/>
      <c r="D94" s="19" t="n"/>
      <c r="E94" s="20" t="n"/>
      <c r="F94" s="27" t="n"/>
      <c r="G94" s="30" t="n"/>
      <c r="H94" s="19" t="n"/>
      <c r="I94" s="27" t="n"/>
      <c r="J94" s="19" t="n"/>
      <c r="K94" s="20" t="n"/>
    </row>
    <row r="95" ht="18" customHeight="1">
      <c r="A95" s="27" t="n"/>
      <c r="B95" s="27" t="n"/>
      <c r="C95" s="29" t="n"/>
      <c r="D95" s="19" t="n"/>
      <c r="E95" s="20" t="n"/>
      <c r="F95" s="27" t="n"/>
      <c r="G95" s="30" t="n"/>
      <c r="H95" s="19" t="n"/>
      <c r="I95" s="27" t="n"/>
      <c r="J95" s="19" t="n"/>
      <c r="K95" s="20" t="n"/>
    </row>
    <row r="96" ht="18" customHeight="1">
      <c r="A96" s="27" t="n"/>
      <c r="B96" s="27" t="n"/>
      <c r="C96" s="29" t="n"/>
      <c r="D96" s="19" t="n"/>
      <c r="E96" s="20" t="n"/>
      <c r="F96" s="27" t="n"/>
      <c r="G96" s="30" t="n"/>
      <c r="H96" s="19" t="n"/>
      <c r="I96" s="27" t="n"/>
      <c r="J96" s="19" t="n"/>
      <c r="K96" s="20" t="n"/>
    </row>
    <row r="97" ht="18" customHeight="1">
      <c r="A97" s="27" t="n"/>
      <c r="B97" s="27" t="n"/>
      <c r="C97" s="29" t="n"/>
      <c r="D97" s="19" t="n"/>
      <c r="E97" s="20" t="n"/>
      <c r="F97" s="27" t="n"/>
      <c r="G97" s="30" t="n"/>
      <c r="H97" s="19" t="n"/>
      <c r="I97" s="27" t="n"/>
      <c r="J97" s="19" t="n"/>
      <c r="K97" s="20" t="n"/>
    </row>
    <row r="98" ht="18" customHeight="1">
      <c r="A98" s="27" t="n"/>
      <c r="B98" s="27" t="n"/>
      <c r="C98" s="29" t="n"/>
      <c r="D98" s="19" t="n"/>
      <c r="E98" s="20" t="n"/>
      <c r="F98" s="27" t="n"/>
      <c r="G98" s="30" t="n"/>
      <c r="H98" s="19" t="n"/>
      <c r="I98" s="27" t="n"/>
      <c r="J98" s="19" t="n"/>
      <c r="K98" s="20" t="n"/>
    </row>
    <row r="99" ht="18" customHeight="1">
      <c r="A99" s="27" t="n"/>
      <c r="B99" s="27" t="n"/>
      <c r="C99" s="29" t="n"/>
      <c r="D99" s="19" t="n"/>
      <c r="E99" s="20" t="n"/>
      <c r="F99" s="27" t="n"/>
      <c r="G99" s="30" t="n"/>
      <c r="H99" s="19" t="n"/>
      <c r="I99" s="27" t="n"/>
      <c r="J99" s="19" t="n"/>
      <c r="K99" s="20" t="n"/>
    </row>
    <row r="100" ht="18" customHeight="1">
      <c r="A100" s="27" t="n"/>
      <c r="B100" s="27" t="n"/>
      <c r="C100" s="29" t="n"/>
      <c r="D100" s="19" t="n"/>
      <c r="E100" s="20" t="n"/>
      <c r="F100" s="27" t="n"/>
      <c r="G100" s="30" t="n"/>
      <c r="H100" s="19" t="n"/>
      <c r="I100" s="27" t="n"/>
      <c r="J100" s="19" t="n"/>
      <c r="K100" s="20" t="n"/>
    </row>
    <row r="101" ht="18" customHeight="1">
      <c r="A101" s="27" t="n"/>
      <c r="B101" s="27" t="n"/>
      <c r="C101" s="29" t="n"/>
      <c r="D101" s="19" t="n"/>
      <c r="E101" s="20" t="n"/>
      <c r="F101" s="27" t="n"/>
      <c r="G101" s="30" t="n"/>
      <c r="H101" s="19" t="n"/>
      <c r="I101" s="27" t="n"/>
      <c r="J101" s="19" t="n"/>
      <c r="K101" s="20" t="n"/>
    </row>
    <row r="102" ht="18" customHeight="1">
      <c r="A102" s="27" t="n"/>
      <c r="B102" s="27" t="n"/>
      <c r="C102" s="29" t="n"/>
      <c r="D102" s="19" t="n"/>
      <c r="E102" s="20" t="n"/>
      <c r="F102" s="27" t="n"/>
      <c r="G102" s="30" t="n"/>
      <c r="H102" s="19" t="n"/>
      <c r="I102" s="27" t="n"/>
      <c r="J102" s="19" t="n"/>
      <c r="K102" s="20" t="n"/>
    </row>
    <row r="103" ht="18" customHeight="1">
      <c r="A103" s="27" t="n"/>
      <c r="B103" s="27" t="n"/>
      <c r="C103" s="29" t="n"/>
      <c r="D103" s="19" t="n"/>
      <c r="E103" s="20" t="n"/>
      <c r="F103" s="27" t="n"/>
      <c r="G103" s="30" t="n"/>
      <c r="H103" s="19" t="n"/>
      <c r="I103" s="27" t="n"/>
      <c r="J103" s="19" t="n"/>
      <c r="K103" s="20" t="n"/>
    </row>
    <row r="104" ht="18" customHeight="1">
      <c r="A104" s="27" t="n"/>
      <c r="B104" s="27" t="n"/>
      <c r="C104" s="29" t="n"/>
      <c r="D104" s="19" t="n"/>
      <c r="E104" s="20" t="n"/>
      <c r="F104" s="27" t="n"/>
      <c r="G104" s="30" t="n"/>
      <c r="H104" s="19" t="n"/>
      <c r="I104" s="27" t="n"/>
      <c r="J104" s="19" t="n"/>
      <c r="K104" s="20" t="n"/>
    </row>
    <row r="105" ht="18" customHeight="1">
      <c r="A105" s="27" t="n"/>
      <c r="B105" s="27" t="n"/>
      <c r="C105" s="29" t="n"/>
      <c r="D105" s="19" t="n"/>
      <c r="E105" s="20" t="n"/>
      <c r="F105" s="27" t="n"/>
      <c r="G105" s="30" t="n"/>
      <c r="H105" s="19" t="n"/>
      <c r="I105" s="27" t="n"/>
      <c r="J105" s="19" t="n"/>
      <c r="K105" s="20" t="n"/>
    </row>
    <row r="106" ht="18" customHeight="1">
      <c r="A106" s="27" t="n"/>
      <c r="B106" s="27" t="n"/>
      <c r="C106" s="29" t="n"/>
      <c r="D106" s="19" t="n"/>
      <c r="E106" s="20" t="n"/>
      <c r="F106" s="27" t="n"/>
      <c r="G106" s="30" t="n"/>
      <c r="H106" s="19" t="n"/>
      <c r="I106" s="27" t="n"/>
      <c r="J106" s="19" t="n"/>
      <c r="K106" s="20" t="n"/>
    </row>
    <row r="107" ht="18" customHeight="1">
      <c r="A107" s="27" t="n"/>
      <c r="B107" s="27" t="n"/>
      <c r="C107" s="29" t="n"/>
      <c r="D107" s="19" t="n"/>
      <c r="E107" s="20" t="n"/>
      <c r="F107" s="27" t="n"/>
      <c r="G107" s="30" t="n"/>
      <c r="H107" s="19" t="n"/>
      <c r="I107" s="27" t="n"/>
      <c r="J107" s="19" t="n"/>
      <c r="K107" s="20" t="n"/>
    </row>
    <row r="108" ht="18" customHeight="1">
      <c r="A108" s="27" t="n"/>
      <c r="B108" s="27" t="n"/>
      <c r="C108" s="29" t="n"/>
      <c r="D108" s="19" t="n"/>
      <c r="E108" s="20" t="n"/>
      <c r="F108" s="27" t="n"/>
      <c r="G108" s="30" t="n"/>
      <c r="H108" s="19" t="n"/>
      <c r="I108" s="27" t="n"/>
      <c r="J108" s="19" t="n"/>
      <c r="K108" s="20" t="n"/>
    </row>
    <row r="109" ht="18" customHeight="1">
      <c r="A109" s="27" t="n"/>
      <c r="B109" s="27" t="n"/>
      <c r="C109" s="29" t="n"/>
      <c r="D109" s="19" t="n"/>
      <c r="E109" s="20" t="n"/>
      <c r="F109" s="27" t="n"/>
      <c r="G109" s="30" t="n"/>
      <c r="H109" s="19" t="n"/>
      <c r="I109" s="27" t="n"/>
      <c r="J109" s="19" t="n"/>
      <c r="K109" s="20" t="n"/>
    </row>
    <row r="110" ht="18" customHeight="1">
      <c r="A110" s="27" t="n"/>
      <c r="B110" s="27" t="n"/>
      <c r="C110" s="29" t="n"/>
      <c r="D110" s="19" t="n"/>
      <c r="E110" s="20" t="n"/>
      <c r="F110" s="27" t="n"/>
      <c r="G110" s="30" t="n"/>
      <c r="H110" s="19" t="n"/>
      <c r="I110" s="27" t="n"/>
      <c r="J110" s="19" t="n"/>
      <c r="K110" s="20" t="n"/>
    </row>
    <row r="111" ht="18" customHeight="1">
      <c r="A111" s="27" t="n"/>
      <c r="B111" s="27" t="n"/>
      <c r="C111" s="29" t="n"/>
      <c r="D111" s="19" t="n"/>
      <c r="E111" s="20" t="n"/>
      <c r="F111" s="27" t="n"/>
      <c r="G111" s="30" t="n"/>
      <c r="H111" s="19" t="n"/>
      <c r="I111" s="27" t="n"/>
      <c r="J111" s="19" t="n"/>
      <c r="K111" s="20" t="n"/>
    </row>
    <row r="112" ht="18" customHeight="1">
      <c r="A112" s="27" t="n"/>
      <c r="B112" s="27" t="n"/>
      <c r="C112" s="29" t="n"/>
      <c r="D112" s="19" t="n"/>
      <c r="E112" s="20" t="n"/>
      <c r="F112" s="27" t="n"/>
      <c r="G112" s="30" t="n"/>
      <c r="H112" s="19" t="n"/>
      <c r="I112" s="27" t="n"/>
      <c r="J112" s="19" t="n"/>
      <c r="K112" s="20" t="n"/>
    </row>
    <row r="113" ht="18" customHeight="1">
      <c r="A113" s="27" t="n"/>
      <c r="B113" s="27" t="n"/>
      <c r="C113" s="29" t="n"/>
      <c r="D113" s="19" t="n"/>
      <c r="E113" s="20" t="n"/>
      <c r="F113" s="27" t="n"/>
      <c r="G113" s="30" t="n"/>
      <c r="H113" s="19" t="n"/>
      <c r="I113" s="27" t="n"/>
      <c r="J113" s="19" t="n"/>
      <c r="K113" s="20" t="n"/>
    </row>
    <row r="114" ht="18" customHeight="1">
      <c r="A114" s="27" t="n"/>
      <c r="B114" s="27" t="n"/>
      <c r="C114" s="29" t="n"/>
      <c r="D114" s="19" t="n"/>
      <c r="E114" s="20" t="n"/>
      <c r="F114" s="27" t="n"/>
      <c r="G114" s="30" t="n"/>
      <c r="H114" s="19" t="n"/>
      <c r="I114" s="27" t="n"/>
      <c r="J114" s="19" t="n"/>
      <c r="K114" s="20" t="n"/>
    </row>
    <row r="115" ht="18" customHeight="1">
      <c r="A115" s="27" t="n"/>
      <c r="B115" s="27" t="n"/>
      <c r="C115" s="29" t="n"/>
      <c r="D115" s="19" t="n"/>
      <c r="E115" s="20" t="n"/>
      <c r="F115" s="27" t="n"/>
      <c r="G115" s="30" t="n"/>
      <c r="H115" s="19" t="n"/>
      <c r="I115" s="27" t="n"/>
      <c r="J115" s="19" t="n"/>
      <c r="K115" s="20" t="n"/>
    </row>
    <row r="116" ht="18" customHeight="1">
      <c r="A116" s="27" t="n"/>
      <c r="B116" s="27" t="n"/>
      <c r="C116" s="29" t="n"/>
      <c r="D116" s="19" t="n"/>
      <c r="E116" s="20" t="n"/>
      <c r="F116" s="27" t="n"/>
      <c r="G116" s="30" t="n"/>
      <c r="H116" s="19" t="n"/>
      <c r="I116" s="27" t="n"/>
      <c r="J116" s="19" t="n"/>
      <c r="K116" s="20" t="n"/>
    </row>
    <row r="117" ht="18" customHeight="1">
      <c r="A117" s="27" t="n"/>
      <c r="B117" s="27" t="n"/>
      <c r="C117" s="29" t="n"/>
      <c r="D117" s="19" t="n"/>
      <c r="E117" s="20" t="n"/>
      <c r="F117" s="27" t="n"/>
      <c r="G117" s="30" t="n"/>
      <c r="H117" s="19" t="n"/>
      <c r="I117" s="27" t="n"/>
      <c r="J117" s="19" t="n"/>
      <c r="K117" s="20" t="n"/>
    </row>
    <row r="118" ht="18" customHeight="1">
      <c r="A118" s="27" t="n"/>
      <c r="B118" s="27" t="n"/>
      <c r="C118" s="29" t="n"/>
      <c r="D118" s="19" t="n"/>
      <c r="E118" s="20" t="n"/>
      <c r="F118" s="27" t="n"/>
      <c r="G118" s="30" t="n"/>
      <c r="H118" s="19" t="n"/>
      <c r="I118" s="27" t="n"/>
      <c r="J118" s="19" t="n"/>
      <c r="K118" s="20" t="n"/>
    </row>
    <row r="119" ht="18" customHeight="1">
      <c r="A119" s="27" t="n"/>
      <c r="B119" s="27" t="n"/>
      <c r="C119" s="29" t="n"/>
      <c r="D119" s="19" t="n"/>
      <c r="E119" s="20" t="n"/>
      <c r="F119" s="27" t="n"/>
      <c r="G119" s="30" t="n"/>
      <c r="H119" s="19" t="n"/>
      <c r="I119" s="27" t="n"/>
      <c r="J119" s="19" t="n"/>
      <c r="K119" s="20" t="n"/>
    </row>
    <row r="120" ht="18" customHeight="1">
      <c r="A120" s="27" t="n"/>
      <c r="B120" s="27" t="n"/>
      <c r="C120" s="29" t="n"/>
      <c r="D120" s="19" t="n"/>
      <c r="E120" s="20" t="n"/>
      <c r="F120" s="27" t="n"/>
      <c r="G120" s="30" t="n"/>
      <c r="H120" s="19" t="n"/>
      <c r="I120" s="27" t="n"/>
      <c r="J120" s="19" t="n"/>
      <c r="K120" s="20" t="n"/>
    </row>
    <row r="121" ht="18" customHeight="1">
      <c r="A121" s="27" t="n"/>
      <c r="B121" s="27" t="n"/>
      <c r="C121" s="29" t="n"/>
      <c r="D121" s="19" t="n"/>
      <c r="E121" s="20" t="n"/>
      <c r="F121" s="27" t="n"/>
      <c r="G121" s="30" t="n"/>
      <c r="H121" s="19" t="n"/>
      <c r="I121" s="27" t="n"/>
      <c r="J121" s="19" t="n"/>
      <c r="K121" s="20" t="n"/>
    </row>
    <row r="122" ht="18" customHeight="1">
      <c r="A122" s="27" t="n"/>
      <c r="B122" s="27" t="n"/>
      <c r="C122" s="29" t="n"/>
      <c r="D122" s="19" t="n"/>
      <c r="E122" s="20" t="n"/>
      <c r="F122" s="27" t="n"/>
      <c r="G122" s="30" t="n"/>
      <c r="H122" s="19" t="n"/>
      <c r="I122" s="27" t="n"/>
      <c r="J122" s="19" t="n"/>
      <c r="K122" s="20" t="n"/>
    </row>
    <row r="124" ht="28" customHeight="1">
      <c r="A124" s="25" t="inlineStr">
        <is>
          <t>«אנשים» = כמה צריך למשימה; ריק = כל הקבוצה. «שמות» מתמלא ע"י השיבוץ ואפשר לתקן ידנית. «מתכון» = מנה מ«מתכונים» שתודפס על הפלייר. «ניקוד» = רמת קושי (1–3) למעקב העומס. «עוגן» = האירוע בלו"ז שלידו המשימה תופיע בלו"ז הצל.</t>
        </is>
      </c>
    </row>
  </sheetData>
  <mergeCells count="2">
    <mergeCell ref="A1:K1"/>
    <mergeCell ref="A124:K124"/>
  </mergeCells>
  <dataValidations count="6">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"1,2,3"</formula1>
    </dataValidation>
    <dataValidation sqref="J3:J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F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16" customWidth="1" min="3" max="3"/>
    <col width="60" customWidth="1" min="4" max="4"/>
    <col width="8" customWidth="1" min="5" max="5"/>
    <col width="10" customWidth="1" min="6" max="6"/>
  </cols>
  <sheetData>
    <row r="1" ht="36" customHeight="1">
      <c r="A1" s="26" t="inlineStr">
        <is>
          <t>קבוצות העבודה השבת</t>
        </is>
      </c>
    </row>
    <row r="2" ht="24" customHeight="1">
      <c r="A2" s="9" t="inlineStr">
        <is>
          <t>קבוצה</t>
        </is>
      </c>
      <c r="B2" s="9" t="inlineStr">
        <is>
          <t>שלב</t>
        </is>
      </c>
      <c r="C2" s="9" t="inlineStr">
        <is>
          <t>מוביל/ה</t>
        </is>
      </c>
      <c r="D2" s="9" t="inlineStr">
        <is>
          <t>חניכים</t>
        </is>
      </c>
      <c r="E2" s="9" t="inlineStr">
        <is>
          <t>גודל</t>
        </is>
      </c>
      <c r="F2" s="9" t="inlineStr">
        <is>
          <t>משימות</t>
        </is>
      </c>
    </row>
    <row r="3" ht="30" customHeight="1">
      <c r="A3" s="18" t="inlineStr">
        <is>
          <t>חלות</t>
        </is>
      </c>
      <c r="B3" s="27" t="inlineStr">
        <is>
          <t>הכנות שישי</t>
        </is>
      </c>
      <c r="C3" s="19" t="n"/>
      <c r="D3" s="30" t="n"/>
      <c r="E3" s="22">
        <f>IF(D3="","",LEN(D3)-LEN(SUBSTITUTE(D3,",",""))+1)</f>
        <v/>
      </c>
      <c r="F3" s="22">
        <f>IF(A3="","",COUNTIF('משימות'!$D$3:$D$122,A3))</f>
        <v/>
      </c>
    </row>
    <row r="4" ht="30" customHeight="1">
      <c r="A4" s="18" t="inlineStr">
        <is>
          <t>עוגות שמרים</t>
        </is>
      </c>
      <c r="B4" s="27" t="inlineStr">
        <is>
          <t>הכנות שישי</t>
        </is>
      </c>
      <c r="C4" s="19" t="n"/>
      <c r="D4" s="30" t="n"/>
      <c r="E4" s="22">
        <f>IF(D4="","",LEN(D4)-LEN(SUBSTITUTE(D4,",",""))+1)</f>
        <v/>
      </c>
      <c r="F4" s="22">
        <f>IF(A4="","",COUNTIF('משימות'!$D$3:$D$122,A4))</f>
        <v/>
      </c>
    </row>
    <row r="5" ht="30" customHeight="1">
      <c r="A5" s="18" t="inlineStr">
        <is>
          <t>מטבוחה</t>
        </is>
      </c>
      <c r="B5" s="27" t="inlineStr">
        <is>
          <t>הכנות שישי</t>
        </is>
      </c>
      <c r="C5" s="19" t="n"/>
      <c r="D5" s="30" t="n"/>
      <c r="E5" s="22">
        <f>IF(D5="","",LEN(D5)-LEN(SUBSTITUTE(D5,",",""))+1)</f>
        <v/>
      </c>
      <c r="F5" s="22">
        <f>IF(A5="","",COUNTIF('משימות'!$D$3:$D$122,A5))</f>
        <v/>
      </c>
    </row>
    <row r="6" ht="30" customHeight="1">
      <c r="A6" s="18" t="inlineStr">
        <is>
          <t>עוגת דבש</t>
        </is>
      </c>
      <c r="B6" s="27" t="inlineStr">
        <is>
          <t>הכנות שישי</t>
        </is>
      </c>
      <c r="C6" s="19" t="n"/>
      <c r="D6" s="30" t="n"/>
      <c r="E6" s="22">
        <f>IF(D6="","",LEN(D6)-LEN(SUBSTITUTE(D6,",",""))+1)</f>
        <v/>
      </c>
      <c r="F6" s="22">
        <f>IF(A6="","",COUNTIF('משימות'!$D$3:$D$122,A6))</f>
        <v/>
      </c>
    </row>
    <row r="7" ht="30" customHeight="1">
      <c r="A7" s="18" t="inlineStr">
        <is>
          <t>עוגיות שוקולד צ'יפס</t>
        </is>
      </c>
      <c r="B7" s="27" t="inlineStr">
        <is>
          <t>הכנות שישי</t>
        </is>
      </c>
      <c r="C7" s="19" t="n"/>
      <c r="D7" s="30" t="n"/>
      <c r="E7" s="22">
        <f>IF(D7="","",LEN(D7)-LEN(SUBSTITUTE(D7,",",""))+1)</f>
        <v/>
      </c>
      <c r="F7" s="22">
        <f>IF(A7="","",COUNTIF('משימות'!$D$3:$D$122,A7))</f>
        <v/>
      </c>
    </row>
    <row r="8" ht="30" customHeight="1">
      <c r="A8" s="18" t="inlineStr">
        <is>
          <t>בראוניז ללא גלוטן</t>
        </is>
      </c>
      <c r="B8" s="27" t="inlineStr">
        <is>
          <t>הכנות שישי</t>
        </is>
      </c>
      <c r="C8" s="19" t="n"/>
      <c r="D8" s="30" t="n"/>
      <c r="E8" s="22">
        <f>IF(D8="","",LEN(D8)-LEN(SUBSTITUTE(D8,",",""))+1)</f>
        <v/>
      </c>
      <c r="F8" s="22">
        <f>IF(A8="","",COUNTIF('משימות'!$D$3:$D$122,A8))</f>
        <v/>
      </c>
    </row>
    <row r="9" ht="30" customHeight="1">
      <c r="A9" s="18" t="inlineStr">
        <is>
          <t>סלט חצילים</t>
        </is>
      </c>
      <c r="B9" s="27" t="inlineStr">
        <is>
          <t>הכנות שישי</t>
        </is>
      </c>
      <c r="C9" s="19" t="n"/>
      <c r="D9" s="30" t="n"/>
      <c r="E9" s="22">
        <f>IF(D9="","",LEN(D9)-LEN(SUBSTITUTE(D9,",",""))+1)</f>
        <v/>
      </c>
      <c r="F9" s="22">
        <f>IF(A9="","",COUNTIF('משימות'!$D$3:$D$122,A9))</f>
        <v/>
      </c>
    </row>
    <row r="10" ht="30" customHeight="1">
      <c r="A10" s="18" t="inlineStr">
        <is>
          <t>ארוחת צהריים שישי</t>
        </is>
      </c>
      <c r="B10" s="27" t="inlineStr">
        <is>
          <t>הכנות שישי</t>
        </is>
      </c>
      <c r="C10" s="19" t="n"/>
      <c r="D10" s="30" t="n"/>
      <c r="E10" s="22">
        <f>IF(D10="","",LEN(D10)-LEN(SUBSTITUTE(D10,",",""))+1)</f>
        <v/>
      </c>
      <c r="F10" s="22">
        <f>IF(A10="","",COUNTIF('משימות'!$D$3:$D$122,A10))</f>
        <v/>
      </c>
    </row>
    <row r="11" ht="30" customHeight="1">
      <c r="A11" s="18" t="inlineStr">
        <is>
          <t>בית מדרש</t>
        </is>
      </c>
      <c r="B11" s="27" t="inlineStr">
        <is>
          <t>תורנות שישי</t>
        </is>
      </c>
      <c r="C11" s="19" t="n"/>
      <c r="D11" s="30" t="n"/>
      <c r="E11" s="22">
        <f>IF(D11="","",LEN(D11)-LEN(SUBSTITUTE(D11,",",""))+1)</f>
        <v/>
      </c>
      <c r="F11" s="22">
        <f>IF(A11="","",COUNTIF('משימות'!$D$3:$D$122,A11))</f>
        <v/>
      </c>
    </row>
    <row r="12" ht="30" customHeight="1">
      <c r="A12" s="18" t="inlineStr">
        <is>
          <t>בית מדרש · ארוחת ערב וטיש</t>
        </is>
      </c>
      <c r="B12" s="27" t="inlineStr">
        <is>
          <t>תורנות שבת</t>
        </is>
      </c>
      <c r="C12" s="19" t="n"/>
      <c r="D12" s="30" t="n"/>
      <c r="E12" s="22">
        <f>IF(D12="","",LEN(D12)-LEN(SUBSTITUTE(D12,",",""))+1)</f>
        <v/>
      </c>
      <c r="F12" s="22">
        <f>IF(A12="","",COUNTIF('משימות'!$D$3:$D$122,A12))</f>
        <v/>
      </c>
    </row>
    <row r="13" ht="30" customHeight="1">
      <c r="A13" s="18" t="inlineStr">
        <is>
          <t>בית מדרש · קידוש</t>
        </is>
      </c>
      <c r="B13" s="27" t="inlineStr">
        <is>
          <t>תורנות שבת</t>
        </is>
      </c>
      <c r="C13" s="19" t="n"/>
      <c r="D13" s="30" t="n"/>
      <c r="E13" s="22">
        <f>IF(D13="","",LEN(D13)-LEN(SUBSTITUTE(D13,",",""))+1)</f>
        <v/>
      </c>
      <c r="F13" s="22">
        <f>IF(A13="","",COUNTIF('משימות'!$D$3:$D$122,A13))</f>
        <v/>
      </c>
    </row>
    <row r="14" ht="30" customHeight="1">
      <c r="A14" s="18" t="inlineStr">
        <is>
          <t>בית מדרש · צהריים בשבת</t>
        </is>
      </c>
      <c r="B14" s="27" t="inlineStr">
        <is>
          <t>תורנות שבת</t>
        </is>
      </c>
      <c r="C14" s="19" t="n"/>
      <c r="D14" s="30" t="n"/>
      <c r="E14" s="22">
        <f>IF(D14="","",LEN(D14)-LEN(SUBSTITUTE(D14,",",""))+1)</f>
        <v/>
      </c>
      <c r="F14" s="22">
        <f>IF(A14="","",COUNTIF('משימות'!$D$3:$D$122,A14))</f>
        <v/>
      </c>
    </row>
    <row r="15" ht="18" customHeight="1">
      <c r="A15" s="18" t="n"/>
      <c r="B15" s="27" t="n"/>
      <c r="C15" s="19" t="n"/>
      <c r="D15" s="30" t="n"/>
      <c r="E15" s="22">
        <f>IF(D15="","",LEN(D15)-LEN(SUBSTITUTE(D15,",",""))+1)</f>
        <v/>
      </c>
      <c r="F15" s="22">
        <f>IF(A15="","",COUNTIF('משימות'!$D$3:$D$122,A15))</f>
        <v/>
      </c>
    </row>
    <row r="16" ht="18" customHeight="1">
      <c r="A16" s="18" t="n"/>
      <c r="B16" s="27" t="n"/>
      <c r="C16" s="19" t="n"/>
      <c r="D16" s="30" t="n"/>
      <c r="E16" s="22">
        <f>IF(D16="","",LEN(D16)-LEN(SUBSTITUTE(D16,",",""))+1)</f>
        <v/>
      </c>
      <c r="F16" s="22">
        <f>IF(A16="","",COUNTIF('משימות'!$D$3:$D$122,A16))</f>
        <v/>
      </c>
    </row>
    <row r="17" ht="18" customHeight="1">
      <c r="A17" s="18" t="n"/>
      <c r="B17" s="27" t="n"/>
      <c r="C17" s="19" t="n"/>
      <c r="D17" s="30" t="n"/>
      <c r="E17" s="22">
        <f>IF(D17="","",LEN(D17)-LEN(SUBSTITUTE(D17,",",""))+1)</f>
        <v/>
      </c>
      <c r="F17" s="22">
        <f>IF(A17="","",COUNTIF('משימות'!$D$3:$D$122,A17))</f>
        <v/>
      </c>
    </row>
    <row r="18" ht="18" customHeight="1">
      <c r="A18" s="18" t="n"/>
      <c r="B18" s="27" t="n"/>
      <c r="C18" s="19" t="n"/>
      <c r="D18" s="30" t="n"/>
      <c r="E18" s="22">
        <f>IF(D18="","",LEN(D18)-LEN(SUBSTITUTE(D18,",",""))+1)</f>
        <v/>
      </c>
      <c r="F18" s="22">
        <f>IF(A18="","",COUNTIF('משימות'!$D$3:$D$122,A18))</f>
        <v/>
      </c>
    </row>
    <row r="19" ht="18" customHeight="1">
      <c r="A19" s="18" t="n"/>
      <c r="B19" s="27" t="n"/>
      <c r="C19" s="19" t="n"/>
      <c r="D19" s="30" t="n"/>
      <c r="E19" s="22">
        <f>IF(D19="","",LEN(D19)-LEN(SUBSTITUTE(D19,",",""))+1)</f>
        <v/>
      </c>
      <c r="F19" s="22">
        <f>IF(A19="","",COUNTIF('משימות'!$D$3:$D$122,A19))</f>
        <v/>
      </c>
    </row>
    <row r="20" ht="18" customHeight="1">
      <c r="A20" s="18" t="n"/>
      <c r="B20" s="27" t="n"/>
      <c r="C20" s="19" t="n"/>
      <c r="D20" s="30" t="n"/>
      <c r="E20" s="22">
        <f>IF(D20="","",LEN(D20)-LEN(SUBSTITUTE(D20,",",""))+1)</f>
        <v/>
      </c>
      <c r="F20" s="22">
        <f>IF(A20="","",COUNTIF('משימות'!$D$3:$D$122,A20))</f>
        <v/>
      </c>
    </row>
    <row r="21" ht="18" customHeight="1">
      <c r="A21" s="18" t="n"/>
      <c r="B21" s="27" t="n"/>
      <c r="C21" s="19" t="n"/>
      <c r="D21" s="30" t="n"/>
      <c r="E21" s="22">
        <f>IF(D21="","",LEN(D21)-LEN(SUBSTITUTE(D21,",",""))+1)</f>
        <v/>
      </c>
      <c r="F21" s="22">
        <f>IF(A21="","",COUNTIF('משימות'!$D$3:$D$122,A21))</f>
        <v/>
      </c>
    </row>
    <row r="22" ht="18" customHeight="1">
      <c r="A22" s="18" t="n"/>
      <c r="B22" s="27" t="n"/>
      <c r="C22" s="19" t="n"/>
      <c r="D22" s="30" t="n"/>
      <c r="E22" s="22">
        <f>IF(D22="","",LEN(D22)-LEN(SUBSTITUTE(D22,",",""))+1)</f>
        <v/>
      </c>
      <c r="F22" s="22">
        <f>IF(A22="","",COUNTIF('משימות'!$D$3:$D$122,A22))</f>
        <v/>
      </c>
    </row>
    <row r="23" ht="18" customHeight="1">
      <c r="A23" s="18" t="n"/>
      <c r="B23" s="27" t="n"/>
      <c r="C23" s="19" t="n"/>
      <c r="D23" s="30" t="n"/>
      <c r="E23" s="22">
        <f>IF(D23="","",LEN(D23)-LEN(SUBSTITUTE(D23,",",""))+1)</f>
        <v/>
      </c>
      <c r="F23" s="22">
        <f>IF(A23="","",COUNTIF('משימות'!$D$3:$D$122,A23))</f>
        <v/>
      </c>
    </row>
    <row r="24" ht="18" customHeight="1">
      <c r="A24" s="18" t="n"/>
      <c r="B24" s="27" t="n"/>
      <c r="C24" s="19" t="n"/>
      <c r="D24" s="30" t="n"/>
      <c r="E24" s="22">
        <f>IF(D24="","",LEN(D24)-LEN(SUBSTITUTE(D24,",",""))+1)</f>
        <v/>
      </c>
      <c r="F24" s="22">
        <f>IF(A24="","",COUNTIF('משימות'!$D$3:$D$122,A24))</f>
        <v/>
      </c>
    </row>
    <row r="25" ht="18" customHeight="1">
      <c r="A25" s="18" t="n"/>
      <c r="B25" s="27" t="n"/>
      <c r="C25" s="19" t="n"/>
      <c r="D25" s="30" t="n"/>
      <c r="E25" s="22">
        <f>IF(D25="","",LEN(D25)-LEN(SUBSTITUTE(D25,",",""))+1)</f>
        <v/>
      </c>
      <c r="F25" s="22">
        <f>IF(A25="","",COUNTIF('משימות'!$D$3:$D$122,A25))</f>
        <v/>
      </c>
    </row>
    <row r="26" ht="18" customHeight="1">
      <c r="A26" s="18" t="n"/>
      <c r="B26" s="27" t="n"/>
      <c r="C26" s="19" t="n"/>
      <c r="D26" s="30" t="n"/>
      <c r="E26" s="22">
        <f>IF(D26="","",LEN(D26)-LEN(SUBSTITUTE(D26,",",""))+1)</f>
        <v/>
      </c>
      <c r="F26" s="22">
        <f>IF(A26="","",COUNTIF('משימות'!$D$3:$D$122,A26))</f>
        <v/>
      </c>
    </row>
    <row r="27" ht="18" customHeight="1">
      <c r="A27" s="18" t="n"/>
      <c r="B27" s="27" t="n"/>
      <c r="C27" s="19" t="n"/>
      <c r="D27" s="30" t="n"/>
      <c r="E27" s="22">
        <f>IF(D27="","",LEN(D27)-LEN(SUBSTITUTE(D27,",",""))+1)</f>
        <v/>
      </c>
      <c r="F27" s="22">
        <f>IF(A27="","",COUNTIF('משימות'!$D$3:$D$122,A27))</f>
        <v/>
      </c>
    </row>
    <row r="28" ht="18" customHeight="1">
      <c r="A28" s="18" t="n"/>
      <c r="B28" s="27" t="n"/>
      <c r="C28" s="19" t="n"/>
      <c r="D28" s="30" t="n"/>
      <c r="E28" s="22">
        <f>IF(D28="","",LEN(D28)-LEN(SUBSTITUTE(D28,",",""))+1)</f>
        <v/>
      </c>
      <c r="F28" s="22">
        <f>IF(A28="","",COUNTIF('משימות'!$D$3:$D$122,A28))</f>
        <v/>
      </c>
    </row>
    <row r="29" ht="18" customHeight="1">
      <c r="A29" s="18" t="n"/>
      <c r="B29" s="27" t="n"/>
      <c r="C29" s="19" t="n"/>
      <c r="D29" s="30" t="n"/>
      <c r="E29" s="22">
        <f>IF(D29="","",LEN(D29)-LEN(SUBSTITUTE(D29,",",""))+1)</f>
        <v/>
      </c>
      <c r="F29" s="22">
        <f>IF(A29="","",COUNTIF('משימות'!$D$3:$D$122,A29))</f>
        <v/>
      </c>
    </row>
    <row r="30" ht="18" customHeight="1">
      <c r="A30" s="18" t="n"/>
      <c r="B30" s="27" t="n"/>
      <c r="C30" s="19" t="n"/>
      <c r="D30" s="30" t="n"/>
      <c r="E30" s="22">
        <f>IF(D30="","",LEN(D30)-LEN(SUBSTITUTE(D30,",",""))+1)</f>
        <v/>
      </c>
      <c r="F30" s="22">
        <f>IF(A30="","",COUNTIF('משימות'!$D$3:$D$122,A30))</f>
        <v/>
      </c>
    </row>
    <row r="31" ht="18" customHeight="1">
      <c r="A31" s="18" t="n"/>
      <c r="B31" s="27" t="n"/>
      <c r="C31" s="19" t="n"/>
      <c r="D31" s="30" t="n"/>
      <c r="E31" s="22">
        <f>IF(D31="","",LEN(D31)-LEN(SUBSTITUTE(D31,",",""))+1)</f>
        <v/>
      </c>
      <c r="F31" s="22">
        <f>IF(A31="","",COUNTIF('משימות'!$D$3:$D$122,A31))</f>
        <v/>
      </c>
    </row>
    <row r="32" ht="18" customHeight="1">
      <c r="A32" s="18" t="n"/>
      <c r="B32" s="27" t="n"/>
      <c r="C32" s="19" t="n"/>
      <c r="D32" s="30" t="n"/>
      <c r="E32" s="22">
        <f>IF(D32="","",LEN(D32)-LEN(SUBSTITUTE(D32,",",""))+1)</f>
        <v/>
      </c>
      <c r="F32" s="22">
        <f>IF(A32="","",COUNTIF('משימות'!$D$3:$D$122,A32))</f>
        <v/>
      </c>
    </row>
    <row r="34" ht="28" customHeight="1">
      <c r="A34" s="25" t="inlineStr">
        <is>
          <t>המבנה הקבוע ב-data/group_plan.csv. «חניכים» נכתב ע"י השיבוץ (מופרד בפסיקים); «גודל» ו«משימות» מחושבים. פלייר נוצר לכל קבוצה כאן.</t>
        </is>
      </c>
    </row>
  </sheetData>
  <mergeCells count="2">
    <mergeCell ref="A1:F1"/>
    <mergeCell ref="A34:F34"/>
  </mergeCells>
  <dataValidations count="1">
    <dataValidation sqref="B3:B32" showDropDown="0" showInputMessage="0" showErrorMessage="0" allowBlank="1" type="list">
      <formula1>"הכנות שישי,תורנות שישי,תורנות שבת"</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H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9" customWidth="1" min="3" max="3"/>
    <col width="44" customWidth="1" min="4" max="4"/>
    <col width="9" customWidth="1" min="5" max="5"/>
    <col width="9" customWidth="1" min="6" max="6"/>
    <col width="9" customWidth="1" min="7" max="7"/>
    <col width="30" customWidth="1" min="8" max="8"/>
  </cols>
  <sheetData>
    <row r="1" ht="36" customHeight="1">
      <c r="A1" s="26" t="inlineStr">
        <is>
          <t>חניכים — מי נמצא, מי בתורנות, וכמה עומס</t>
        </is>
      </c>
    </row>
    <row r="2" ht="24" customHeight="1">
      <c r="A2" s="9" t="inlineStr">
        <is>
          <t>שם</t>
        </is>
      </c>
      <c r="B2" s="9" t="inlineStr">
        <is>
          <t>תוכנית</t>
        </is>
      </c>
      <c r="C2" s="9" t="inlineStr">
        <is>
          <t>זמין/ה</t>
        </is>
      </c>
      <c r="D2" s="9" t="inlineStr">
        <is>
          <t>קבוצות השבת</t>
        </is>
      </c>
      <c r="E2" s="9" t="inlineStr">
        <is>
          <t>משימות השבת</t>
        </is>
      </c>
      <c r="F2" s="9" t="inlineStr">
        <is>
          <t>ניקוד השבת</t>
        </is>
      </c>
      <c r="G2" s="9" t="inlineStr">
        <is>
          <t>ניקוד מצטבר</t>
        </is>
      </c>
      <c r="H2" s="9" t="inlineStr">
        <is>
          <t>הערה</t>
        </is>
      </c>
    </row>
    <row r="3">
      <c r="A3" s="19" t="inlineStr">
        <is>
          <t>ניתאי שלום</t>
        </is>
      </c>
      <c r="B3" s="27" t="inlineStr">
        <is>
          <t>מדרשה</t>
        </is>
      </c>
      <c r="C3" s="33" t="n"/>
      <c r="D3" s="34" t="n"/>
      <c r="E3" s="22">
        <f>IF(A3="","",COUNTIF('משימות'!$G$3:$G$122,"*"&amp;A3&amp;"*"))</f>
        <v/>
      </c>
      <c r="F3" s="22">
        <f>IF(A3="","",SUMIF('משימות'!$G$3:$G$122,"*"&amp;A3&amp;"*",'משימות'!$I$3:$I$122))</f>
        <v/>
      </c>
      <c r="G3" s="22">
        <f>IF(A3="","",SUMIF('היסטוריה'!$B$3:$B$3002,A3,'היסטוריה'!$F$3:$F$3002))</f>
        <v/>
      </c>
      <c r="H3" s="34" t="n"/>
    </row>
    <row r="4">
      <c r="A4" s="19" t="inlineStr">
        <is>
          <t>איתן וינסטון</t>
        </is>
      </c>
      <c r="B4" s="27" t="inlineStr">
        <is>
          <t>מדרשה</t>
        </is>
      </c>
      <c r="C4" s="33" t="n"/>
      <c r="D4" s="34" t="n"/>
      <c r="E4" s="22">
        <f>IF(A4="","",COUNTIF('משימות'!$G$3:$G$122,"*"&amp;A4&amp;"*"))</f>
        <v/>
      </c>
      <c r="F4" s="22">
        <f>IF(A4="","",SUMIF('משימות'!$G$3:$G$122,"*"&amp;A4&amp;"*",'משימות'!$I$3:$I$122))</f>
        <v/>
      </c>
      <c r="G4" s="22">
        <f>IF(A4="","",SUMIF('היסטוריה'!$B$3:$B$3002,A4,'היסטוריה'!$F$3:$F$3002))</f>
        <v/>
      </c>
      <c r="H4" s="34" t="n"/>
    </row>
    <row r="5">
      <c r="A5" s="19" t="inlineStr">
        <is>
          <t>יובל יצחק</t>
        </is>
      </c>
      <c r="B5" s="27" t="inlineStr">
        <is>
          <t>מדרשה</t>
        </is>
      </c>
      <c r="C5" s="33" t="n"/>
      <c r="D5" s="34" t="n"/>
      <c r="E5" s="22">
        <f>IF(A5="","",COUNTIF('משימות'!$G$3:$G$122,"*"&amp;A5&amp;"*"))</f>
        <v/>
      </c>
      <c r="F5" s="22">
        <f>IF(A5="","",SUMIF('משימות'!$G$3:$G$122,"*"&amp;A5&amp;"*",'משימות'!$I$3:$I$122))</f>
        <v/>
      </c>
      <c r="G5" s="22">
        <f>IF(A5="","",SUMIF('היסטוריה'!$B$3:$B$3002,A5,'היסטוריה'!$F$3:$F$3002))</f>
        <v/>
      </c>
      <c r="H5" s="34" t="n"/>
    </row>
    <row r="6">
      <c r="A6" s="19" t="inlineStr">
        <is>
          <t>הילי אלפסי</t>
        </is>
      </c>
      <c r="B6" s="27" t="inlineStr">
        <is>
          <t>מדרשה</t>
        </is>
      </c>
      <c r="C6" s="33" t="n"/>
      <c r="D6" s="34" t="n"/>
      <c r="E6" s="22">
        <f>IF(A6="","",COUNTIF('משימות'!$G$3:$G$122,"*"&amp;A6&amp;"*"))</f>
        <v/>
      </c>
      <c r="F6" s="22">
        <f>IF(A6="","",SUMIF('משימות'!$G$3:$G$122,"*"&amp;A6&amp;"*",'משימות'!$I$3:$I$122))</f>
        <v/>
      </c>
      <c r="G6" s="22">
        <f>IF(A6="","",SUMIF('היסטוריה'!$B$3:$B$3002,A6,'היסטוריה'!$F$3:$F$3002))</f>
        <v/>
      </c>
      <c r="H6" s="34" t="n"/>
    </row>
    <row r="7">
      <c r="A7" s="19" t="inlineStr">
        <is>
          <t>יהב לוי</t>
        </is>
      </c>
      <c r="B7" s="27" t="inlineStr">
        <is>
          <t>מדרשה</t>
        </is>
      </c>
      <c r="C7" s="33" t="n"/>
      <c r="D7" s="34" t="n"/>
      <c r="E7" s="22">
        <f>IF(A7="","",COUNTIF('משימות'!$G$3:$G$122,"*"&amp;A7&amp;"*"))</f>
        <v/>
      </c>
      <c r="F7" s="22">
        <f>IF(A7="","",SUMIF('משימות'!$G$3:$G$122,"*"&amp;A7&amp;"*",'משימות'!$I$3:$I$122))</f>
        <v/>
      </c>
      <c r="G7" s="22">
        <f>IF(A7="","",SUMIF('היסטוריה'!$B$3:$B$3002,A7,'היסטוריה'!$F$3:$F$3002))</f>
        <v/>
      </c>
      <c r="H7" s="34" t="n"/>
    </row>
    <row r="8">
      <c r="A8" s="19" t="inlineStr">
        <is>
          <t>שחר קרן</t>
        </is>
      </c>
      <c r="B8" s="27" t="inlineStr">
        <is>
          <t>מדרשה</t>
        </is>
      </c>
      <c r="C8" s="33" t="n"/>
      <c r="D8" s="34" t="n"/>
      <c r="E8" s="22">
        <f>IF(A8="","",COUNTIF('משימות'!$G$3:$G$122,"*"&amp;A8&amp;"*"))</f>
        <v/>
      </c>
      <c r="F8" s="22">
        <f>IF(A8="","",SUMIF('משימות'!$G$3:$G$122,"*"&amp;A8&amp;"*",'משימות'!$I$3:$I$122))</f>
        <v/>
      </c>
      <c r="G8" s="22">
        <f>IF(A8="","",SUMIF('היסטוריה'!$B$3:$B$3002,A8,'היסטוריה'!$F$3:$F$3002))</f>
        <v/>
      </c>
      <c r="H8" s="34" t="n"/>
    </row>
    <row r="9">
      <c r="A9" s="19" t="inlineStr">
        <is>
          <t>ירדן בן שחר</t>
        </is>
      </c>
      <c r="B9" s="27" t="inlineStr">
        <is>
          <t>מדרשה</t>
        </is>
      </c>
      <c r="C9" s="33" t="n"/>
      <c r="D9" s="34" t="n"/>
      <c r="E9" s="22">
        <f>IF(A9="","",COUNTIF('משימות'!$G$3:$G$122,"*"&amp;A9&amp;"*"))</f>
        <v/>
      </c>
      <c r="F9" s="22">
        <f>IF(A9="","",SUMIF('משימות'!$G$3:$G$122,"*"&amp;A9&amp;"*",'משימות'!$I$3:$I$122))</f>
        <v/>
      </c>
      <c r="G9" s="22">
        <f>IF(A9="","",SUMIF('היסטוריה'!$B$3:$B$3002,A9,'היסטוריה'!$F$3:$F$3002))</f>
        <v/>
      </c>
      <c r="H9" s="34" t="n"/>
    </row>
    <row r="10">
      <c r="A10" s="19" t="inlineStr">
        <is>
          <t>אחיה נחמני</t>
        </is>
      </c>
      <c r="B10" s="27" t="inlineStr">
        <is>
          <t>מדרשה</t>
        </is>
      </c>
      <c r="C10" s="33" t="n"/>
      <c r="D10" s="34" t="n"/>
      <c r="E10" s="22">
        <f>IF(A10="","",COUNTIF('משימות'!$G$3:$G$122,"*"&amp;A10&amp;"*"))</f>
        <v/>
      </c>
      <c r="F10" s="22">
        <f>IF(A10="","",SUMIF('משימות'!$G$3:$G$122,"*"&amp;A10&amp;"*",'משימות'!$I$3:$I$122))</f>
        <v/>
      </c>
      <c r="G10" s="22">
        <f>IF(A10="","",SUMIF('היסטוריה'!$B$3:$B$3002,A10,'היסטוריה'!$F$3:$F$3002))</f>
        <v/>
      </c>
      <c r="H10" s="34" t="n"/>
    </row>
    <row r="11">
      <c r="A11" s="19" t="inlineStr">
        <is>
          <t>ניצן שטיין</t>
        </is>
      </c>
      <c r="B11" s="27" t="inlineStr">
        <is>
          <t>מדרשה</t>
        </is>
      </c>
      <c r="C11" s="33" t="n"/>
      <c r="D11" s="34" t="n"/>
      <c r="E11" s="22">
        <f>IF(A11="","",COUNTIF('משימות'!$G$3:$G$122,"*"&amp;A11&amp;"*"))</f>
        <v/>
      </c>
      <c r="F11" s="22">
        <f>IF(A11="","",SUMIF('משימות'!$G$3:$G$122,"*"&amp;A11&amp;"*",'משימות'!$I$3:$I$122))</f>
        <v/>
      </c>
      <c r="G11" s="22">
        <f>IF(A11="","",SUMIF('היסטוריה'!$B$3:$B$3002,A11,'היסטוריה'!$F$3:$F$3002))</f>
        <v/>
      </c>
      <c r="H11" s="34" t="n"/>
    </row>
    <row r="12">
      <c r="A12" s="19" t="inlineStr">
        <is>
          <t>מעיין יוספי</t>
        </is>
      </c>
      <c r="B12" s="27" t="inlineStr">
        <is>
          <t>מדרשה</t>
        </is>
      </c>
      <c r="C12" s="33" t="n"/>
      <c r="D12" s="34" t="n"/>
      <c r="E12" s="22">
        <f>IF(A12="","",COUNTIF('משימות'!$G$3:$G$122,"*"&amp;A12&amp;"*"))</f>
        <v/>
      </c>
      <c r="F12" s="22">
        <f>IF(A12="","",SUMIF('משימות'!$G$3:$G$122,"*"&amp;A12&amp;"*",'משימות'!$I$3:$I$122))</f>
        <v/>
      </c>
      <c r="G12" s="22">
        <f>IF(A12="","",SUMIF('היסטוריה'!$B$3:$B$3002,A12,'היסטוריה'!$F$3:$F$3002))</f>
        <v/>
      </c>
      <c r="H12" s="34" t="n"/>
    </row>
    <row r="13">
      <c r="A13" s="19" t="inlineStr">
        <is>
          <t>יעל שם טוב</t>
        </is>
      </c>
      <c r="B13" s="27" t="inlineStr">
        <is>
          <t>מדרשה</t>
        </is>
      </c>
      <c r="C13" s="33" t="n"/>
      <c r="D13" s="34" t="n"/>
      <c r="E13" s="22">
        <f>IF(A13="","",COUNTIF('משימות'!$G$3:$G$122,"*"&amp;A13&amp;"*"))</f>
        <v/>
      </c>
      <c r="F13" s="22">
        <f>IF(A13="","",SUMIF('משימות'!$G$3:$G$122,"*"&amp;A13&amp;"*",'משימות'!$I$3:$I$122))</f>
        <v/>
      </c>
      <c r="G13" s="22">
        <f>IF(A13="","",SUMIF('היסטוריה'!$B$3:$B$3002,A13,'היסטוריה'!$F$3:$F$3002))</f>
        <v/>
      </c>
      <c r="H13" s="34" t="n"/>
    </row>
    <row r="14">
      <c r="A14" s="19" t="inlineStr">
        <is>
          <t>עמית סיילס</t>
        </is>
      </c>
      <c r="B14" s="27" t="inlineStr">
        <is>
          <t>מדרשה</t>
        </is>
      </c>
      <c r="C14" s="33" t="n"/>
      <c r="D14" s="34" t="n"/>
      <c r="E14" s="22">
        <f>IF(A14="","",COUNTIF('משימות'!$G$3:$G$122,"*"&amp;A14&amp;"*"))</f>
        <v/>
      </c>
      <c r="F14" s="22">
        <f>IF(A14="","",SUMIF('משימות'!$G$3:$G$122,"*"&amp;A14&amp;"*",'משימות'!$I$3:$I$122))</f>
        <v/>
      </c>
      <c r="G14" s="22">
        <f>IF(A14="","",SUMIF('היסטוריה'!$B$3:$B$3002,A14,'היסטוריה'!$F$3:$F$3002))</f>
        <v/>
      </c>
      <c r="H14" s="34" t="n"/>
    </row>
    <row r="15">
      <c r="A15" s="19" t="inlineStr">
        <is>
          <t>אריאלה מרכוס</t>
        </is>
      </c>
      <c r="B15" s="27" t="inlineStr">
        <is>
          <t>מדרשה</t>
        </is>
      </c>
      <c r="C15" s="33" t="n"/>
      <c r="D15" s="34" t="n"/>
      <c r="E15" s="22">
        <f>IF(A15="","",COUNTIF('משימות'!$G$3:$G$122,"*"&amp;A15&amp;"*"))</f>
        <v/>
      </c>
      <c r="F15" s="22">
        <f>IF(A15="","",SUMIF('משימות'!$G$3:$G$122,"*"&amp;A15&amp;"*",'משימות'!$I$3:$I$122))</f>
        <v/>
      </c>
      <c r="G15" s="22">
        <f>IF(A15="","",SUMIF('היסטוריה'!$B$3:$B$3002,A15,'היסטוריה'!$F$3:$F$3002))</f>
        <v/>
      </c>
      <c r="H15" s="34" t="n"/>
    </row>
    <row r="16">
      <c r="A16" s="19" t="inlineStr">
        <is>
          <t>משה אוברשטיין</t>
        </is>
      </c>
      <c r="B16" s="27" t="inlineStr">
        <is>
          <t>מדרשה</t>
        </is>
      </c>
      <c r="C16" s="33" t="n"/>
      <c r="D16" s="34" t="n"/>
      <c r="E16" s="22">
        <f>IF(A16="","",COUNTIF('משימות'!$G$3:$G$122,"*"&amp;A16&amp;"*"))</f>
        <v/>
      </c>
      <c r="F16" s="22">
        <f>IF(A16="","",SUMIF('משימות'!$G$3:$G$122,"*"&amp;A16&amp;"*",'משימות'!$I$3:$I$122))</f>
        <v/>
      </c>
      <c r="G16" s="22">
        <f>IF(A16="","",SUMIF('היסטוריה'!$B$3:$B$3002,A16,'היסטוריה'!$F$3:$F$3002))</f>
        <v/>
      </c>
      <c r="H16" s="34" t="n"/>
    </row>
    <row r="17">
      <c r="A17" s="19" t="inlineStr">
        <is>
          <t>אוריה תעשה</t>
        </is>
      </c>
      <c r="B17" s="27" t="inlineStr">
        <is>
          <t>מדרשה</t>
        </is>
      </c>
      <c r="C17" s="33" t="n"/>
      <c r="D17" s="34" t="n"/>
      <c r="E17" s="22">
        <f>IF(A17="","",COUNTIF('משימות'!$G$3:$G$122,"*"&amp;A17&amp;"*"))</f>
        <v/>
      </c>
      <c r="F17" s="22">
        <f>IF(A17="","",SUMIF('משימות'!$G$3:$G$122,"*"&amp;A17&amp;"*",'משימות'!$I$3:$I$122))</f>
        <v/>
      </c>
      <c r="G17" s="22">
        <f>IF(A17="","",SUMIF('היסטוריה'!$B$3:$B$3002,A17,'היסטוריה'!$F$3:$F$3002))</f>
        <v/>
      </c>
      <c r="H17" s="34" t="n"/>
    </row>
    <row r="18">
      <c r="A18" s="19" t="inlineStr">
        <is>
          <t>יונתן לירז</t>
        </is>
      </c>
      <c r="B18" s="27" t="inlineStr">
        <is>
          <t>מדרשה</t>
        </is>
      </c>
      <c r="C18" s="33" t="n"/>
      <c r="D18" s="34" t="n"/>
      <c r="E18" s="22">
        <f>IF(A18="","",COUNTIF('משימות'!$G$3:$G$122,"*"&amp;A18&amp;"*"))</f>
        <v/>
      </c>
      <c r="F18" s="22">
        <f>IF(A18="","",SUMIF('משימות'!$G$3:$G$122,"*"&amp;A18&amp;"*",'משימות'!$I$3:$I$122))</f>
        <v/>
      </c>
      <c r="G18" s="22">
        <f>IF(A18="","",SUMIF('היסטוריה'!$B$3:$B$3002,A18,'היסטוריה'!$F$3:$F$3002))</f>
        <v/>
      </c>
      <c r="H18" s="34" t="n"/>
    </row>
    <row r="19">
      <c r="A19" s="19" t="inlineStr">
        <is>
          <t>פנחס אליהו גלוסקין</t>
        </is>
      </c>
      <c r="B19" s="27" t="inlineStr">
        <is>
          <t>מדרשה</t>
        </is>
      </c>
      <c r="C19" s="33" t="n"/>
      <c r="D19" s="34" t="n"/>
      <c r="E19" s="22">
        <f>IF(A19="","",COUNTIF('משימות'!$G$3:$G$122,"*"&amp;A19&amp;"*"))</f>
        <v/>
      </c>
      <c r="F19" s="22">
        <f>IF(A19="","",SUMIF('משימות'!$G$3:$G$122,"*"&amp;A19&amp;"*",'משימות'!$I$3:$I$122))</f>
        <v/>
      </c>
      <c r="G19" s="22">
        <f>IF(A19="","",SUMIF('היסטוריה'!$B$3:$B$3002,A19,'היסטוריה'!$F$3:$F$3002))</f>
        <v/>
      </c>
      <c r="H19" s="34" t="n"/>
    </row>
    <row r="20">
      <c r="A20" s="19" t="inlineStr">
        <is>
          <t>נדב טוקר</t>
        </is>
      </c>
      <c r="B20" s="27" t="inlineStr">
        <is>
          <t>מדרשה</t>
        </is>
      </c>
      <c r="C20" s="33" t="n"/>
      <c r="D20" s="34" t="n"/>
      <c r="E20" s="22">
        <f>IF(A20="","",COUNTIF('משימות'!$G$3:$G$122,"*"&amp;A20&amp;"*"))</f>
        <v/>
      </c>
      <c r="F20" s="22">
        <f>IF(A20="","",SUMIF('משימות'!$G$3:$G$122,"*"&amp;A20&amp;"*",'משימות'!$I$3:$I$122))</f>
        <v/>
      </c>
      <c r="G20" s="22">
        <f>IF(A20="","",SUMIF('היסטוריה'!$B$3:$B$3002,A20,'היסטוריה'!$F$3:$F$3002))</f>
        <v/>
      </c>
      <c r="H20" s="34" t="n"/>
    </row>
    <row r="21">
      <c r="A21" s="19" t="inlineStr">
        <is>
          <t>הדר עמדי</t>
        </is>
      </c>
      <c r="B21" s="27" t="inlineStr">
        <is>
          <t>מדרשה</t>
        </is>
      </c>
      <c r="C21" s="33" t="n"/>
      <c r="D21" s="34" t="n"/>
      <c r="E21" s="22">
        <f>IF(A21="","",COUNTIF('משימות'!$G$3:$G$122,"*"&amp;A21&amp;"*"))</f>
        <v/>
      </c>
      <c r="F21" s="22">
        <f>IF(A21="","",SUMIF('משימות'!$G$3:$G$122,"*"&amp;A21&amp;"*",'משימות'!$I$3:$I$122))</f>
        <v/>
      </c>
      <c r="G21" s="22">
        <f>IF(A21="","",SUMIF('היסטוריה'!$B$3:$B$3002,A21,'היסטוריה'!$F$3:$F$3002))</f>
        <v/>
      </c>
      <c r="H21" s="34" t="n"/>
    </row>
    <row r="22">
      <c r="A22" s="19" t="inlineStr">
        <is>
          <t>יואב אוחנה</t>
        </is>
      </c>
      <c r="B22" s="27" t="inlineStr">
        <is>
          <t>מדרשה</t>
        </is>
      </c>
      <c r="C22" s="33" t="n"/>
      <c r="D22" s="34" t="n"/>
      <c r="E22" s="22">
        <f>IF(A22="","",COUNTIF('משימות'!$G$3:$G$122,"*"&amp;A22&amp;"*"))</f>
        <v/>
      </c>
      <c r="F22" s="22">
        <f>IF(A22="","",SUMIF('משימות'!$G$3:$G$122,"*"&amp;A22&amp;"*",'משימות'!$I$3:$I$122))</f>
        <v/>
      </c>
      <c r="G22" s="22">
        <f>IF(A22="","",SUMIF('היסטוריה'!$B$3:$B$3002,A22,'היסטוריה'!$F$3:$F$3002))</f>
        <v/>
      </c>
      <c r="H22" s="34" t="n"/>
    </row>
    <row r="23">
      <c r="A23" s="19" t="inlineStr">
        <is>
          <t>איתי בן יהודה</t>
        </is>
      </c>
      <c r="B23" s="27" t="inlineStr">
        <is>
          <t>מדרשה</t>
        </is>
      </c>
      <c r="C23" s="33" t="n"/>
      <c r="D23" s="34" t="n"/>
      <c r="E23" s="22">
        <f>IF(A23="","",COUNTIF('משימות'!$G$3:$G$122,"*"&amp;A23&amp;"*"))</f>
        <v/>
      </c>
      <c r="F23" s="22">
        <f>IF(A23="","",SUMIF('משימות'!$G$3:$G$122,"*"&amp;A23&amp;"*",'משימות'!$I$3:$I$122))</f>
        <v/>
      </c>
      <c r="G23" s="22">
        <f>IF(A23="","",SUMIF('היסטוריה'!$B$3:$B$3002,A23,'היסטוריה'!$F$3:$F$3002))</f>
        <v/>
      </c>
      <c r="H23" s="34" t="n"/>
    </row>
    <row r="24">
      <c r="A24" s="19" t="inlineStr">
        <is>
          <t>עופר בביוף</t>
        </is>
      </c>
      <c r="B24" s="27" t="inlineStr">
        <is>
          <t>מדרשה</t>
        </is>
      </c>
      <c r="C24" s="33" t="n"/>
      <c r="D24" s="34" t="n"/>
      <c r="E24" s="22">
        <f>IF(A24="","",COUNTIF('משימות'!$G$3:$G$122,"*"&amp;A24&amp;"*"))</f>
        <v/>
      </c>
      <c r="F24" s="22">
        <f>IF(A24="","",SUMIF('משימות'!$G$3:$G$122,"*"&amp;A24&amp;"*",'משימות'!$I$3:$I$122))</f>
        <v/>
      </c>
      <c r="G24" s="22">
        <f>IF(A24="","",SUMIF('היסטוריה'!$B$3:$B$3002,A24,'היסטוריה'!$F$3:$F$3002))</f>
        <v/>
      </c>
      <c r="H24" s="34" t="n"/>
    </row>
    <row r="25">
      <c r="A25" s="19" t="inlineStr">
        <is>
          <t>הילה עזרא</t>
        </is>
      </c>
      <c r="B25" s="27" t="inlineStr">
        <is>
          <t>מדרשה</t>
        </is>
      </c>
      <c r="C25" s="33" t="n"/>
      <c r="D25" s="34" t="n"/>
      <c r="E25" s="22">
        <f>IF(A25="","",COUNTIF('משימות'!$G$3:$G$122,"*"&amp;A25&amp;"*"))</f>
        <v/>
      </c>
      <c r="F25" s="22">
        <f>IF(A25="","",SUMIF('משימות'!$G$3:$G$122,"*"&amp;A25&amp;"*",'משימות'!$I$3:$I$122))</f>
        <v/>
      </c>
      <c r="G25" s="22">
        <f>IF(A25="","",SUMIF('היסטוריה'!$B$3:$B$3002,A25,'היסטוריה'!$F$3:$F$3002))</f>
        <v/>
      </c>
      <c r="H25" s="34" t="n"/>
    </row>
    <row r="26">
      <c r="A26" s="19" t="inlineStr">
        <is>
          <t>בניה מעוז</t>
        </is>
      </c>
      <c r="B26" s="27" t="inlineStr">
        <is>
          <t>מדרשה</t>
        </is>
      </c>
      <c r="C26" s="33" t="n"/>
      <c r="D26" s="34" t="n"/>
      <c r="E26" s="22">
        <f>IF(A26="","",COUNTIF('משימות'!$G$3:$G$122,"*"&amp;A26&amp;"*"))</f>
        <v/>
      </c>
      <c r="F26" s="22">
        <f>IF(A26="","",SUMIF('משימות'!$G$3:$G$122,"*"&amp;A26&amp;"*",'משימות'!$I$3:$I$122))</f>
        <v/>
      </c>
      <c r="G26" s="22">
        <f>IF(A26="","",SUMIF('היסטוריה'!$B$3:$B$3002,A26,'היסטוריה'!$F$3:$F$3002))</f>
        <v/>
      </c>
      <c r="H26" s="34" t="n"/>
    </row>
    <row r="27">
      <c r="A27" s="19" t="inlineStr">
        <is>
          <t>שחר מרקוביץ' גליק</t>
        </is>
      </c>
      <c r="B27" s="27" t="inlineStr">
        <is>
          <t>מדרשה</t>
        </is>
      </c>
      <c r="C27" s="33" t="n"/>
      <c r="D27" s="34" t="n"/>
      <c r="E27" s="22">
        <f>IF(A27="","",COUNTIF('משימות'!$G$3:$G$122,"*"&amp;A27&amp;"*"))</f>
        <v/>
      </c>
      <c r="F27" s="22">
        <f>IF(A27="","",SUMIF('משימות'!$G$3:$G$122,"*"&amp;A27&amp;"*",'משימות'!$I$3:$I$122))</f>
        <v/>
      </c>
      <c r="G27" s="22">
        <f>IF(A27="","",SUMIF('היסטוריה'!$B$3:$B$3002,A27,'היסטוריה'!$F$3:$F$3002))</f>
        <v/>
      </c>
      <c r="H27" s="34" t="n"/>
    </row>
    <row r="28">
      <c r="A28" s="19" t="inlineStr">
        <is>
          <t>שליו שישו</t>
        </is>
      </c>
      <c r="B28" s="27" t="inlineStr">
        <is>
          <t>מדרשה</t>
        </is>
      </c>
      <c r="C28" s="33" t="n"/>
      <c r="D28" s="34" t="n"/>
      <c r="E28" s="22">
        <f>IF(A28="","",COUNTIF('משימות'!$G$3:$G$122,"*"&amp;A28&amp;"*"))</f>
        <v/>
      </c>
      <c r="F28" s="22">
        <f>IF(A28="","",SUMIF('משימות'!$G$3:$G$122,"*"&amp;A28&amp;"*",'משימות'!$I$3:$I$122))</f>
        <v/>
      </c>
      <c r="G28" s="22">
        <f>IF(A28="","",SUMIF('היסטוריה'!$B$3:$B$3002,A28,'היסטוריה'!$F$3:$F$3002))</f>
        <v/>
      </c>
      <c r="H28" s="34" t="n"/>
    </row>
    <row r="29">
      <c r="A29" s="19" t="inlineStr">
        <is>
          <t>חיים שמאי</t>
        </is>
      </c>
      <c r="B29" s="27" t="inlineStr">
        <is>
          <t>מדרשה</t>
        </is>
      </c>
      <c r="C29" s="33" t="n"/>
      <c r="D29" s="34" t="n"/>
      <c r="E29" s="22">
        <f>IF(A29="","",COUNTIF('משימות'!$G$3:$G$122,"*"&amp;A29&amp;"*"))</f>
        <v/>
      </c>
      <c r="F29" s="22">
        <f>IF(A29="","",SUMIF('משימות'!$G$3:$G$122,"*"&amp;A29&amp;"*",'משימות'!$I$3:$I$122))</f>
        <v/>
      </c>
      <c r="G29" s="22">
        <f>IF(A29="","",SUMIF('היסטוריה'!$B$3:$B$3002,A29,'היסטוריה'!$F$3:$F$3002))</f>
        <v/>
      </c>
      <c r="H29" s="34" t="n"/>
    </row>
    <row r="30">
      <c r="A30" s="19" t="inlineStr">
        <is>
          <t>אנה עזריאל</t>
        </is>
      </c>
      <c r="B30" s="27" t="inlineStr">
        <is>
          <t>מדרשה</t>
        </is>
      </c>
      <c r="C30" s="33" t="n"/>
      <c r="D30" s="34" t="n"/>
      <c r="E30" s="22">
        <f>IF(A30="","",COUNTIF('משימות'!$G$3:$G$122,"*"&amp;A30&amp;"*"))</f>
        <v/>
      </c>
      <c r="F30" s="22">
        <f>IF(A30="","",SUMIF('משימות'!$G$3:$G$122,"*"&amp;A30&amp;"*",'משימות'!$I$3:$I$122))</f>
        <v/>
      </c>
      <c r="G30" s="22">
        <f>IF(A30="","",SUMIF('היסטוריה'!$B$3:$B$3002,A30,'היסטוריה'!$F$3:$F$3002))</f>
        <v/>
      </c>
      <c r="H30" s="34" t="n"/>
    </row>
    <row r="31">
      <c r="A31" s="19" t="inlineStr">
        <is>
          <t>אלרואי גרינברג</t>
        </is>
      </c>
      <c r="B31" s="27" t="inlineStr">
        <is>
          <t>מדרשה</t>
        </is>
      </c>
      <c r="C31" s="33" t="n"/>
      <c r="D31" s="34" t="n"/>
      <c r="E31" s="22">
        <f>IF(A31="","",COUNTIF('משימות'!$G$3:$G$122,"*"&amp;A31&amp;"*"))</f>
        <v/>
      </c>
      <c r="F31" s="22">
        <f>IF(A31="","",SUMIF('משימות'!$G$3:$G$122,"*"&amp;A31&amp;"*",'משימות'!$I$3:$I$122))</f>
        <v/>
      </c>
      <c r="G31" s="22">
        <f>IF(A31="","",SUMIF('היסטוריה'!$B$3:$B$3002,A31,'היסטוריה'!$F$3:$F$3002))</f>
        <v/>
      </c>
      <c r="H31" s="34" t="n"/>
    </row>
    <row r="32">
      <c r="A32" s="19" t="inlineStr">
        <is>
          <t>אלה גוטליב</t>
        </is>
      </c>
      <c r="B32" s="27" t="inlineStr">
        <is>
          <t>מדרשה</t>
        </is>
      </c>
      <c r="C32" s="33" t="n"/>
      <c r="D32" s="34" t="n"/>
      <c r="E32" s="22">
        <f>IF(A32="","",COUNTIF('משימות'!$G$3:$G$122,"*"&amp;A32&amp;"*"))</f>
        <v/>
      </c>
      <c r="F32" s="22">
        <f>IF(A32="","",SUMIF('משימות'!$G$3:$G$122,"*"&amp;A32&amp;"*",'משימות'!$I$3:$I$122))</f>
        <v/>
      </c>
      <c r="G32" s="22">
        <f>IF(A32="","",SUMIF('היסטוריה'!$B$3:$B$3002,A32,'היסטוריה'!$F$3:$F$3002))</f>
        <v/>
      </c>
      <c r="H32" s="34" t="n"/>
    </row>
    <row r="33">
      <c r="A33" s="19" t="inlineStr">
        <is>
          <t>רותם דרור</t>
        </is>
      </c>
      <c r="B33" s="27" t="inlineStr">
        <is>
          <t>מדרשה</t>
        </is>
      </c>
      <c r="C33" s="33" t="n"/>
      <c r="D33" s="34" t="n"/>
      <c r="E33" s="22">
        <f>IF(A33="","",COUNTIF('משימות'!$G$3:$G$122,"*"&amp;A33&amp;"*"))</f>
        <v/>
      </c>
      <c r="F33" s="22">
        <f>IF(A33="","",SUMIF('משימות'!$G$3:$G$122,"*"&amp;A33&amp;"*",'משימות'!$I$3:$I$122))</f>
        <v/>
      </c>
      <c r="G33" s="22">
        <f>IF(A33="","",SUMIF('היסטוריה'!$B$3:$B$3002,A33,'היסטוריה'!$F$3:$F$3002))</f>
        <v/>
      </c>
      <c r="H33" s="34" t="n"/>
    </row>
    <row r="34">
      <c r="A34" s="19" t="inlineStr">
        <is>
          <t>עומר יוסף גנון</t>
        </is>
      </c>
      <c r="B34" s="27" t="inlineStr">
        <is>
          <t>מדרשה</t>
        </is>
      </c>
      <c r="C34" s="33" t="n"/>
      <c r="D34" s="34" t="n"/>
      <c r="E34" s="22">
        <f>IF(A34="","",COUNTIF('משימות'!$G$3:$G$122,"*"&amp;A34&amp;"*"))</f>
        <v/>
      </c>
      <c r="F34" s="22">
        <f>IF(A34="","",SUMIF('משימות'!$G$3:$G$122,"*"&amp;A34&amp;"*",'משימות'!$I$3:$I$122))</f>
        <v/>
      </c>
      <c r="G34" s="22">
        <f>IF(A34="","",SUMIF('היסטוריה'!$B$3:$B$3002,A34,'היסטוריה'!$F$3:$F$3002))</f>
        <v/>
      </c>
      <c r="H34" s="34" t="n"/>
    </row>
    <row r="35">
      <c r="A35" s="19" t="inlineStr">
        <is>
          <t>סהר שירון</t>
        </is>
      </c>
      <c r="B35" s="27" t="inlineStr">
        <is>
          <t>מדרשה</t>
        </is>
      </c>
      <c r="C35" s="33" t="n"/>
      <c r="D35" s="34" t="n"/>
      <c r="E35" s="22">
        <f>IF(A35="","",COUNTIF('משימות'!$G$3:$G$122,"*"&amp;A35&amp;"*"))</f>
        <v/>
      </c>
      <c r="F35" s="22">
        <f>IF(A35="","",SUMIF('משימות'!$G$3:$G$122,"*"&amp;A35&amp;"*",'משימות'!$I$3:$I$122))</f>
        <v/>
      </c>
      <c r="G35" s="22">
        <f>IF(A35="","",SUMIF('היסטוריה'!$B$3:$B$3002,A35,'היסטוריה'!$F$3:$F$3002))</f>
        <v/>
      </c>
      <c r="H35" s="34" t="n"/>
    </row>
    <row r="36">
      <c r="A36" s="19" t="inlineStr">
        <is>
          <t>שירה ספונוב</t>
        </is>
      </c>
      <c r="B36" s="27" t="inlineStr">
        <is>
          <t>מדרשה</t>
        </is>
      </c>
      <c r="C36" s="33" t="n"/>
      <c r="D36" s="34" t="n"/>
      <c r="E36" s="22">
        <f>IF(A36="","",COUNTIF('משימות'!$G$3:$G$122,"*"&amp;A36&amp;"*"))</f>
        <v/>
      </c>
      <c r="F36" s="22">
        <f>IF(A36="","",SUMIF('משימות'!$G$3:$G$122,"*"&amp;A36&amp;"*",'משימות'!$I$3:$I$122))</f>
        <v/>
      </c>
      <c r="G36" s="22">
        <f>IF(A36="","",SUMIF('היסטוריה'!$B$3:$B$3002,A36,'היסטוריה'!$F$3:$F$3002))</f>
        <v/>
      </c>
      <c r="H36" s="34" t="n"/>
    </row>
    <row r="37">
      <c r="A37" s="19" t="inlineStr">
        <is>
          <t>הלל פינגולד</t>
        </is>
      </c>
      <c r="B37" s="27" t="inlineStr">
        <is>
          <t>מדרשה</t>
        </is>
      </c>
      <c r="C37" s="33" t="n"/>
      <c r="D37" s="34" t="n"/>
      <c r="E37" s="22">
        <f>IF(A37="","",COUNTIF('משימות'!$G$3:$G$122,"*"&amp;A37&amp;"*"))</f>
        <v/>
      </c>
      <c r="F37" s="22">
        <f>IF(A37="","",SUMIF('משימות'!$G$3:$G$122,"*"&amp;A37&amp;"*",'משימות'!$I$3:$I$122))</f>
        <v/>
      </c>
      <c r="G37" s="22">
        <f>IF(A37="","",SUMIF('היסטוריה'!$B$3:$B$3002,A37,'היסטוריה'!$F$3:$F$3002))</f>
        <v/>
      </c>
      <c r="H37" s="34" t="n"/>
    </row>
    <row r="38">
      <c r="A38" s="19" t="inlineStr">
        <is>
          <t>מישל דוד</t>
        </is>
      </c>
      <c r="B38" s="27" t="inlineStr">
        <is>
          <t>מדרשה</t>
        </is>
      </c>
      <c r="C38" s="33" t="n"/>
      <c r="D38" s="34" t="n"/>
      <c r="E38" s="22">
        <f>IF(A38="","",COUNTIF('משימות'!$G$3:$G$122,"*"&amp;A38&amp;"*"))</f>
        <v/>
      </c>
      <c r="F38" s="22">
        <f>IF(A38="","",SUMIF('משימות'!$G$3:$G$122,"*"&amp;A38&amp;"*",'משימות'!$I$3:$I$122))</f>
        <v/>
      </c>
      <c r="G38" s="22">
        <f>IF(A38="","",SUMIF('היסטוריה'!$B$3:$B$3002,A38,'היסטוריה'!$F$3:$F$3002))</f>
        <v/>
      </c>
      <c r="H38" s="34" t="n"/>
    </row>
    <row r="39">
      <c r="A39" s="19" t="inlineStr">
        <is>
          <t>מעיין רחל דינר</t>
        </is>
      </c>
      <c r="B39" s="27" t="inlineStr">
        <is>
          <t>מדרשה</t>
        </is>
      </c>
      <c r="C39" s="33" t="n"/>
      <c r="D39" s="34" t="n"/>
      <c r="E39" s="22">
        <f>IF(A39="","",COUNTIF('משימות'!$G$3:$G$122,"*"&amp;A39&amp;"*"))</f>
        <v/>
      </c>
      <c r="F39" s="22">
        <f>IF(A39="","",SUMIF('משימות'!$G$3:$G$122,"*"&amp;A39&amp;"*",'משימות'!$I$3:$I$122))</f>
        <v/>
      </c>
      <c r="G39" s="22">
        <f>IF(A39="","",SUMIF('היסטוריה'!$B$3:$B$3002,A39,'היסטוריה'!$F$3:$F$3002))</f>
        <v/>
      </c>
      <c r="H39" s="34" t="n"/>
    </row>
    <row r="40">
      <c r="A40" s="19" t="inlineStr">
        <is>
          <t>עמרי קולטון</t>
        </is>
      </c>
      <c r="B40" s="27" t="inlineStr">
        <is>
          <t>מדרשה</t>
        </is>
      </c>
      <c r="C40" s="33" t="n"/>
      <c r="D40" s="34" t="n"/>
      <c r="E40" s="22">
        <f>IF(A40="","",COUNTIF('משימות'!$G$3:$G$122,"*"&amp;A40&amp;"*"))</f>
        <v/>
      </c>
      <c r="F40" s="22">
        <f>IF(A40="","",SUMIF('משימות'!$G$3:$G$122,"*"&amp;A40&amp;"*",'משימות'!$I$3:$I$122))</f>
        <v/>
      </c>
      <c r="G40" s="22">
        <f>IF(A40="","",SUMIF('היסטוריה'!$B$3:$B$3002,A40,'היסטוריה'!$F$3:$F$3002))</f>
        <v/>
      </c>
      <c r="H40" s="34" t="n"/>
    </row>
    <row r="41">
      <c r="A41" s="19" t="inlineStr">
        <is>
          <t>נגה חוה כהן</t>
        </is>
      </c>
      <c r="B41" s="27" t="inlineStr">
        <is>
          <t>מדרשה</t>
        </is>
      </c>
      <c r="C41" s="33" t="n"/>
      <c r="D41" s="34" t="n"/>
      <c r="E41" s="22">
        <f>IF(A41="","",COUNTIF('משימות'!$G$3:$G$122,"*"&amp;A41&amp;"*"))</f>
        <v/>
      </c>
      <c r="F41" s="22">
        <f>IF(A41="","",SUMIF('משימות'!$G$3:$G$122,"*"&amp;A41&amp;"*",'משימות'!$I$3:$I$122))</f>
        <v/>
      </c>
      <c r="G41" s="22">
        <f>IF(A41="","",SUMIF('היסטוריה'!$B$3:$B$3002,A41,'היסטוריה'!$F$3:$F$3002))</f>
        <v/>
      </c>
      <c r="H41" s="34" t="n"/>
    </row>
    <row r="42">
      <c r="A42" s="19" t="inlineStr">
        <is>
          <t>קובי סמייסון</t>
        </is>
      </c>
      <c r="B42" s="27" t="inlineStr">
        <is>
          <t>מדרשה</t>
        </is>
      </c>
      <c r="C42" s="33" t="n"/>
      <c r="D42" s="34" t="n"/>
      <c r="E42" s="22">
        <f>IF(A42="","",COUNTIF('משימות'!$G$3:$G$122,"*"&amp;A42&amp;"*"))</f>
        <v/>
      </c>
      <c r="F42" s="22">
        <f>IF(A42="","",SUMIF('משימות'!$G$3:$G$122,"*"&amp;A42&amp;"*",'משימות'!$I$3:$I$122))</f>
        <v/>
      </c>
      <c r="G42" s="22">
        <f>IF(A42="","",SUMIF('היסטוריה'!$B$3:$B$3002,A42,'היסטוריה'!$F$3:$F$3002))</f>
        <v/>
      </c>
      <c r="H42" s="34" t="n"/>
    </row>
    <row r="43">
      <c r="A43" s="19" t="inlineStr">
        <is>
          <t>נגה שוהם</t>
        </is>
      </c>
      <c r="B43" s="27" t="inlineStr">
        <is>
          <t>מדרשה</t>
        </is>
      </c>
      <c r="C43" s="33" t="n"/>
      <c r="D43" s="34" t="n"/>
      <c r="E43" s="22">
        <f>IF(A43="","",COUNTIF('משימות'!$G$3:$G$122,"*"&amp;A43&amp;"*"))</f>
        <v/>
      </c>
      <c r="F43" s="22">
        <f>IF(A43="","",SUMIF('משימות'!$G$3:$G$122,"*"&amp;A43&amp;"*",'משימות'!$I$3:$I$122))</f>
        <v/>
      </c>
      <c r="G43" s="22">
        <f>IF(A43="","",SUMIF('היסטוריה'!$B$3:$B$3002,A43,'היסטוריה'!$F$3:$F$3002))</f>
        <v/>
      </c>
      <c r="H43" s="34" t="n"/>
    </row>
    <row r="44">
      <c r="A44" s="19" t="inlineStr">
        <is>
          <t>ינון לוי</t>
        </is>
      </c>
      <c r="B44" s="27" t="inlineStr">
        <is>
          <t>מדרשה</t>
        </is>
      </c>
      <c r="C44" s="33" t="n"/>
      <c r="D44" s="34" t="n"/>
      <c r="E44" s="22">
        <f>IF(A44="","",COUNTIF('משימות'!$G$3:$G$122,"*"&amp;A44&amp;"*"))</f>
        <v/>
      </c>
      <c r="F44" s="22">
        <f>IF(A44="","",SUMIF('משימות'!$G$3:$G$122,"*"&amp;A44&amp;"*",'משימות'!$I$3:$I$122))</f>
        <v/>
      </c>
      <c r="G44" s="22">
        <f>IF(A44="","",SUMIF('היסטוריה'!$B$3:$B$3002,A44,'היסטוריה'!$F$3:$F$3002))</f>
        <v/>
      </c>
      <c r="H44" s="34" t="n"/>
    </row>
    <row r="45">
      <c r="A45" s="19" t="inlineStr">
        <is>
          <t>אייל ציגנלאוב</t>
        </is>
      </c>
      <c r="B45" s="27" t="inlineStr">
        <is>
          <t>מדרשה</t>
        </is>
      </c>
      <c r="C45" s="33" t="n"/>
      <c r="D45" s="34" t="n"/>
      <c r="E45" s="22">
        <f>IF(A45="","",COUNTIF('משימות'!$G$3:$G$122,"*"&amp;A45&amp;"*"))</f>
        <v/>
      </c>
      <c r="F45" s="22">
        <f>IF(A45="","",SUMIF('משימות'!$G$3:$G$122,"*"&amp;A45&amp;"*",'משימות'!$I$3:$I$122))</f>
        <v/>
      </c>
      <c r="G45" s="22">
        <f>IF(A45="","",SUMIF('היסטוריה'!$B$3:$B$3002,A45,'היסטוריה'!$F$3:$F$3002))</f>
        <v/>
      </c>
      <c r="H45" s="34" t="n"/>
    </row>
    <row r="46">
      <c r="A46" s="19" t="inlineStr">
        <is>
          <t>אלה מאיר</t>
        </is>
      </c>
      <c r="B46" s="27" t="inlineStr">
        <is>
          <t>מדרשה</t>
        </is>
      </c>
      <c r="C46" s="33" t="n"/>
      <c r="D46" s="34" t="n"/>
      <c r="E46" s="22">
        <f>IF(A46="","",COUNTIF('משימות'!$G$3:$G$122,"*"&amp;A46&amp;"*"))</f>
        <v/>
      </c>
      <c r="F46" s="22">
        <f>IF(A46="","",SUMIF('משימות'!$G$3:$G$122,"*"&amp;A46&amp;"*",'משימות'!$I$3:$I$122))</f>
        <v/>
      </c>
      <c r="G46" s="22">
        <f>IF(A46="","",SUMIF('היסטוריה'!$B$3:$B$3002,A46,'היסטוריה'!$F$3:$F$3002))</f>
        <v/>
      </c>
      <c r="H46" s="34" t="n"/>
    </row>
    <row r="47">
      <c r="A47" s="19" t="inlineStr">
        <is>
          <t>זואי כהן</t>
        </is>
      </c>
      <c r="B47" s="27" t="inlineStr">
        <is>
          <t>מדרשה</t>
        </is>
      </c>
      <c r="C47" s="33" t="n"/>
      <c r="D47" s="34" t="n"/>
      <c r="E47" s="22">
        <f>IF(A47="","",COUNTIF('משימות'!$G$3:$G$122,"*"&amp;A47&amp;"*"))</f>
        <v/>
      </c>
      <c r="F47" s="22">
        <f>IF(A47="","",SUMIF('משימות'!$G$3:$G$122,"*"&amp;A47&amp;"*",'משימות'!$I$3:$I$122))</f>
        <v/>
      </c>
      <c r="G47" s="22">
        <f>IF(A47="","",SUMIF('היסטוריה'!$B$3:$B$3002,A47,'היסטוריה'!$F$3:$F$3002))</f>
        <v/>
      </c>
      <c r="H47" s="34" t="n"/>
    </row>
    <row r="48">
      <c r="A48" s="19" t="inlineStr">
        <is>
          <t>של״ו רובינשטיין</t>
        </is>
      </c>
      <c r="B48" s="27" t="inlineStr">
        <is>
          <t>מדרשה</t>
        </is>
      </c>
      <c r="C48" s="33" t="n"/>
      <c r="D48" s="34" t="n"/>
      <c r="E48" s="22">
        <f>IF(A48="","",COUNTIF('משימות'!$G$3:$G$122,"*"&amp;A48&amp;"*"))</f>
        <v/>
      </c>
      <c r="F48" s="22">
        <f>IF(A48="","",SUMIF('משימות'!$G$3:$G$122,"*"&amp;A48&amp;"*",'משימות'!$I$3:$I$122))</f>
        <v/>
      </c>
      <c r="G48" s="22">
        <f>IF(A48="","",SUMIF('היסטוריה'!$B$3:$B$3002,A48,'היסטוריה'!$F$3:$F$3002))</f>
        <v/>
      </c>
      <c r="H48" s="34" t="n"/>
    </row>
    <row r="49">
      <c r="A49" s="19" t="inlineStr">
        <is>
          <t>כליל בלאוקופף</t>
        </is>
      </c>
      <c r="B49" s="27" t="inlineStr">
        <is>
          <t>מדרשה</t>
        </is>
      </c>
      <c r="C49" s="33" t="n"/>
      <c r="D49" s="34" t="n"/>
      <c r="E49" s="22">
        <f>IF(A49="","",COUNTIF('משימות'!$G$3:$G$122,"*"&amp;A49&amp;"*"))</f>
        <v/>
      </c>
      <c r="F49" s="22">
        <f>IF(A49="","",SUMIF('משימות'!$G$3:$G$122,"*"&amp;A49&amp;"*",'משימות'!$I$3:$I$122))</f>
        <v/>
      </c>
      <c r="G49" s="22">
        <f>IF(A49="","",SUMIF('היסטוריה'!$B$3:$B$3002,A49,'היסטוריה'!$F$3:$F$3002))</f>
        <v/>
      </c>
      <c r="H49" s="34" t="n"/>
    </row>
    <row r="50">
      <c r="A50" s="19" t="inlineStr">
        <is>
          <t>רוני פרנקל</t>
        </is>
      </c>
      <c r="B50" s="27" t="inlineStr">
        <is>
          <t>מדרשה</t>
        </is>
      </c>
      <c r="C50" s="33" t="n"/>
      <c r="D50" s="34" t="n"/>
      <c r="E50" s="22">
        <f>IF(A50="","",COUNTIF('משימות'!$G$3:$G$122,"*"&amp;A50&amp;"*"))</f>
        <v/>
      </c>
      <c r="F50" s="22">
        <f>IF(A50="","",SUMIF('משימות'!$G$3:$G$122,"*"&amp;A50&amp;"*",'משימות'!$I$3:$I$122))</f>
        <v/>
      </c>
      <c r="G50" s="22">
        <f>IF(A50="","",SUMIF('היסטוריה'!$B$3:$B$3002,A50,'היסטוריה'!$F$3:$F$3002))</f>
        <v/>
      </c>
      <c r="H50" s="34" t="n"/>
    </row>
    <row r="51">
      <c r="A51" s="19" t="inlineStr">
        <is>
          <t>נועם גלס</t>
        </is>
      </c>
      <c r="B51" s="27" t="inlineStr">
        <is>
          <t>מדרשה</t>
        </is>
      </c>
      <c r="C51" s="33" t="n"/>
      <c r="D51" s="34" t="n"/>
      <c r="E51" s="22">
        <f>IF(A51="","",COUNTIF('משימות'!$G$3:$G$122,"*"&amp;A51&amp;"*"))</f>
        <v/>
      </c>
      <c r="F51" s="22">
        <f>IF(A51="","",SUMIF('משימות'!$G$3:$G$122,"*"&amp;A51&amp;"*",'משימות'!$I$3:$I$122))</f>
        <v/>
      </c>
      <c r="G51" s="22">
        <f>IF(A51="","",SUMIF('היסטוריה'!$B$3:$B$3002,A51,'היסטוריה'!$F$3:$F$3002))</f>
        <v/>
      </c>
      <c r="H51" s="34" t="n"/>
    </row>
    <row r="52">
      <c r="A52" s="19" t="inlineStr">
        <is>
          <t>הילה לביא</t>
        </is>
      </c>
      <c r="B52" s="27" t="inlineStr">
        <is>
          <t>מדרשה</t>
        </is>
      </c>
      <c r="C52" s="33" t="n"/>
      <c r="D52" s="34" t="n"/>
      <c r="E52" s="22">
        <f>IF(A52="","",COUNTIF('משימות'!$G$3:$G$122,"*"&amp;A52&amp;"*"))</f>
        <v/>
      </c>
      <c r="F52" s="22">
        <f>IF(A52="","",SUMIF('משימות'!$G$3:$G$122,"*"&amp;A52&amp;"*",'משימות'!$I$3:$I$122))</f>
        <v/>
      </c>
      <c r="G52" s="22">
        <f>IF(A52="","",SUMIF('היסטוריה'!$B$3:$B$3002,A52,'היסטוריה'!$F$3:$F$3002))</f>
        <v/>
      </c>
      <c r="H52" s="34" t="n"/>
    </row>
    <row r="53">
      <c r="A53" s="19" t="inlineStr">
        <is>
          <t>עמית שי אברהם</t>
        </is>
      </c>
      <c r="B53" s="27" t="inlineStr">
        <is>
          <t>מדרשה</t>
        </is>
      </c>
      <c r="C53" s="33" t="n"/>
      <c r="D53" s="34" t="n"/>
      <c r="E53" s="22">
        <f>IF(A53="","",COUNTIF('משימות'!$G$3:$G$122,"*"&amp;A53&amp;"*"))</f>
        <v/>
      </c>
      <c r="F53" s="22">
        <f>IF(A53="","",SUMIF('משימות'!$G$3:$G$122,"*"&amp;A53&amp;"*",'משימות'!$I$3:$I$122))</f>
        <v/>
      </c>
      <c r="G53" s="22">
        <f>IF(A53="","",SUMIF('היסטוריה'!$B$3:$B$3002,A53,'היסטוריה'!$F$3:$F$3002))</f>
        <v/>
      </c>
      <c r="H53" s="34" t="n"/>
    </row>
    <row r="54">
      <c r="A54" s="19" t="inlineStr">
        <is>
          <t>תמר פרימור</t>
        </is>
      </c>
      <c r="B54" s="27" t="inlineStr">
        <is>
          <t>מדרשה</t>
        </is>
      </c>
      <c r="C54" s="33" t="n"/>
      <c r="D54" s="34" t="n"/>
      <c r="E54" s="22">
        <f>IF(A54="","",COUNTIF('משימות'!$G$3:$G$122,"*"&amp;A54&amp;"*"))</f>
        <v/>
      </c>
      <c r="F54" s="22">
        <f>IF(A54="","",SUMIF('משימות'!$G$3:$G$122,"*"&amp;A54&amp;"*",'משימות'!$I$3:$I$122))</f>
        <v/>
      </c>
      <c r="G54" s="22">
        <f>IF(A54="","",SUMIF('היסטוריה'!$B$3:$B$3002,A54,'היסטוריה'!$F$3:$F$3002))</f>
        <v/>
      </c>
      <c r="H54" s="34" t="n"/>
    </row>
    <row r="55">
      <c r="A55" s="19" t="inlineStr">
        <is>
          <t>נבו בלוך</t>
        </is>
      </c>
      <c r="B55" s="27" t="inlineStr">
        <is>
          <t>מדרשה</t>
        </is>
      </c>
      <c r="C55" s="33" t="n"/>
      <c r="D55" s="34" t="n"/>
      <c r="E55" s="22">
        <f>IF(A55="","",COUNTIF('משימות'!$G$3:$G$122,"*"&amp;A55&amp;"*"))</f>
        <v/>
      </c>
      <c r="F55" s="22">
        <f>IF(A55="","",SUMIF('משימות'!$G$3:$G$122,"*"&amp;A55&amp;"*",'משימות'!$I$3:$I$122))</f>
        <v/>
      </c>
      <c r="G55" s="22">
        <f>IF(A55="","",SUMIF('היסטוריה'!$B$3:$B$3002,A55,'היסטוריה'!$F$3:$F$3002))</f>
        <v/>
      </c>
      <c r="H55" s="34" t="n"/>
    </row>
    <row r="56">
      <c r="A56" s="19" t="inlineStr">
        <is>
          <t>ארבל פרנקו</t>
        </is>
      </c>
      <c r="B56" s="27" t="inlineStr">
        <is>
          <t>מדרשה</t>
        </is>
      </c>
      <c r="C56" s="33" t="n"/>
      <c r="D56" s="34" t="n"/>
      <c r="E56" s="22">
        <f>IF(A56="","",COUNTIF('משימות'!$G$3:$G$122,"*"&amp;A56&amp;"*"))</f>
        <v/>
      </c>
      <c r="F56" s="22">
        <f>IF(A56="","",SUMIF('משימות'!$G$3:$G$122,"*"&amp;A56&amp;"*",'משימות'!$I$3:$I$122))</f>
        <v/>
      </c>
      <c r="G56" s="22">
        <f>IF(A56="","",SUMIF('היסטוריה'!$B$3:$B$3002,A56,'היסטוריה'!$F$3:$F$3002))</f>
        <v/>
      </c>
      <c r="H56" s="34" t="n"/>
    </row>
    <row r="57">
      <c r="A57" s="19" t="inlineStr">
        <is>
          <t>יעל קהת</t>
        </is>
      </c>
      <c r="B57" s="27" t="inlineStr">
        <is>
          <t>מדרשה</t>
        </is>
      </c>
      <c r="C57" s="33" t="n"/>
      <c r="D57" s="34" t="n"/>
      <c r="E57" s="22">
        <f>IF(A57="","",COUNTIF('משימות'!$G$3:$G$122,"*"&amp;A57&amp;"*"))</f>
        <v/>
      </c>
      <c r="F57" s="22">
        <f>IF(A57="","",SUMIF('משימות'!$G$3:$G$122,"*"&amp;A57&amp;"*",'משימות'!$I$3:$I$122))</f>
        <v/>
      </c>
      <c r="G57" s="22">
        <f>IF(A57="","",SUMIF('היסטוריה'!$B$3:$B$3002,A57,'היסטוריה'!$F$3:$F$3002))</f>
        <v/>
      </c>
      <c r="H57" s="34" t="n"/>
    </row>
    <row r="58">
      <c r="A58" s="19" t="inlineStr">
        <is>
          <t>יעל ברחד</t>
        </is>
      </c>
      <c r="B58" s="27" t="inlineStr">
        <is>
          <t>מדרשה</t>
        </is>
      </c>
      <c r="C58" s="33" t="n"/>
      <c r="D58" s="34" t="n"/>
      <c r="E58" s="22">
        <f>IF(A58="","",COUNTIF('משימות'!$G$3:$G$122,"*"&amp;A58&amp;"*"))</f>
        <v/>
      </c>
      <c r="F58" s="22">
        <f>IF(A58="","",SUMIF('משימות'!$G$3:$G$122,"*"&amp;A58&amp;"*",'משימות'!$I$3:$I$122))</f>
        <v/>
      </c>
      <c r="G58" s="22">
        <f>IF(A58="","",SUMIF('היסטוריה'!$B$3:$B$3002,A58,'היסטוריה'!$F$3:$F$3002))</f>
        <v/>
      </c>
      <c r="H58" s="34" t="n"/>
    </row>
    <row r="59">
      <c r="A59" s="19" t="inlineStr">
        <is>
          <t>תמר פרידמן</t>
        </is>
      </c>
      <c r="B59" s="27" t="inlineStr">
        <is>
          <t>מדרשה</t>
        </is>
      </c>
      <c r="C59" s="33" t="n"/>
      <c r="D59" s="34" t="n"/>
      <c r="E59" s="22">
        <f>IF(A59="","",COUNTIF('משימות'!$G$3:$G$122,"*"&amp;A59&amp;"*"))</f>
        <v/>
      </c>
      <c r="F59" s="22">
        <f>IF(A59="","",SUMIF('משימות'!$G$3:$G$122,"*"&amp;A59&amp;"*",'משימות'!$I$3:$I$122))</f>
        <v/>
      </c>
      <c r="G59" s="22">
        <f>IF(A59="","",SUMIF('היסטוריה'!$B$3:$B$3002,A59,'היסטוריה'!$F$3:$F$3002))</f>
        <v/>
      </c>
      <c r="H59" s="34" t="n"/>
    </row>
    <row r="60">
      <c r="A60" s="19" t="inlineStr">
        <is>
          <t>יותם ספיר</t>
        </is>
      </c>
      <c r="B60" s="27" t="inlineStr">
        <is>
          <t>מדרשה</t>
        </is>
      </c>
      <c r="C60" s="33" t="n"/>
      <c r="D60" s="34" t="n"/>
      <c r="E60" s="22">
        <f>IF(A60="","",COUNTIF('משימות'!$G$3:$G$122,"*"&amp;A60&amp;"*"))</f>
        <v/>
      </c>
      <c r="F60" s="22">
        <f>IF(A60="","",SUMIF('משימות'!$G$3:$G$122,"*"&amp;A60&amp;"*",'משימות'!$I$3:$I$122))</f>
        <v/>
      </c>
      <c r="G60" s="22">
        <f>IF(A60="","",SUMIF('היסטוריה'!$B$3:$B$3002,A60,'היסטוריה'!$F$3:$F$3002))</f>
        <v/>
      </c>
      <c r="H60" s="34" t="n"/>
    </row>
    <row r="61">
      <c r="A61" s="19" t="inlineStr">
        <is>
          <t>איתמר אסנהיים</t>
        </is>
      </c>
      <c r="B61" s="27" t="inlineStr">
        <is>
          <t>מדרשה</t>
        </is>
      </c>
      <c r="C61" s="33" t="n"/>
      <c r="D61" s="34" t="n"/>
      <c r="E61" s="22">
        <f>IF(A61="","",COUNTIF('משימות'!$G$3:$G$122,"*"&amp;A61&amp;"*"))</f>
        <v/>
      </c>
      <c r="F61" s="22">
        <f>IF(A61="","",SUMIF('משימות'!$G$3:$G$122,"*"&amp;A61&amp;"*",'משימות'!$I$3:$I$122))</f>
        <v/>
      </c>
      <c r="G61" s="22">
        <f>IF(A61="","",SUMIF('היסטוריה'!$B$3:$B$3002,A61,'היסטוריה'!$F$3:$F$3002))</f>
        <v/>
      </c>
      <c r="H61" s="34" t="n"/>
    </row>
    <row r="62">
      <c r="A62" s="19" t="inlineStr">
        <is>
          <t>שי- לי וולגמוט</t>
        </is>
      </c>
      <c r="B62" s="27" t="inlineStr">
        <is>
          <t>מדרשה</t>
        </is>
      </c>
      <c r="C62" s="33" t="n"/>
      <c r="D62" s="34" t="n"/>
      <c r="E62" s="22">
        <f>IF(A62="","",COUNTIF('משימות'!$G$3:$G$122,"*"&amp;A62&amp;"*"))</f>
        <v/>
      </c>
      <c r="F62" s="22">
        <f>IF(A62="","",SUMIF('משימות'!$G$3:$G$122,"*"&amp;A62&amp;"*",'משימות'!$I$3:$I$122))</f>
        <v/>
      </c>
      <c r="G62" s="22">
        <f>IF(A62="","",SUMIF('היסטוריה'!$B$3:$B$3002,A62,'היסטוריה'!$F$3:$F$3002))</f>
        <v/>
      </c>
      <c r="H62" s="34" t="n"/>
    </row>
    <row r="63">
      <c r="A63" s="19" t="inlineStr">
        <is>
          <t>יהונתן קצב</t>
        </is>
      </c>
      <c r="B63" s="27" t="inlineStr">
        <is>
          <t>מדרשה</t>
        </is>
      </c>
      <c r="C63" s="33" t="n"/>
      <c r="D63" s="34" t="n"/>
      <c r="E63" s="22">
        <f>IF(A63="","",COUNTIF('משימות'!$G$3:$G$122,"*"&amp;A63&amp;"*"))</f>
        <v/>
      </c>
      <c r="F63" s="22">
        <f>IF(A63="","",SUMIF('משימות'!$G$3:$G$122,"*"&amp;A63&amp;"*",'משימות'!$I$3:$I$122))</f>
        <v/>
      </c>
      <c r="G63" s="22">
        <f>IF(A63="","",SUMIF('היסטוריה'!$B$3:$B$3002,A63,'היסטוריה'!$F$3:$F$3002))</f>
        <v/>
      </c>
      <c r="H63" s="34" t="n"/>
    </row>
    <row r="64">
      <c r="A64" s="19" t="inlineStr">
        <is>
          <t>שילת פילפל</t>
        </is>
      </c>
      <c r="B64" s="27" t="inlineStr">
        <is>
          <t>מדרשה</t>
        </is>
      </c>
      <c r="C64" s="33" t="n"/>
      <c r="D64" s="34" t="n"/>
      <c r="E64" s="22">
        <f>IF(A64="","",COUNTIF('משימות'!$G$3:$G$122,"*"&amp;A64&amp;"*"))</f>
        <v/>
      </c>
      <c r="F64" s="22">
        <f>IF(A64="","",SUMIF('משימות'!$G$3:$G$122,"*"&amp;A64&amp;"*",'משימות'!$I$3:$I$122))</f>
        <v/>
      </c>
      <c r="G64" s="22">
        <f>IF(A64="","",SUMIF('היסטוריה'!$B$3:$B$3002,A64,'היסטוריה'!$F$3:$F$3002))</f>
        <v/>
      </c>
      <c r="H64" s="34" t="n"/>
    </row>
    <row r="65">
      <c r="A65" s="19" t="inlineStr">
        <is>
          <t>נועם ישראל קומפאס</t>
        </is>
      </c>
      <c r="B65" s="27" t="inlineStr">
        <is>
          <t>מדרשה</t>
        </is>
      </c>
      <c r="C65" s="33" t="n"/>
      <c r="D65" s="34" t="n"/>
      <c r="E65" s="22">
        <f>IF(A65="","",COUNTIF('משימות'!$G$3:$G$122,"*"&amp;A65&amp;"*"))</f>
        <v/>
      </c>
      <c r="F65" s="22">
        <f>IF(A65="","",SUMIF('משימות'!$G$3:$G$122,"*"&amp;A65&amp;"*",'משימות'!$I$3:$I$122))</f>
        <v/>
      </c>
      <c r="G65" s="22">
        <f>IF(A65="","",SUMIF('היסטוריה'!$B$3:$B$3002,A65,'היסטוריה'!$F$3:$F$3002))</f>
        <v/>
      </c>
      <c r="H65" s="34" t="n"/>
    </row>
    <row r="66">
      <c r="A66" s="19" t="inlineStr">
        <is>
          <t>רועי צבי סרי</t>
        </is>
      </c>
      <c r="B66" s="27" t="inlineStr">
        <is>
          <t>מדרשה</t>
        </is>
      </c>
      <c r="C66" s="33" t="n"/>
      <c r="D66" s="34" t="n"/>
      <c r="E66" s="22">
        <f>IF(A66="","",COUNTIF('משימות'!$G$3:$G$122,"*"&amp;A66&amp;"*"))</f>
        <v/>
      </c>
      <c r="F66" s="22">
        <f>IF(A66="","",SUMIF('משימות'!$G$3:$G$122,"*"&amp;A66&amp;"*",'משימות'!$I$3:$I$122))</f>
        <v/>
      </c>
      <c r="G66" s="22">
        <f>IF(A66="","",SUMIF('היסטוריה'!$B$3:$B$3002,A66,'היסטוריה'!$F$3:$F$3002))</f>
        <v/>
      </c>
      <c r="H66" s="34" t="n"/>
    </row>
    <row r="67">
      <c r="A67" s="19" t="inlineStr">
        <is>
          <t>שירה אדלה לוזון</t>
        </is>
      </c>
      <c r="B67" s="27" t="inlineStr">
        <is>
          <t>מדרשה</t>
        </is>
      </c>
      <c r="C67" s="33" t="n"/>
      <c r="D67" s="34" t="n"/>
      <c r="E67" s="22">
        <f>IF(A67="","",COUNTIF('משימות'!$G$3:$G$122,"*"&amp;A67&amp;"*"))</f>
        <v/>
      </c>
      <c r="F67" s="22">
        <f>IF(A67="","",SUMIF('משימות'!$G$3:$G$122,"*"&amp;A67&amp;"*",'משימות'!$I$3:$I$122))</f>
        <v/>
      </c>
      <c r="G67" s="22">
        <f>IF(A67="","",SUMIF('היסטוריה'!$B$3:$B$3002,A67,'היסטוריה'!$F$3:$F$3002))</f>
        <v/>
      </c>
      <c r="H67" s="34" t="n"/>
    </row>
    <row r="68">
      <c r="A68" s="19" t="inlineStr">
        <is>
          <t>איתן כהן</t>
        </is>
      </c>
      <c r="B68" s="27" t="inlineStr">
        <is>
          <t>מדרשה</t>
        </is>
      </c>
      <c r="C68" s="33" t="n"/>
      <c r="D68" s="34" t="n"/>
      <c r="E68" s="22">
        <f>IF(A68="","",COUNTIF('משימות'!$G$3:$G$122,"*"&amp;A68&amp;"*"))</f>
        <v/>
      </c>
      <c r="F68" s="22">
        <f>IF(A68="","",SUMIF('משימות'!$G$3:$G$122,"*"&amp;A68&amp;"*",'משימות'!$I$3:$I$122))</f>
        <v/>
      </c>
      <c r="G68" s="22">
        <f>IF(A68="","",SUMIF('היסטוריה'!$B$3:$B$3002,A68,'היסטוריה'!$F$3:$F$3002))</f>
        <v/>
      </c>
      <c r="H68" s="34" t="n"/>
    </row>
    <row r="69">
      <c r="A69" s="19" t="inlineStr">
        <is>
          <t>אורי טילינגר</t>
        </is>
      </c>
      <c r="B69" s="27" t="inlineStr">
        <is>
          <t>מדרשה</t>
        </is>
      </c>
      <c r="C69" s="33" t="n"/>
      <c r="D69" s="34" t="n"/>
      <c r="E69" s="22">
        <f>IF(A69="","",COUNTIF('משימות'!$G$3:$G$122,"*"&amp;A69&amp;"*"))</f>
        <v/>
      </c>
      <c r="F69" s="22">
        <f>IF(A69="","",SUMIF('משימות'!$G$3:$G$122,"*"&amp;A69&amp;"*",'משימות'!$I$3:$I$122))</f>
        <v/>
      </c>
      <c r="G69" s="22">
        <f>IF(A69="","",SUMIF('היסטוריה'!$B$3:$B$3002,A69,'היסטוריה'!$F$3:$F$3002))</f>
        <v/>
      </c>
      <c r="H69" s="34" t="n"/>
    </row>
    <row r="70">
      <c r="A70" s="19" t="inlineStr">
        <is>
          <t>איתי בן מנחם</t>
        </is>
      </c>
      <c r="B70" s="27" t="inlineStr">
        <is>
          <t>מדרשה</t>
        </is>
      </c>
      <c r="C70" s="33" t="n"/>
      <c r="D70" s="34" t="n"/>
      <c r="E70" s="22">
        <f>IF(A70="","",COUNTIF('משימות'!$G$3:$G$122,"*"&amp;A70&amp;"*"))</f>
        <v/>
      </c>
      <c r="F70" s="22">
        <f>IF(A70="","",SUMIF('משימות'!$G$3:$G$122,"*"&amp;A70&amp;"*",'משימות'!$I$3:$I$122))</f>
        <v/>
      </c>
      <c r="G70" s="22">
        <f>IF(A70="","",SUMIF('היסטוריה'!$B$3:$B$3002,A70,'היסטוריה'!$F$3:$F$3002))</f>
        <v/>
      </c>
      <c r="H70" s="34" t="n"/>
    </row>
    <row r="71">
      <c r="A71" s="19" t="inlineStr">
        <is>
          <t>לוי יצחק יונגר</t>
        </is>
      </c>
      <c r="B71" s="27" t="inlineStr">
        <is>
          <t>מדרשה</t>
        </is>
      </c>
      <c r="C71" s="33" t="n"/>
      <c r="D71" s="34" t="n"/>
      <c r="E71" s="22">
        <f>IF(A71="","",COUNTIF('משימות'!$G$3:$G$122,"*"&amp;A71&amp;"*"))</f>
        <v/>
      </c>
      <c r="F71" s="22">
        <f>IF(A71="","",SUMIF('משימות'!$G$3:$G$122,"*"&amp;A71&amp;"*",'משימות'!$I$3:$I$122))</f>
        <v/>
      </c>
      <c r="G71" s="22">
        <f>IF(A71="","",SUMIF('היסטוריה'!$B$3:$B$3002,A71,'היסטוריה'!$F$3:$F$3002))</f>
        <v/>
      </c>
      <c r="H71" s="34" t="n"/>
    </row>
    <row r="72">
      <c r="A72" s="19" t="inlineStr">
        <is>
          <t>טליה קור</t>
        </is>
      </c>
      <c r="B72" s="27" t="inlineStr">
        <is>
          <t>מדרשה</t>
        </is>
      </c>
      <c r="C72" s="33" t="n"/>
      <c r="D72" s="34" t="n"/>
      <c r="E72" s="22">
        <f>IF(A72="","",COUNTIF('משימות'!$G$3:$G$122,"*"&amp;A72&amp;"*"))</f>
        <v/>
      </c>
      <c r="F72" s="22">
        <f>IF(A72="","",SUMIF('משימות'!$G$3:$G$122,"*"&amp;A72&amp;"*",'משימות'!$I$3:$I$122))</f>
        <v/>
      </c>
      <c r="G72" s="22">
        <f>IF(A72="","",SUMIF('היסטוריה'!$B$3:$B$3002,A72,'היסטוריה'!$F$3:$F$3002))</f>
        <v/>
      </c>
      <c r="H72" s="34" t="n"/>
    </row>
    <row r="73">
      <c r="A73" s="19" t="inlineStr">
        <is>
          <t>ניצן גמלא</t>
        </is>
      </c>
      <c r="B73" s="27" t="inlineStr">
        <is>
          <t>מדרשה</t>
        </is>
      </c>
      <c r="C73" s="33" t="n"/>
      <c r="D73" s="34" t="n"/>
      <c r="E73" s="22">
        <f>IF(A73="","",COUNTIF('משימות'!$G$3:$G$122,"*"&amp;A73&amp;"*"))</f>
        <v/>
      </c>
      <c r="F73" s="22">
        <f>IF(A73="","",SUMIF('משימות'!$G$3:$G$122,"*"&amp;A73&amp;"*",'משימות'!$I$3:$I$122))</f>
        <v/>
      </c>
      <c r="G73" s="22">
        <f>IF(A73="","",SUMIF('היסטוריה'!$B$3:$B$3002,A73,'היסטוריה'!$F$3:$F$3002))</f>
        <v/>
      </c>
      <c r="H73" s="34" t="n"/>
    </row>
    <row r="74">
      <c r="A74" s="19" t="inlineStr">
        <is>
          <t>אביב רוזנטל</t>
        </is>
      </c>
      <c r="B74" s="27" t="inlineStr">
        <is>
          <t>אלול</t>
        </is>
      </c>
      <c r="C74" s="33" t="n"/>
      <c r="D74" s="34" t="n"/>
      <c r="E74" s="22">
        <f>IF(A74="","",COUNTIF('משימות'!$G$3:$G$122,"*"&amp;A74&amp;"*"))</f>
        <v/>
      </c>
      <c r="F74" s="22">
        <f>IF(A74="","",SUMIF('משימות'!$G$3:$G$122,"*"&amp;A74&amp;"*",'משימות'!$I$3:$I$122))</f>
        <v/>
      </c>
      <c r="G74" s="22">
        <f>IF(A74="","",SUMIF('היסטוריה'!$B$3:$B$3002,A74,'היסטוריה'!$F$3:$F$3002))</f>
        <v/>
      </c>
      <c r="H74" s="34" t="n"/>
    </row>
    <row r="75">
      <c r="A75" s="19" t="inlineStr">
        <is>
          <t>אביה וייל</t>
        </is>
      </c>
      <c r="B75" s="27" t="inlineStr">
        <is>
          <t>אלול</t>
        </is>
      </c>
      <c r="C75" s="33" t="n"/>
      <c r="D75" s="34" t="n"/>
      <c r="E75" s="22">
        <f>IF(A75="","",COUNTIF('משימות'!$G$3:$G$122,"*"&amp;A75&amp;"*"))</f>
        <v/>
      </c>
      <c r="F75" s="22">
        <f>IF(A75="","",SUMIF('משימות'!$G$3:$G$122,"*"&amp;A75&amp;"*",'משימות'!$I$3:$I$122))</f>
        <v/>
      </c>
      <c r="G75" s="22">
        <f>IF(A75="","",SUMIF('היסטוריה'!$B$3:$B$3002,A75,'היסטוריה'!$F$3:$F$3002))</f>
        <v/>
      </c>
      <c r="H75" s="34" t="n"/>
    </row>
    <row r="76">
      <c r="A76" s="19" t="inlineStr">
        <is>
          <t>אורי אסף</t>
        </is>
      </c>
      <c r="B76" s="27" t="inlineStr">
        <is>
          <t>אלול</t>
        </is>
      </c>
      <c r="C76" s="33" t="n"/>
      <c r="D76" s="34" t="n"/>
      <c r="E76" s="22">
        <f>IF(A76="","",COUNTIF('משימות'!$G$3:$G$122,"*"&amp;A76&amp;"*"))</f>
        <v/>
      </c>
      <c r="F76" s="22">
        <f>IF(A76="","",SUMIF('משימות'!$G$3:$G$122,"*"&amp;A76&amp;"*",'משימות'!$I$3:$I$122))</f>
        <v/>
      </c>
      <c r="G76" s="22">
        <f>IF(A76="","",SUMIF('היסטוריה'!$B$3:$B$3002,A76,'היסטוריה'!$F$3:$F$3002))</f>
        <v/>
      </c>
      <c r="H76" s="34" t="n"/>
    </row>
    <row r="77">
      <c r="A77" s="19" t="inlineStr">
        <is>
          <t>איתי גוסטינר</t>
        </is>
      </c>
      <c r="B77" s="27" t="inlineStr">
        <is>
          <t>אלול</t>
        </is>
      </c>
      <c r="C77" s="33" t="n"/>
      <c r="D77" s="34" t="n"/>
      <c r="E77" s="22">
        <f>IF(A77="","",COUNTIF('משימות'!$G$3:$G$122,"*"&amp;A77&amp;"*"))</f>
        <v/>
      </c>
      <c r="F77" s="22">
        <f>IF(A77="","",SUMIF('משימות'!$G$3:$G$122,"*"&amp;A77&amp;"*",'משימות'!$I$3:$I$122))</f>
        <v/>
      </c>
      <c r="G77" s="22">
        <f>IF(A77="","",SUMIF('היסטוריה'!$B$3:$B$3002,A77,'היסטוריה'!$F$3:$F$3002))</f>
        <v/>
      </c>
      <c r="H77" s="34" t="n"/>
    </row>
    <row r="78">
      <c r="A78" s="19" t="inlineStr">
        <is>
          <t>איתי רוס</t>
        </is>
      </c>
      <c r="B78" s="27" t="inlineStr">
        <is>
          <t>אלול</t>
        </is>
      </c>
      <c r="C78" s="33" t="n"/>
      <c r="D78" s="34" t="n"/>
      <c r="E78" s="22">
        <f>IF(A78="","",COUNTIF('משימות'!$G$3:$G$122,"*"&amp;A78&amp;"*"))</f>
        <v/>
      </c>
      <c r="F78" s="22">
        <f>IF(A78="","",SUMIF('משימות'!$G$3:$G$122,"*"&amp;A78&amp;"*",'משימות'!$I$3:$I$122))</f>
        <v/>
      </c>
      <c r="G78" s="22">
        <f>IF(A78="","",SUMIF('היסטוריה'!$B$3:$B$3002,A78,'היסטוריה'!$F$3:$F$3002))</f>
        <v/>
      </c>
      <c r="H78" s="34" t="n"/>
    </row>
    <row r="79">
      <c r="A79" s="19" t="inlineStr">
        <is>
          <t>אלון דיין</t>
        </is>
      </c>
      <c r="B79" s="27" t="inlineStr">
        <is>
          <t>אלול</t>
        </is>
      </c>
      <c r="C79" s="33" t="n"/>
      <c r="D79" s="34" t="n"/>
      <c r="E79" s="22">
        <f>IF(A79="","",COUNTIF('משימות'!$G$3:$G$122,"*"&amp;A79&amp;"*"))</f>
        <v/>
      </c>
      <c r="F79" s="22">
        <f>IF(A79="","",SUMIF('משימות'!$G$3:$G$122,"*"&amp;A79&amp;"*",'משימות'!$I$3:$I$122))</f>
        <v/>
      </c>
      <c r="G79" s="22">
        <f>IF(A79="","",SUMIF('היסטוריה'!$B$3:$B$3002,A79,'היסטוריה'!$F$3:$F$3002))</f>
        <v/>
      </c>
      <c r="H79" s="34" t="n"/>
    </row>
    <row r="80">
      <c r="A80" s="19" t="inlineStr">
        <is>
          <t>דנה שם טוב</t>
        </is>
      </c>
      <c r="B80" s="27" t="inlineStr">
        <is>
          <t>אלול</t>
        </is>
      </c>
      <c r="C80" s="33" t="n"/>
      <c r="D80" s="34" t="n"/>
      <c r="E80" s="22">
        <f>IF(A80="","",COUNTIF('משימות'!$G$3:$G$122,"*"&amp;A80&amp;"*"))</f>
        <v/>
      </c>
      <c r="F80" s="22">
        <f>IF(A80="","",SUMIF('משימות'!$G$3:$G$122,"*"&amp;A80&amp;"*",'משימות'!$I$3:$I$122))</f>
        <v/>
      </c>
      <c r="G80" s="22">
        <f>IF(A80="","",SUMIF('היסטוריה'!$B$3:$B$3002,A80,'היסטוריה'!$F$3:$F$3002))</f>
        <v/>
      </c>
      <c r="H80" s="34" t="n"/>
    </row>
    <row r="81">
      <c r="A81" s="19" t="inlineStr">
        <is>
          <t>יאר אלפסי</t>
        </is>
      </c>
      <c r="B81" s="27" t="inlineStr">
        <is>
          <t>אלול</t>
        </is>
      </c>
      <c r="C81" s="33" t="n"/>
      <c r="D81" s="34" t="n"/>
      <c r="E81" s="22">
        <f>IF(A81="","",COUNTIF('משימות'!$G$3:$G$122,"*"&amp;A81&amp;"*"))</f>
        <v/>
      </c>
      <c r="F81" s="22">
        <f>IF(A81="","",SUMIF('משימות'!$G$3:$G$122,"*"&amp;A81&amp;"*",'משימות'!$I$3:$I$122))</f>
        <v/>
      </c>
      <c r="G81" s="22">
        <f>IF(A81="","",SUMIF('היסטוריה'!$B$3:$B$3002,A81,'היסטוריה'!$F$3:$F$3002))</f>
        <v/>
      </c>
      <c r="H81" s="34" t="n"/>
    </row>
    <row r="82">
      <c r="A82" s="19" t="inlineStr">
        <is>
          <t>יערה ריס</t>
        </is>
      </c>
      <c r="B82" s="27" t="inlineStr">
        <is>
          <t>אלול</t>
        </is>
      </c>
      <c r="C82" s="33" t="n"/>
      <c r="D82" s="34" t="n"/>
      <c r="E82" s="22">
        <f>IF(A82="","",COUNTIF('משימות'!$G$3:$G$122,"*"&amp;A82&amp;"*"))</f>
        <v/>
      </c>
      <c r="F82" s="22">
        <f>IF(A82="","",SUMIF('משימות'!$G$3:$G$122,"*"&amp;A82&amp;"*",'משימות'!$I$3:$I$122))</f>
        <v/>
      </c>
      <c r="G82" s="22">
        <f>IF(A82="","",SUMIF('היסטוריה'!$B$3:$B$3002,A82,'היסטוריה'!$F$3:$F$3002))</f>
        <v/>
      </c>
      <c r="H82" s="34" t="n"/>
    </row>
    <row r="83">
      <c r="A83" s="19" t="inlineStr">
        <is>
          <t>ליאור שימרלינג</t>
        </is>
      </c>
      <c r="B83" s="27" t="inlineStr">
        <is>
          <t>אלול</t>
        </is>
      </c>
      <c r="C83" s="33" t="n"/>
      <c r="D83" s="34" t="n"/>
      <c r="E83" s="22">
        <f>IF(A83="","",COUNTIF('משימות'!$G$3:$G$122,"*"&amp;A83&amp;"*"))</f>
        <v/>
      </c>
      <c r="F83" s="22">
        <f>IF(A83="","",SUMIF('משימות'!$G$3:$G$122,"*"&amp;A83&amp;"*",'משימות'!$I$3:$I$122))</f>
        <v/>
      </c>
      <c r="G83" s="22">
        <f>IF(A83="","",SUMIF('היסטוריה'!$B$3:$B$3002,A83,'היסטוריה'!$F$3:$F$3002))</f>
        <v/>
      </c>
      <c r="H83" s="34" t="n"/>
    </row>
    <row r="84">
      <c r="A84" s="19" t="inlineStr">
        <is>
          <t>ליבי בוכריס</t>
        </is>
      </c>
      <c r="B84" s="27" t="inlineStr">
        <is>
          <t>אלול</t>
        </is>
      </c>
      <c r="C84" s="33" t="n"/>
      <c r="D84" s="34" t="n"/>
      <c r="E84" s="22">
        <f>IF(A84="","",COUNTIF('משימות'!$G$3:$G$122,"*"&amp;A84&amp;"*"))</f>
        <v/>
      </c>
      <c r="F84" s="22">
        <f>IF(A84="","",SUMIF('משימות'!$G$3:$G$122,"*"&amp;A84&amp;"*",'משימות'!$I$3:$I$122))</f>
        <v/>
      </c>
      <c r="G84" s="22">
        <f>IF(A84="","",SUMIF('היסטוריה'!$B$3:$B$3002,A84,'היסטוריה'!$F$3:$F$3002))</f>
        <v/>
      </c>
      <c r="H84" s="34" t="n"/>
    </row>
    <row r="85">
      <c r="A85" s="19" t="inlineStr">
        <is>
          <t>ליעם גבע</t>
        </is>
      </c>
      <c r="B85" s="27" t="inlineStr">
        <is>
          <t>אלול</t>
        </is>
      </c>
      <c r="C85" s="33" t="n"/>
      <c r="D85" s="34" t="n"/>
      <c r="E85" s="22">
        <f>IF(A85="","",COUNTIF('משימות'!$G$3:$G$122,"*"&amp;A85&amp;"*"))</f>
        <v/>
      </c>
      <c r="F85" s="22">
        <f>IF(A85="","",SUMIF('משימות'!$G$3:$G$122,"*"&amp;A85&amp;"*",'משימות'!$I$3:$I$122))</f>
        <v/>
      </c>
      <c r="G85" s="22">
        <f>IF(A85="","",SUMIF('היסטוריה'!$B$3:$B$3002,A85,'היסטוריה'!$F$3:$F$3002))</f>
        <v/>
      </c>
      <c r="H85" s="34" t="n"/>
    </row>
    <row r="86">
      <c r="A86" s="19" t="inlineStr">
        <is>
          <t>מאיה פקטר</t>
        </is>
      </c>
      <c r="B86" s="27" t="inlineStr">
        <is>
          <t>אלול</t>
        </is>
      </c>
      <c r="C86" s="33" t="n"/>
      <c r="D86" s="34" t="n"/>
      <c r="E86" s="22">
        <f>IF(A86="","",COUNTIF('משימות'!$G$3:$G$122,"*"&amp;A86&amp;"*"))</f>
        <v/>
      </c>
      <c r="F86" s="22">
        <f>IF(A86="","",SUMIF('משימות'!$G$3:$G$122,"*"&amp;A86&amp;"*",'משימות'!$I$3:$I$122))</f>
        <v/>
      </c>
      <c r="G86" s="22">
        <f>IF(A86="","",SUMIF('היסטוריה'!$B$3:$B$3002,A86,'היסטוריה'!$F$3:$F$3002))</f>
        <v/>
      </c>
      <c r="H86" s="34" t="n"/>
    </row>
    <row r="87">
      <c r="A87" s="19" t="inlineStr">
        <is>
          <t>נוה גריינר</t>
        </is>
      </c>
      <c r="B87" s="27" t="inlineStr">
        <is>
          <t>אלול</t>
        </is>
      </c>
      <c r="C87" s="33" t="n"/>
      <c r="D87" s="34" t="n"/>
      <c r="E87" s="22">
        <f>IF(A87="","",COUNTIF('משימות'!$G$3:$G$122,"*"&amp;A87&amp;"*"))</f>
        <v/>
      </c>
      <c r="F87" s="22">
        <f>IF(A87="","",SUMIF('משימות'!$G$3:$G$122,"*"&amp;A87&amp;"*",'משימות'!$I$3:$I$122))</f>
        <v/>
      </c>
      <c r="G87" s="22">
        <f>IF(A87="","",SUMIF('היסטוריה'!$B$3:$B$3002,A87,'היסטוריה'!$F$3:$F$3002))</f>
        <v/>
      </c>
      <c r="H87" s="34" t="n"/>
    </row>
    <row r="88">
      <c r="A88" s="19" t="inlineStr">
        <is>
          <t>נעמי פונקלשטיין</t>
        </is>
      </c>
      <c r="B88" s="27" t="inlineStr">
        <is>
          <t>אלול</t>
        </is>
      </c>
      <c r="C88" s="33" t="n"/>
      <c r="D88" s="34" t="n"/>
      <c r="E88" s="22">
        <f>IF(A88="","",COUNTIF('משימות'!$G$3:$G$122,"*"&amp;A88&amp;"*"))</f>
        <v/>
      </c>
      <c r="F88" s="22">
        <f>IF(A88="","",SUMIF('משימות'!$G$3:$G$122,"*"&amp;A88&amp;"*",'משימות'!$I$3:$I$122))</f>
        <v/>
      </c>
      <c r="G88" s="22">
        <f>IF(A88="","",SUMIF('היסטוריה'!$B$3:$B$3002,A88,'היסטוריה'!$F$3:$F$3002))</f>
        <v/>
      </c>
      <c r="H88" s="34" t="n"/>
    </row>
    <row r="89">
      <c r="A89" s="19" t="inlineStr">
        <is>
          <t>עליזה בלום</t>
        </is>
      </c>
      <c r="B89" s="27" t="inlineStr">
        <is>
          <t>אלול</t>
        </is>
      </c>
      <c r="C89" s="33" t="n"/>
      <c r="D89" s="34" t="n"/>
      <c r="E89" s="22">
        <f>IF(A89="","",COUNTIF('משימות'!$G$3:$G$122,"*"&amp;A89&amp;"*"))</f>
        <v/>
      </c>
      <c r="F89" s="22">
        <f>IF(A89="","",SUMIF('משימות'!$G$3:$G$122,"*"&amp;A89&amp;"*",'משימות'!$I$3:$I$122))</f>
        <v/>
      </c>
      <c r="G89" s="22">
        <f>IF(A89="","",SUMIF('היסטוריה'!$B$3:$B$3002,A89,'היסטוריה'!$F$3:$F$3002))</f>
        <v/>
      </c>
      <c r="H89" s="34" t="n"/>
    </row>
    <row r="90">
      <c r="A90" s="19" t="inlineStr">
        <is>
          <t>עפרי גזיאל</t>
        </is>
      </c>
      <c r="B90" s="27" t="inlineStr">
        <is>
          <t>אלול</t>
        </is>
      </c>
      <c r="C90" s="33" t="n"/>
      <c r="D90" s="34" t="n"/>
      <c r="E90" s="22">
        <f>IF(A90="","",COUNTIF('משימות'!$G$3:$G$122,"*"&amp;A90&amp;"*"))</f>
        <v/>
      </c>
      <c r="F90" s="22">
        <f>IF(A90="","",SUMIF('משימות'!$G$3:$G$122,"*"&amp;A90&amp;"*",'משימות'!$I$3:$I$122))</f>
        <v/>
      </c>
      <c r="G90" s="22">
        <f>IF(A90="","",SUMIF('היסטוריה'!$B$3:$B$3002,A90,'היסטוריה'!$F$3:$F$3002))</f>
        <v/>
      </c>
      <c r="H90" s="34" t="n"/>
    </row>
    <row r="91">
      <c r="A91" s="19" t="inlineStr">
        <is>
          <t>עשהאל ירושלמי</t>
        </is>
      </c>
      <c r="B91" s="27" t="inlineStr">
        <is>
          <t>אלול</t>
        </is>
      </c>
      <c r="C91" s="33" t="n"/>
      <c r="D91" s="34" t="n"/>
      <c r="E91" s="22">
        <f>IF(A91="","",COUNTIF('משימות'!$G$3:$G$122,"*"&amp;A91&amp;"*"))</f>
        <v/>
      </c>
      <c r="F91" s="22">
        <f>IF(A91="","",SUMIF('משימות'!$G$3:$G$122,"*"&amp;A91&amp;"*",'משימות'!$I$3:$I$122))</f>
        <v/>
      </c>
      <c r="G91" s="22">
        <f>IF(A91="","",SUMIF('היסטוריה'!$B$3:$B$3002,A91,'היסטוריה'!$F$3:$F$3002))</f>
        <v/>
      </c>
      <c r="H91" s="34" t="n"/>
    </row>
    <row r="92">
      <c r="A92" s="19" t="inlineStr">
        <is>
          <t>פרת פולס</t>
        </is>
      </c>
      <c r="B92" s="27" t="inlineStr">
        <is>
          <t>אלול</t>
        </is>
      </c>
      <c r="C92" s="33" t="n"/>
      <c r="D92" s="34" t="n"/>
      <c r="E92" s="22">
        <f>IF(A92="","",COUNTIF('משימות'!$G$3:$G$122,"*"&amp;A92&amp;"*"))</f>
        <v/>
      </c>
      <c r="F92" s="22">
        <f>IF(A92="","",SUMIF('משימות'!$G$3:$G$122,"*"&amp;A92&amp;"*",'משימות'!$I$3:$I$122))</f>
        <v/>
      </c>
      <c r="G92" s="22">
        <f>IF(A92="","",SUMIF('היסטוריה'!$B$3:$B$3002,A92,'היסטוריה'!$F$3:$F$3002))</f>
        <v/>
      </c>
      <c r="H92" s="34" t="n"/>
    </row>
    <row r="93">
      <c r="A93" s="19" t="inlineStr">
        <is>
          <t>רגב שהם</t>
        </is>
      </c>
      <c r="B93" s="27" t="inlineStr">
        <is>
          <t>אלול</t>
        </is>
      </c>
      <c r="C93" s="33" t="n"/>
      <c r="D93" s="34" t="n"/>
      <c r="E93" s="22">
        <f>IF(A93="","",COUNTIF('משימות'!$G$3:$G$122,"*"&amp;A93&amp;"*"))</f>
        <v/>
      </c>
      <c r="F93" s="22">
        <f>IF(A93="","",SUMIF('משימות'!$G$3:$G$122,"*"&amp;A93&amp;"*",'משימות'!$I$3:$I$122))</f>
        <v/>
      </c>
      <c r="G93" s="22">
        <f>IF(A93="","",SUMIF('היסטוריה'!$B$3:$B$3002,A93,'היסטוריה'!$F$3:$F$3002))</f>
        <v/>
      </c>
      <c r="H93" s="34" t="n"/>
    </row>
    <row r="94">
      <c r="A94" s="19" t="inlineStr">
        <is>
          <t>רוני כהן</t>
        </is>
      </c>
      <c r="B94" s="27" t="inlineStr">
        <is>
          <t>אלול</t>
        </is>
      </c>
      <c r="C94" s="33" t="n"/>
      <c r="D94" s="34" t="n"/>
      <c r="E94" s="22">
        <f>IF(A94="","",COUNTIF('משימות'!$G$3:$G$122,"*"&amp;A94&amp;"*"))</f>
        <v/>
      </c>
      <c r="F94" s="22">
        <f>IF(A94="","",SUMIF('משימות'!$G$3:$G$122,"*"&amp;A94&amp;"*",'משימות'!$I$3:$I$122))</f>
        <v/>
      </c>
      <c r="G94" s="22">
        <f>IF(A94="","",SUMIF('היסטוריה'!$B$3:$B$3002,A94,'היסטוריה'!$F$3:$F$3002))</f>
        <v/>
      </c>
      <c r="H94" s="34" t="n"/>
    </row>
    <row r="95">
      <c r="A95" s="19" t="n"/>
      <c r="B95" s="27" t="n"/>
      <c r="C95" s="33" t="n"/>
      <c r="D95" s="34" t="n"/>
      <c r="E95" s="22">
        <f>IF(A95="","",COUNTIF('משימות'!$G$3:$G$122,"*"&amp;A95&amp;"*"))</f>
        <v/>
      </c>
      <c r="F95" s="22">
        <f>IF(A95="","",SUMIF('משימות'!$G$3:$G$122,"*"&amp;A95&amp;"*",'משימות'!$I$3:$I$122))</f>
        <v/>
      </c>
      <c r="G95" s="22">
        <f>IF(A95="","",SUMIF('היסטוריה'!$B$3:$B$3002,A95,'היסטוריה'!$F$3:$F$3002))</f>
        <v/>
      </c>
      <c r="H95" s="34" t="n"/>
    </row>
    <row r="96">
      <c r="A96" s="19" t="n"/>
      <c r="B96" s="27" t="n"/>
      <c r="C96" s="33" t="n"/>
      <c r="D96" s="34" t="n"/>
      <c r="E96" s="22">
        <f>IF(A96="","",COUNTIF('משימות'!$G$3:$G$122,"*"&amp;A96&amp;"*"))</f>
        <v/>
      </c>
      <c r="F96" s="22">
        <f>IF(A96="","",SUMIF('משימות'!$G$3:$G$122,"*"&amp;A96&amp;"*",'משימות'!$I$3:$I$122))</f>
        <v/>
      </c>
      <c r="G96" s="22">
        <f>IF(A96="","",SUMIF('היסטוריה'!$B$3:$B$3002,A96,'היסטוריה'!$F$3:$F$3002))</f>
        <v/>
      </c>
      <c r="H96" s="34" t="n"/>
    </row>
    <row r="97">
      <c r="A97" s="19" t="n"/>
      <c r="B97" s="27" t="n"/>
      <c r="C97" s="33" t="n"/>
      <c r="D97" s="34" t="n"/>
      <c r="E97" s="22">
        <f>IF(A97="","",COUNTIF('משימות'!$G$3:$G$122,"*"&amp;A97&amp;"*"))</f>
        <v/>
      </c>
      <c r="F97" s="22">
        <f>IF(A97="","",SUMIF('משימות'!$G$3:$G$122,"*"&amp;A97&amp;"*",'משימות'!$I$3:$I$122))</f>
        <v/>
      </c>
      <c r="G97" s="22">
        <f>IF(A97="","",SUMIF('היסטוריה'!$B$3:$B$3002,A97,'היסטוריה'!$F$3:$F$3002))</f>
        <v/>
      </c>
      <c r="H97" s="34" t="n"/>
    </row>
    <row r="98">
      <c r="A98" s="19" t="n"/>
      <c r="B98" s="27" t="n"/>
      <c r="C98" s="33" t="n"/>
      <c r="D98" s="34" t="n"/>
      <c r="E98" s="22">
        <f>IF(A98="","",COUNTIF('משימות'!$G$3:$G$122,"*"&amp;A98&amp;"*"))</f>
        <v/>
      </c>
      <c r="F98" s="22">
        <f>IF(A98="","",SUMIF('משימות'!$G$3:$G$122,"*"&amp;A98&amp;"*",'משימות'!$I$3:$I$122))</f>
        <v/>
      </c>
      <c r="G98" s="22">
        <f>IF(A98="","",SUMIF('היסטוריה'!$B$3:$B$3002,A98,'היסטוריה'!$F$3:$F$3002))</f>
        <v/>
      </c>
      <c r="H98" s="34" t="n"/>
    </row>
    <row r="99">
      <c r="A99" s="19" t="n"/>
      <c r="B99" s="27" t="n"/>
      <c r="C99" s="33" t="n"/>
      <c r="D99" s="34" t="n"/>
      <c r="E99" s="22">
        <f>IF(A99="","",COUNTIF('משימות'!$G$3:$G$122,"*"&amp;A99&amp;"*"))</f>
        <v/>
      </c>
      <c r="F99" s="22">
        <f>IF(A99="","",SUMIF('משימות'!$G$3:$G$122,"*"&amp;A99&amp;"*",'משימות'!$I$3:$I$122))</f>
        <v/>
      </c>
      <c r="G99" s="22">
        <f>IF(A99="","",SUMIF('היסטוריה'!$B$3:$B$3002,A99,'היסטוריה'!$F$3:$F$3002))</f>
        <v/>
      </c>
      <c r="H99" s="34" t="n"/>
    </row>
    <row r="100">
      <c r="A100" s="19" t="n"/>
      <c r="B100" s="27" t="n"/>
      <c r="C100" s="33" t="n"/>
      <c r="D100" s="34" t="n"/>
      <c r="E100" s="22">
        <f>IF(A100="","",COUNTIF('משימות'!$G$3:$G$122,"*"&amp;A100&amp;"*"))</f>
        <v/>
      </c>
      <c r="F100" s="22">
        <f>IF(A100="","",SUMIF('משימות'!$G$3:$G$122,"*"&amp;A100&amp;"*",'משימות'!$I$3:$I$122))</f>
        <v/>
      </c>
      <c r="G100" s="22">
        <f>IF(A100="","",SUMIF('היסטוריה'!$B$3:$B$3002,A100,'היסטוריה'!$F$3:$F$3002))</f>
        <v/>
      </c>
      <c r="H100" s="34" t="n"/>
    </row>
    <row r="101">
      <c r="A101" s="19" t="n"/>
      <c r="B101" s="27" t="n"/>
      <c r="C101" s="33" t="n"/>
      <c r="D101" s="34" t="n"/>
      <c r="E101" s="22">
        <f>IF(A101="","",COUNTIF('משימות'!$G$3:$G$122,"*"&amp;A101&amp;"*"))</f>
        <v/>
      </c>
      <c r="F101" s="22">
        <f>IF(A101="","",SUMIF('משימות'!$G$3:$G$122,"*"&amp;A101&amp;"*",'משימות'!$I$3:$I$122))</f>
        <v/>
      </c>
      <c r="G101" s="22">
        <f>IF(A101="","",SUMIF('היסטוריה'!$B$3:$B$3002,A101,'היסטוריה'!$F$3:$F$3002))</f>
        <v/>
      </c>
      <c r="H101" s="34" t="n"/>
    </row>
    <row r="102">
      <c r="A102" s="19" t="n"/>
      <c r="B102" s="27" t="n"/>
      <c r="C102" s="33" t="n"/>
      <c r="D102" s="34" t="n"/>
      <c r="E102" s="22">
        <f>IF(A102="","",COUNTIF('משימות'!$G$3:$G$122,"*"&amp;A102&amp;"*"))</f>
        <v/>
      </c>
      <c r="F102" s="22">
        <f>IF(A102="","",SUMIF('משימות'!$G$3:$G$122,"*"&amp;A102&amp;"*",'משימות'!$I$3:$I$122))</f>
        <v/>
      </c>
      <c r="G102" s="22">
        <f>IF(A102="","",SUMIF('היסטוריה'!$B$3:$B$3002,A102,'היסטוריה'!$F$3:$F$3002))</f>
        <v/>
      </c>
      <c r="H102" s="34" t="n"/>
    </row>
    <row r="103">
      <c r="A103" s="19" t="n"/>
      <c r="B103" s="27" t="n"/>
      <c r="C103" s="33" t="n"/>
      <c r="D103" s="34" t="n"/>
      <c r="E103" s="22">
        <f>IF(A103="","",COUNTIF('משימות'!$G$3:$G$122,"*"&amp;A103&amp;"*"))</f>
        <v/>
      </c>
      <c r="F103" s="22">
        <f>IF(A103="","",SUMIF('משימות'!$G$3:$G$122,"*"&amp;A103&amp;"*",'משימות'!$I$3:$I$122))</f>
        <v/>
      </c>
      <c r="G103" s="22">
        <f>IF(A103="","",SUMIF('היסטוריה'!$B$3:$B$3002,A103,'היסטוריה'!$F$3:$F$3002))</f>
        <v/>
      </c>
      <c r="H103" s="34" t="n"/>
    </row>
    <row r="104">
      <c r="A104" s="19" t="n"/>
      <c r="B104" s="27" t="n"/>
      <c r="C104" s="33" t="n"/>
      <c r="D104" s="34" t="n"/>
      <c r="E104" s="22">
        <f>IF(A104="","",COUNTIF('משימות'!$G$3:$G$122,"*"&amp;A104&amp;"*"))</f>
        <v/>
      </c>
      <c r="F104" s="22">
        <f>IF(A104="","",SUMIF('משימות'!$G$3:$G$122,"*"&amp;A104&amp;"*",'משימות'!$I$3:$I$122))</f>
        <v/>
      </c>
      <c r="G104" s="22">
        <f>IF(A104="","",SUMIF('היסטוריה'!$B$3:$B$3002,A104,'היסטוריה'!$F$3:$F$3002))</f>
        <v/>
      </c>
      <c r="H104" s="34" t="n"/>
    </row>
    <row r="105">
      <c r="A105" s="19" t="n"/>
      <c r="B105" s="27" t="n"/>
      <c r="C105" s="33" t="n"/>
      <c r="D105" s="34" t="n"/>
      <c r="E105" s="22">
        <f>IF(A105="","",COUNTIF('משימות'!$G$3:$G$122,"*"&amp;A105&amp;"*"))</f>
        <v/>
      </c>
      <c r="F105" s="22">
        <f>IF(A105="","",SUMIF('משימות'!$G$3:$G$122,"*"&amp;A105&amp;"*",'משימות'!$I$3:$I$122))</f>
        <v/>
      </c>
      <c r="G105" s="22">
        <f>IF(A105="","",SUMIF('היסטוריה'!$B$3:$B$3002,A105,'היסטוריה'!$F$3:$F$3002))</f>
        <v/>
      </c>
      <c r="H105" s="34" t="n"/>
    </row>
    <row r="106">
      <c r="A106" s="19" t="n"/>
      <c r="B106" s="27" t="n"/>
      <c r="C106" s="33" t="n"/>
      <c r="D106" s="34" t="n"/>
      <c r="E106" s="22">
        <f>IF(A106="","",COUNTIF('משימות'!$G$3:$G$122,"*"&amp;A106&amp;"*"))</f>
        <v/>
      </c>
      <c r="F106" s="22">
        <f>IF(A106="","",SUMIF('משימות'!$G$3:$G$122,"*"&amp;A106&amp;"*",'משימות'!$I$3:$I$122))</f>
        <v/>
      </c>
      <c r="G106" s="22">
        <f>IF(A106="","",SUMIF('היסטוריה'!$B$3:$B$3002,A106,'היסטוריה'!$F$3:$F$3002))</f>
        <v/>
      </c>
      <c r="H106" s="34" t="n"/>
    </row>
    <row r="107">
      <c r="A107" s="19" t="n"/>
      <c r="B107" s="27" t="n"/>
      <c r="C107" s="33" t="n"/>
      <c r="D107" s="34" t="n"/>
      <c r="E107" s="22">
        <f>IF(A107="","",COUNTIF('משימות'!$G$3:$G$122,"*"&amp;A107&amp;"*"))</f>
        <v/>
      </c>
      <c r="F107" s="22">
        <f>IF(A107="","",SUMIF('משימות'!$G$3:$G$122,"*"&amp;A107&amp;"*",'משימות'!$I$3:$I$122))</f>
        <v/>
      </c>
      <c r="G107" s="22">
        <f>IF(A107="","",SUMIF('היסטוריה'!$B$3:$B$3002,A107,'היסטוריה'!$F$3:$F$3002))</f>
        <v/>
      </c>
      <c r="H107" s="34" t="n"/>
    </row>
    <row r="108">
      <c r="A108" s="19" t="n"/>
      <c r="B108" s="27" t="n"/>
      <c r="C108" s="33" t="n"/>
      <c r="D108" s="34" t="n"/>
      <c r="E108" s="22">
        <f>IF(A108="","",COUNTIF('משימות'!$G$3:$G$122,"*"&amp;A108&amp;"*"))</f>
        <v/>
      </c>
      <c r="F108" s="22">
        <f>IF(A108="","",SUMIF('משימות'!$G$3:$G$122,"*"&amp;A108&amp;"*",'משימות'!$I$3:$I$122))</f>
        <v/>
      </c>
      <c r="G108" s="22">
        <f>IF(A108="","",SUMIF('היסטוריה'!$B$3:$B$3002,A108,'היסטוריה'!$F$3:$F$3002))</f>
        <v/>
      </c>
      <c r="H108" s="34" t="n"/>
    </row>
    <row r="109">
      <c r="A109" s="19" t="n"/>
      <c r="B109" s="27" t="n"/>
      <c r="C109" s="33" t="n"/>
      <c r="D109" s="34" t="n"/>
      <c r="E109" s="22">
        <f>IF(A109="","",COUNTIF('משימות'!$G$3:$G$122,"*"&amp;A109&amp;"*"))</f>
        <v/>
      </c>
      <c r="F109" s="22">
        <f>IF(A109="","",SUMIF('משימות'!$G$3:$G$122,"*"&amp;A109&amp;"*",'משימות'!$I$3:$I$122))</f>
        <v/>
      </c>
      <c r="G109" s="22">
        <f>IF(A109="","",SUMIF('היסטוריה'!$B$3:$B$3002,A109,'היסטוריה'!$F$3:$F$3002))</f>
        <v/>
      </c>
      <c r="H109" s="34" t="n"/>
    </row>
    <row r="110">
      <c r="A110" s="19" t="n"/>
      <c r="B110" s="27" t="n"/>
      <c r="C110" s="33" t="n"/>
      <c r="D110" s="34" t="n"/>
      <c r="E110" s="22">
        <f>IF(A110="","",COUNTIF('משימות'!$G$3:$G$122,"*"&amp;A110&amp;"*"))</f>
        <v/>
      </c>
      <c r="F110" s="22">
        <f>IF(A110="","",SUMIF('משימות'!$G$3:$G$122,"*"&amp;A110&amp;"*",'משימות'!$I$3:$I$122))</f>
        <v/>
      </c>
      <c r="G110" s="22">
        <f>IF(A110="","",SUMIF('היסטוריה'!$B$3:$B$3002,A110,'היסטוריה'!$F$3:$F$3002))</f>
        <v/>
      </c>
      <c r="H110" s="34" t="n"/>
    </row>
    <row r="111">
      <c r="A111" s="19" t="n"/>
      <c r="B111" s="27" t="n"/>
      <c r="C111" s="33" t="n"/>
      <c r="D111" s="34" t="n"/>
      <c r="E111" s="22">
        <f>IF(A111="","",COUNTIF('משימות'!$G$3:$G$122,"*"&amp;A111&amp;"*"))</f>
        <v/>
      </c>
      <c r="F111" s="22">
        <f>IF(A111="","",SUMIF('משימות'!$G$3:$G$122,"*"&amp;A111&amp;"*",'משימות'!$I$3:$I$122))</f>
        <v/>
      </c>
      <c r="G111" s="22">
        <f>IF(A111="","",SUMIF('היסטוריה'!$B$3:$B$3002,A111,'היסטוריה'!$F$3:$F$3002))</f>
        <v/>
      </c>
      <c r="H111" s="34" t="n"/>
    </row>
    <row r="112">
      <c r="A112" s="19" t="n"/>
      <c r="B112" s="27" t="n"/>
      <c r="C112" s="33" t="n"/>
      <c r="D112" s="34" t="n"/>
      <c r="E112" s="22">
        <f>IF(A112="","",COUNTIF('משימות'!$G$3:$G$122,"*"&amp;A112&amp;"*"))</f>
        <v/>
      </c>
      <c r="F112" s="22">
        <f>IF(A112="","",SUMIF('משימות'!$G$3:$G$122,"*"&amp;A112&amp;"*",'משימות'!$I$3:$I$122))</f>
        <v/>
      </c>
      <c r="G112" s="22">
        <f>IF(A112="","",SUMIF('היסטוריה'!$B$3:$B$3002,A112,'היסטוריה'!$F$3:$F$3002))</f>
        <v/>
      </c>
      <c r="H112" s="34" t="n"/>
    </row>
    <row r="113">
      <c r="A113" s="19" t="n"/>
      <c r="B113" s="27" t="n"/>
      <c r="C113" s="33" t="n"/>
      <c r="D113" s="34" t="n"/>
      <c r="E113" s="22">
        <f>IF(A113="","",COUNTIF('משימות'!$G$3:$G$122,"*"&amp;A113&amp;"*"))</f>
        <v/>
      </c>
      <c r="F113" s="22">
        <f>IF(A113="","",SUMIF('משימות'!$G$3:$G$122,"*"&amp;A113&amp;"*",'משימות'!$I$3:$I$122))</f>
        <v/>
      </c>
      <c r="G113" s="22">
        <f>IF(A113="","",SUMIF('היסטוריה'!$B$3:$B$3002,A113,'היסטוריה'!$F$3:$F$3002))</f>
        <v/>
      </c>
      <c r="H113" s="34" t="n"/>
    </row>
    <row r="114">
      <c r="A114" s="19" t="n"/>
      <c r="B114" s="27" t="n"/>
      <c r="C114" s="33" t="n"/>
      <c r="D114" s="34" t="n"/>
      <c r="E114" s="22">
        <f>IF(A114="","",COUNTIF('משימות'!$G$3:$G$122,"*"&amp;A114&amp;"*"))</f>
        <v/>
      </c>
      <c r="F114" s="22">
        <f>IF(A114="","",SUMIF('משימות'!$G$3:$G$122,"*"&amp;A114&amp;"*",'משימות'!$I$3:$I$122))</f>
        <v/>
      </c>
      <c r="G114" s="22">
        <f>IF(A114="","",SUMIF('היסטוריה'!$B$3:$B$3002,A114,'היסטוריה'!$F$3:$F$3002))</f>
        <v/>
      </c>
      <c r="H114" s="34" t="n"/>
    </row>
    <row r="115">
      <c r="A115" s="19" t="n"/>
      <c r="B115" s="27" t="n"/>
      <c r="C115" s="33" t="n"/>
      <c r="D115" s="34" t="n"/>
      <c r="E115" s="22">
        <f>IF(A115="","",COUNTIF('משימות'!$G$3:$G$122,"*"&amp;A115&amp;"*"))</f>
        <v/>
      </c>
      <c r="F115" s="22">
        <f>IF(A115="","",SUMIF('משימות'!$G$3:$G$122,"*"&amp;A115&amp;"*",'משימות'!$I$3:$I$122))</f>
        <v/>
      </c>
      <c r="G115" s="22">
        <f>IF(A115="","",SUMIF('היסטוריה'!$B$3:$B$3002,A115,'היסטוריה'!$F$3:$F$3002))</f>
        <v/>
      </c>
      <c r="H115" s="34" t="n"/>
    </row>
    <row r="116">
      <c r="A116" s="19" t="n"/>
      <c r="B116" s="27" t="n"/>
      <c r="C116" s="33" t="n"/>
      <c r="D116" s="34" t="n"/>
      <c r="E116" s="22">
        <f>IF(A116="","",COUNTIF('משימות'!$G$3:$G$122,"*"&amp;A116&amp;"*"))</f>
        <v/>
      </c>
      <c r="F116" s="22">
        <f>IF(A116="","",SUMIF('משימות'!$G$3:$G$122,"*"&amp;A116&amp;"*",'משימות'!$I$3:$I$122))</f>
        <v/>
      </c>
      <c r="G116" s="22">
        <f>IF(A116="","",SUMIF('היסטוריה'!$B$3:$B$3002,A116,'היסטוריה'!$F$3:$F$3002))</f>
        <v/>
      </c>
      <c r="H116" s="34" t="n"/>
    </row>
    <row r="117">
      <c r="A117" s="19" t="n"/>
      <c r="B117" s="27" t="n"/>
      <c r="C117" s="33" t="n"/>
      <c r="D117" s="34" t="n"/>
      <c r="E117" s="22">
        <f>IF(A117="","",COUNTIF('משימות'!$G$3:$G$122,"*"&amp;A117&amp;"*"))</f>
        <v/>
      </c>
      <c r="F117" s="22">
        <f>IF(A117="","",SUMIF('משימות'!$G$3:$G$122,"*"&amp;A117&amp;"*",'משימות'!$I$3:$I$122))</f>
        <v/>
      </c>
      <c r="G117" s="22">
        <f>IF(A117="","",SUMIF('היסטוריה'!$B$3:$B$3002,A117,'היסטוריה'!$F$3:$F$3002))</f>
        <v/>
      </c>
      <c r="H117" s="34" t="n"/>
    </row>
    <row r="118">
      <c r="A118" s="19" t="n"/>
      <c r="B118" s="27" t="n"/>
      <c r="C118" s="33" t="n"/>
      <c r="D118" s="34" t="n"/>
      <c r="E118" s="22">
        <f>IF(A118="","",COUNTIF('משימות'!$G$3:$G$122,"*"&amp;A118&amp;"*"))</f>
        <v/>
      </c>
      <c r="F118" s="22">
        <f>IF(A118="","",SUMIF('משימות'!$G$3:$G$122,"*"&amp;A118&amp;"*",'משימות'!$I$3:$I$122))</f>
        <v/>
      </c>
      <c r="G118" s="22">
        <f>IF(A118="","",SUMIF('היסטוריה'!$B$3:$B$3002,A118,'היסטוריה'!$F$3:$F$3002))</f>
        <v/>
      </c>
      <c r="H118" s="34" t="n"/>
    </row>
    <row r="119">
      <c r="A119" s="19" t="n"/>
      <c r="B119" s="27" t="n"/>
      <c r="C119" s="33" t="n"/>
      <c r="D119" s="34" t="n"/>
      <c r="E119" s="22">
        <f>IF(A119="","",COUNTIF('משימות'!$G$3:$G$122,"*"&amp;A119&amp;"*"))</f>
        <v/>
      </c>
      <c r="F119" s="22">
        <f>IF(A119="","",SUMIF('משימות'!$G$3:$G$122,"*"&amp;A119&amp;"*",'משימות'!$I$3:$I$122))</f>
        <v/>
      </c>
      <c r="G119" s="22">
        <f>IF(A119="","",SUMIF('היסטוריה'!$B$3:$B$3002,A119,'היסטוריה'!$F$3:$F$3002))</f>
        <v/>
      </c>
      <c r="H119" s="34" t="n"/>
    </row>
    <row r="120">
      <c r="A120" s="19" t="n"/>
      <c r="B120" s="27" t="n"/>
      <c r="C120" s="33" t="n"/>
      <c r="D120" s="34" t="n"/>
      <c r="E120" s="22">
        <f>IF(A120="","",COUNTIF('משימות'!$G$3:$G$122,"*"&amp;A120&amp;"*"))</f>
        <v/>
      </c>
      <c r="F120" s="22">
        <f>IF(A120="","",SUMIF('משימות'!$G$3:$G$122,"*"&amp;A120&amp;"*",'משימות'!$I$3:$I$122))</f>
        <v/>
      </c>
      <c r="G120" s="22">
        <f>IF(A120="","",SUMIF('היסטוריה'!$B$3:$B$3002,A120,'היסטוריה'!$F$3:$F$3002))</f>
        <v/>
      </c>
      <c r="H120" s="34" t="n"/>
    </row>
    <row r="121">
      <c r="A121" s="19" t="n"/>
      <c r="B121" s="27" t="n"/>
      <c r="C121" s="33" t="n"/>
      <c r="D121" s="34" t="n"/>
      <c r="E121" s="22">
        <f>IF(A121="","",COUNTIF('משימות'!$G$3:$G$122,"*"&amp;A121&amp;"*"))</f>
        <v/>
      </c>
      <c r="F121" s="22">
        <f>IF(A121="","",SUMIF('משימות'!$G$3:$G$122,"*"&amp;A121&amp;"*",'משימות'!$I$3:$I$122))</f>
        <v/>
      </c>
      <c r="G121" s="22">
        <f>IF(A121="","",SUMIF('היסטוריה'!$B$3:$B$3002,A121,'היסטוריה'!$F$3:$F$3002))</f>
        <v/>
      </c>
      <c r="H121" s="34" t="n"/>
    </row>
    <row r="122">
      <c r="A122" s="19" t="n"/>
      <c r="B122" s="27" t="n"/>
      <c r="C122" s="33" t="n"/>
      <c r="D122" s="34" t="n"/>
      <c r="E122" s="22">
        <f>IF(A122="","",COUNTIF('משימות'!$G$3:$G$122,"*"&amp;A122&amp;"*"))</f>
        <v/>
      </c>
      <c r="F122" s="22">
        <f>IF(A122="","",SUMIF('משימות'!$G$3:$G$122,"*"&amp;A122&amp;"*",'משימות'!$I$3:$I$122))</f>
        <v/>
      </c>
      <c r="G122" s="22">
        <f>IF(A122="","",SUMIF('היסטוריה'!$B$3:$B$3002,A122,'היסטוריה'!$F$3:$F$3002))</f>
        <v/>
      </c>
      <c r="H122" s="34" t="n"/>
    </row>
    <row r="123">
      <c r="A123" s="19" t="n"/>
      <c r="B123" s="27" t="n"/>
      <c r="C123" s="33" t="n"/>
      <c r="D123" s="34" t="n"/>
      <c r="E123" s="22">
        <f>IF(A123="","",COUNTIF('משימות'!$G$3:$G$122,"*"&amp;A123&amp;"*"))</f>
        <v/>
      </c>
      <c r="F123" s="22">
        <f>IF(A123="","",SUMIF('משימות'!$G$3:$G$122,"*"&amp;A123&amp;"*",'משימות'!$I$3:$I$122))</f>
        <v/>
      </c>
      <c r="G123" s="22">
        <f>IF(A123="","",SUMIF('היסטוריה'!$B$3:$B$3002,A123,'היסטוריה'!$F$3:$F$3002))</f>
        <v/>
      </c>
      <c r="H123" s="34" t="n"/>
    </row>
    <row r="124">
      <c r="A124" s="19" t="n"/>
      <c r="B124" s="27" t="n"/>
      <c r="C124" s="33" t="n"/>
      <c r="D124" s="34" t="n"/>
      <c r="E124" s="22">
        <f>IF(A124="","",COUNTIF('משימות'!$G$3:$G$122,"*"&amp;A124&amp;"*"))</f>
        <v/>
      </c>
      <c r="F124" s="22">
        <f>IF(A124="","",SUMIF('משימות'!$G$3:$G$122,"*"&amp;A124&amp;"*",'משימות'!$I$3:$I$122))</f>
        <v/>
      </c>
      <c r="G124" s="22">
        <f>IF(A124="","",SUMIF('היסטוריה'!$B$3:$B$3002,A124,'היסטוריה'!$F$3:$F$3002))</f>
        <v/>
      </c>
      <c r="H124" s="34" t="n"/>
    </row>
    <row r="125">
      <c r="A125" s="19" t="n"/>
      <c r="B125" s="27" t="n"/>
      <c r="C125" s="33" t="n"/>
      <c r="D125" s="34" t="n"/>
      <c r="E125" s="22">
        <f>IF(A125="","",COUNTIF('משימות'!$G$3:$G$122,"*"&amp;A125&amp;"*"))</f>
        <v/>
      </c>
      <c r="F125" s="22">
        <f>IF(A125="","",SUMIF('משימות'!$G$3:$G$122,"*"&amp;A125&amp;"*",'משימות'!$I$3:$I$122))</f>
        <v/>
      </c>
      <c r="G125" s="22">
        <f>IF(A125="","",SUMIF('היסטוריה'!$B$3:$B$3002,A125,'היסטוריה'!$F$3:$F$3002))</f>
        <v/>
      </c>
      <c r="H125" s="34" t="n"/>
    </row>
    <row r="126">
      <c r="A126" s="19" t="n"/>
      <c r="B126" s="27" t="n"/>
      <c r="C126" s="33" t="n"/>
      <c r="D126" s="34" t="n"/>
      <c r="E126" s="22">
        <f>IF(A126="","",COUNTIF('משימות'!$G$3:$G$122,"*"&amp;A126&amp;"*"))</f>
        <v/>
      </c>
      <c r="F126" s="22">
        <f>IF(A126="","",SUMIF('משימות'!$G$3:$G$122,"*"&amp;A126&amp;"*",'משימות'!$I$3:$I$122))</f>
        <v/>
      </c>
      <c r="G126" s="22">
        <f>IF(A126="","",SUMIF('היסטוריה'!$B$3:$B$3002,A126,'היסטוריה'!$F$3:$F$3002))</f>
        <v/>
      </c>
      <c r="H126" s="34" t="n"/>
    </row>
    <row r="127">
      <c r="A127" s="19" t="n"/>
      <c r="B127" s="27" t="n"/>
      <c r="C127" s="33" t="n"/>
      <c r="D127" s="34" t="n"/>
      <c r="E127" s="22">
        <f>IF(A127="","",COUNTIF('משימות'!$G$3:$G$122,"*"&amp;A127&amp;"*"))</f>
        <v/>
      </c>
      <c r="F127" s="22">
        <f>IF(A127="","",SUMIF('משימות'!$G$3:$G$122,"*"&amp;A127&amp;"*",'משימות'!$I$3:$I$122))</f>
        <v/>
      </c>
      <c r="G127" s="22">
        <f>IF(A127="","",SUMIF('היסטוריה'!$B$3:$B$3002,A127,'היסטוריה'!$F$3:$F$3002))</f>
        <v/>
      </c>
      <c r="H127" s="34" t="n"/>
    </row>
    <row r="128">
      <c r="A128" s="19" t="n"/>
      <c r="B128" s="27" t="n"/>
      <c r="C128" s="33" t="n"/>
      <c r="D128" s="34" t="n"/>
      <c r="E128" s="22">
        <f>IF(A128="","",COUNTIF('משימות'!$G$3:$G$122,"*"&amp;A128&amp;"*"))</f>
        <v/>
      </c>
      <c r="F128" s="22">
        <f>IF(A128="","",SUMIF('משימות'!$G$3:$G$122,"*"&amp;A128&amp;"*",'משימות'!$I$3:$I$122))</f>
        <v/>
      </c>
      <c r="G128" s="22">
        <f>IF(A128="","",SUMIF('היסטוריה'!$B$3:$B$3002,A128,'היסטוריה'!$F$3:$F$3002))</f>
        <v/>
      </c>
      <c r="H128" s="34" t="n"/>
    </row>
    <row r="129">
      <c r="A129" s="19" t="n"/>
      <c r="B129" s="27" t="n"/>
      <c r="C129" s="33" t="n"/>
      <c r="D129" s="34" t="n"/>
      <c r="E129" s="22">
        <f>IF(A129="","",COUNTIF('משימות'!$G$3:$G$122,"*"&amp;A129&amp;"*"))</f>
        <v/>
      </c>
      <c r="F129" s="22">
        <f>IF(A129="","",SUMIF('משימות'!$G$3:$G$122,"*"&amp;A129&amp;"*",'משימות'!$I$3:$I$122))</f>
        <v/>
      </c>
      <c r="G129" s="22">
        <f>IF(A129="","",SUMIF('היסטוריה'!$B$3:$B$3002,A129,'היסטוריה'!$F$3:$F$3002))</f>
        <v/>
      </c>
      <c r="H129" s="34" t="n"/>
    </row>
    <row r="130">
      <c r="A130" s="19" t="n"/>
      <c r="B130" s="27" t="n"/>
      <c r="C130" s="33" t="n"/>
      <c r="D130" s="34" t="n"/>
      <c r="E130" s="22">
        <f>IF(A130="","",COUNTIF('משימות'!$G$3:$G$122,"*"&amp;A130&amp;"*"))</f>
        <v/>
      </c>
      <c r="F130" s="22">
        <f>IF(A130="","",SUMIF('משימות'!$G$3:$G$122,"*"&amp;A130&amp;"*",'משימות'!$I$3:$I$122))</f>
        <v/>
      </c>
      <c r="G130" s="22">
        <f>IF(A130="","",SUMIF('היסטוריה'!$B$3:$B$3002,A130,'היסטוריה'!$F$3:$F$3002))</f>
        <v/>
      </c>
      <c r="H130" s="34" t="n"/>
    </row>
    <row r="131">
      <c r="A131" s="19" t="n"/>
      <c r="B131" s="27" t="n"/>
      <c r="C131" s="33" t="n"/>
      <c r="D131" s="34" t="n"/>
      <c r="E131" s="22">
        <f>IF(A131="","",COUNTIF('משימות'!$G$3:$G$122,"*"&amp;A131&amp;"*"))</f>
        <v/>
      </c>
      <c r="F131" s="22">
        <f>IF(A131="","",SUMIF('משימות'!$G$3:$G$122,"*"&amp;A131&amp;"*",'משימות'!$I$3:$I$122))</f>
        <v/>
      </c>
      <c r="G131" s="22">
        <f>IF(A131="","",SUMIF('היסטוריה'!$B$3:$B$3002,A131,'היסטוריה'!$F$3:$F$3002))</f>
        <v/>
      </c>
      <c r="H131" s="34" t="n"/>
    </row>
    <row r="132">
      <c r="A132" s="19" t="n"/>
      <c r="B132" s="27" t="n"/>
      <c r="C132" s="33" t="n"/>
      <c r="D132" s="34" t="n"/>
      <c r="E132" s="22">
        <f>IF(A132="","",COUNTIF('משימות'!$G$3:$G$122,"*"&amp;A132&amp;"*"))</f>
        <v/>
      </c>
      <c r="F132" s="22">
        <f>IF(A132="","",SUMIF('משימות'!$G$3:$G$122,"*"&amp;A132&amp;"*",'משימות'!$I$3:$I$122))</f>
        <v/>
      </c>
      <c r="G132" s="22">
        <f>IF(A132="","",SUMIF('היסטוריה'!$B$3:$B$3002,A132,'היסטוריה'!$F$3:$F$3002))</f>
        <v/>
      </c>
      <c r="H132" s="34" t="n"/>
    </row>
    <row r="134" ht="28" customHeight="1">
      <c r="A134" s="25" t="inlineStr">
        <is>
          <t>«זמין/ה» ו«קבוצות השבת» נכתבים ע"י השיבוץ מרשימת הנוכחות. «משימות» ו«ניקוד השבת» נספרים מ«משימות»; «ניקוד מצטבר» מ«היסטוריה» (כל השבתות).</t>
        </is>
      </c>
    </row>
  </sheetData>
  <mergeCells count="2">
    <mergeCell ref="A134:H134"/>
    <mergeCell ref="A1:H1"/>
  </mergeCells>
  <dataValidations count="1">
    <dataValidation sqref="C3:C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162"/>
  <sheetViews>
    <sheetView showGridLines="0" rightToLeft="1" workbookViewId="0">
      <pane ySplit="2" topLeftCell="A3" activePane="bottomLeft" state="frozen"/>
      <selection pane="bottomLeft" activeCell="A1" sqref="A1"/>
    </sheetView>
  </sheetViews>
  <sheetFormatPr baseColWidth="8" defaultRowHeight="15"/>
  <cols>
    <col width="12" customWidth="1" min="1" max="1"/>
    <col width="26" customWidth="1" min="2" max="2"/>
    <col width="14" customWidth="1" min="3" max="3"/>
    <col width="28" customWidth="1" min="4" max="4"/>
    <col width="48" customWidth="1" min="5" max="5"/>
    <col width="8" customWidth="1" min="6" max="6"/>
  </cols>
  <sheetData>
    <row r="1" ht="36" customHeight="1">
      <c r="A1" s="26" t="inlineStr">
        <is>
          <t>היסטוריית תורנויות — רשומה לכל משימה של כל חניך</t>
        </is>
      </c>
    </row>
    <row r="2" ht="24" customHeight="1">
      <c r="A2" s="9" t="inlineStr">
        <is>
          <t>תאריך</t>
        </is>
      </c>
      <c r="B2" s="9" t="inlineStr">
        <is>
          <t>שם</t>
        </is>
      </c>
      <c r="C2" s="9" t="inlineStr">
        <is>
          <t>שלב</t>
        </is>
      </c>
      <c r="D2" s="9" t="inlineStr">
        <is>
          <t>קבוצה</t>
        </is>
      </c>
      <c r="E2" s="9" t="inlineStr">
        <is>
          <t>משימה</t>
        </is>
      </c>
      <c r="F2" s="9" t="inlineStr">
        <is>
          <t>ניקוד</t>
        </is>
      </c>
    </row>
    <row r="3">
      <c r="A3" s="35" t="n">
        <v>46269</v>
      </c>
      <c r="B3" s="36" t="inlineStr">
        <is>
          <t>אוריה תעשה</t>
        </is>
      </c>
      <c r="C3" s="37" t="inlineStr">
        <is>
          <t>הכנות שישי</t>
        </is>
      </c>
      <c r="D3" s="36" t="inlineStr">
        <is>
          <t>ארוחת צהריים שישי</t>
        </is>
      </c>
      <c r="E3" s="36" t="inlineStr">
        <is>
          <t>הגשת ארוחת הצהריים</t>
        </is>
      </c>
      <c r="F3" s="37" t="n">
        <v>1</v>
      </c>
    </row>
    <row r="4">
      <c r="A4" s="35" t="n">
        <v>46269</v>
      </c>
      <c r="B4" s="36" t="inlineStr">
        <is>
          <t>אוריה תעשה</t>
        </is>
      </c>
      <c r="C4" s="37" t="inlineStr">
        <is>
          <t>הכנות שישי</t>
        </is>
      </c>
      <c r="D4" s="36" t="inlineStr">
        <is>
          <t>ארוחת צהריים שישי</t>
        </is>
      </c>
      <c r="E4" s="36" t="inlineStr">
        <is>
          <t>קיפול הארוחה, שטיפת כלים</t>
        </is>
      </c>
      <c r="F4" s="37" t="n">
        <v>1</v>
      </c>
    </row>
    <row r="5">
      <c r="A5" s="35" t="n">
        <v>46269</v>
      </c>
      <c r="B5" s="36" t="inlineStr">
        <is>
          <t>ינון לוי</t>
        </is>
      </c>
      <c r="C5" s="37" t="inlineStr">
        <is>
          <t>הכנות שישי</t>
        </is>
      </c>
      <c r="D5" s="36" t="inlineStr">
        <is>
          <t>ארוחת צהריים שישי</t>
        </is>
      </c>
      <c r="E5" s="36" t="inlineStr">
        <is>
          <t>הגשת ארוחת הצהריים</t>
        </is>
      </c>
      <c r="F5" s="37" t="n">
        <v>1</v>
      </c>
    </row>
    <row r="6">
      <c r="A6" s="35" t="n">
        <v>46269</v>
      </c>
      <c r="B6" s="36" t="inlineStr">
        <is>
          <t>ינון לוי</t>
        </is>
      </c>
      <c r="C6" s="37" t="inlineStr">
        <is>
          <t>הכנות שישי</t>
        </is>
      </c>
      <c r="D6" s="36" t="inlineStr">
        <is>
          <t>ארוחת צהריים שישי</t>
        </is>
      </c>
      <c r="E6" s="36" t="inlineStr">
        <is>
          <t>קיפול הארוחה, שטיפת כלים</t>
        </is>
      </c>
      <c r="F6" s="37" t="n">
        <v>1</v>
      </c>
    </row>
    <row r="7">
      <c r="A7" s="35" t="n">
        <v>46269</v>
      </c>
      <c r="B7" s="36" t="inlineStr">
        <is>
          <t>ליעם גבע</t>
        </is>
      </c>
      <c r="C7" s="37" t="inlineStr">
        <is>
          <t>הכנות שישי</t>
        </is>
      </c>
      <c r="D7" s="36" t="inlineStr">
        <is>
          <t>ארוחת צהריים שישי</t>
        </is>
      </c>
      <c r="E7" s="36" t="inlineStr">
        <is>
          <t>הגשת ארוחת הצהריים</t>
        </is>
      </c>
      <c r="F7" s="37" t="n">
        <v>1</v>
      </c>
    </row>
    <row r="8">
      <c r="A8" s="35" t="n">
        <v>46269</v>
      </c>
      <c r="B8" s="36" t="inlineStr">
        <is>
          <t>ליעם גבע</t>
        </is>
      </c>
      <c r="C8" s="37" t="inlineStr">
        <is>
          <t>הכנות שישי</t>
        </is>
      </c>
      <c r="D8" s="36" t="inlineStr">
        <is>
          <t>ארוחת צהריים שישי</t>
        </is>
      </c>
      <c r="E8" s="36" t="inlineStr">
        <is>
          <t>קיפול הארוחה, שטיפת כלים</t>
        </is>
      </c>
      <c r="F8" s="37" t="n">
        <v>1</v>
      </c>
    </row>
    <row r="9">
      <c r="A9" s="35" t="n">
        <v>46269</v>
      </c>
      <c r="B9" s="36" t="inlineStr">
        <is>
          <t>שי- לי וולגמוט</t>
        </is>
      </c>
      <c r="C9" s="37" t="inlineStr">
        <is>
          <t>הכנות שישי</t>
        </is>
      </c>
      <c r="D9" s="36" t="inlineStr">
        <is>
          <t>ארוחת צהריים שישי</t>
        </is>
      </c>
      <c r="E9" s="36" t="inlineStr">
        <is>
          <t>הגשת ארוחת הצהריים</t>
        </is>
      </c>
      <c r="F9" s="37" t="n">
        <v>1</v>
      </c>
    </row>
    <row r="10">
      <c r="A10" s="35" t="n">
        <v>46269</v>
      </c>
      <c r="B10" s="36" t="inlineStr">
        <is>
          <t>שי- לי וולגמוט</t>
        </is>
      </c>
      <c r="C10" s="37" t="inlineStr">
        <is>
          <t>הכנות שישי</t>
        </is>
      </c>
      <c r="D10" s="36" t="inlineStr">
        <is>
          <t>ארוחת צהריים שישי</t>
        </is>
      </c>
      <c r="E10" s="36" t="inlineStr">
        <is>
          <t>קיפול הארוחה, שטיפת כלים</t>
        </is>
      </c>
      <c r="F10" s="37" t="n">
        <v>1</v>
      </c>
    </row>
    <row r="11">
      <c r="A11" s="35" t="n">
        <v>46269</v>
      </c>
      <c r="B11" s="36" t="inlineStr">
        <is>
          <t>אביה וייל</t>
        </is>
      </c>
      <c r="C11" s="37" t="inlineStr">
        <is>
          <t>הכנות שישי</t>
        </is>
      </c>
      <c r="D11" s="36" t="inlineStr">
        <is>
          <t>עוגות · צוות יותם</t>
        </is>
      </c>
      <c r="E11" s="36" t="inlineStr">
        <is>
          <t>אפיית עוגות לפי המתכון</t>
        </is>
      </c>
      <c r="F11" s="37" t="n">
        <v>1</v>
      </c>
    </row>
    <row r="12">
      <c r="A12" s="35" t="n">
        <v>46269</v>
      </c>
      <c r="B12" s="36" t="inlineStr">
        <is>
          <t>יואב אוחנה</t>
        </is>
      </c>
      <c r="C12" s="37" t="inlineStr">
        <is>
          <t>הכנות שישי</t>
        </is>
      </c>
      <c r="D12" s="36" t="inlineStr">
        <is>
          <t>עוגות · צוות יותם</t>
        </is>
      </c>
      <c r="E12" s="36" t="inlineStr">
        <is>
          <t>אפיית עוגות לפי המתכון</t>
        </is>
      </c>
      <c r="F12" s="37" t="n">
        <v>1</v>
      </c>
    </row>
    <row r="13">
      <c r="A13" s="35" t="n">
        <v>46269</v>
      </c>
      <c r="B13" s="36" t="inlineStr">
        <is>
          <t>יותם ספיר</t>
        </is>
      </c>
      <c r="C13" s="37" t="inlineStr">
        <is>
          <t>הכנות שישי</t>
        </is>
      </c>
      <c r="D13" s="36" t="inlineStr">
        <is>
          <t>עוגות · צוות יותם</t>
        </is>
      </c>
      <c r="E13" s="36" t="inlineStr">
        <is>
          <t>אפיית עוגות לפי המתכון</t>
        </is>
      </c>
      <c r="F13" s="37" t="n">
        <v>1</v>
      </c>
    </row>
    <row r="14">
      <c r="A14" s="35" t="n">
        <v>46269</v>
      </c>
      <c r="B14" s="36" t="inlineStr">
        <is>
          <t>כליל בלאוקופף</t>
        </is>
      </c>
      <c r="C14" s="37" t="inlineStr">
        <is>
          <t>הכנות שישי</t>
        </is>
      </c>
      <c r="D14" s="36" t="inlineStr">
        <is>
          <t>עוגות · צוות סהר</t>
        </is>
      </c>
      <c r="E14" s="36" t="inlineStr">
        <is>
          <t>אפיית עוגות לפי המתכון</t>
        </is>
      </c>
      <c r="F14" s="37" t="n">
        <v>1</v>
      </c>
    </row>
    <row r="15">
      <c r="A15" s="35" t="n">
        <v>46269</v>
      </c>
      <c r="B15" s="36" t="inlineStr">
        <is>
          <t>נוה גריינר</t>
        </is>
      </c>
      <c r="C15" s="37" t="inlineStr">
        <is>
          <t>הכנות שישי</t>
        </is>
      </c>
      <c r="D15" s="36" t="inlineStr">
        <is>
          <t>עוגות · צוות סהר</t>
        </is>
      </c>
      <c r="E15" s="36" t="inlineStr">
        <is>
          <t>אפיית עוגות לפי המתכון</t>
        </is>
      </c>
      <c r="F15" s="37" t="n">
        <v>1</v>
      </c>
    </row>
    <row r="16">
      <c r="A16" s="35" t="n">
        <v>46269</v>
      </c>
      <c r="B16" s="36" t="inlineStr">
        <is>
          <t>סהר שירון</t>
        </is>
      </c>
      <c r="C16" s="37" t="inlineStr">
        <is>
          <t>הכנות שישי</t>
        </is>
      </c>
      <c r="D16" s="36" t="inlineStr">
        <is>
          <t>עוגות · צוות סהר</t>
        </is>
      </c>
      <c r="E16" s="36" t="inlineStr">
        <is>
          <t>אפיית עוגות לפי המתכון</t>
        </is>
      </c>
      <c r="F16" s="37" t="n">
        <v>1</v>
      </c>
    </row>
    <row r="17">
      <c r="A17" s="35" t="n">
        <v>46269</v>
      </c>
      <c r="B17" s="36" t="inlineStr">
        <is>
          <t>הילה עזרא</t>
        </is>
      </c>
      <c r="C17" s="37" t="inlineStr">
        <is>
          <t>הכנות שישי</t>
        </is>
      </c>
      <c r="D17" s="36" t="inlineStr">
        <is>
          <t>עוגות · צוות רותם</t>
        </is>
      </c>
      <c r="E17" s="36" t="inlineStr">
        <is>
          <t>אפיית עוגות לפי המתכון</t>
        </is>
      </c>
      <c r="F17" s="37" t="n">
        <v>1</v>
      </c>
    </row>
    <row r="18">
      <c r="A18" s="35" t="n">
        <v>46269</v>
      </c>
      <c r="B18" s="36" t="inlineStr">
        <is>
          <t>יאר אלפסי</t>
        </is>
      </c>
      <c r="C18" s="37" t="inlineStr">
        <is>
          <t>הכנות שישי</t>
        </is>
      </c>
      <c r="D18" s="36" t="inlineStr">
        <is>
          <t>עוגות · צוות רותם</t>
        </is>
      </c>
      <c r="E18" s="36" t="inlineStr">
        <is>
          <t>אפיית עוגות לפי המתכון</t>
        </is>
      </c>
      <c r="F18" s="37" t="n">
        <v>1</v>
      </c>
    </row>
    <row r="19">
      <c r="A19" s="35" t="n">
        <v>46269</v>
      </c>
      <c r="B19" s="36" t="inlineStr">
        <is>
          <t>רותם דרור</t>
        </is>
      </c>
      <c r="C19" s="37" t="inlineStr">
        <is>
          <t>הכנות שישי</t>
        </is>
      </c>
      <c r="D19" s="36" t="inlineStr">
        <is>
          <t>עוגות · צוות רותם</t>
        </is>
      </c>
      <c r="E19" s="36" t="inlineStr">
        <is>
          <t>אפיית עוגות לפי המתכון</t>
        </is>
      </c>
      <c r="F19" s="37" t="n">
        <v>1</v>
      </c>
    </row>
    <row r="20">
      <c r="A20" s="35" t="n">
        <v>46269</v>
      </c>
      <c r="B20" s="36" t="inlineStr">
        <is>
          <t>רוני פרנקל</t>
        </is>
      </c>
      <c r="C20" s="37" t="inlineStr">
        <is>
          <t>הכנות שישי</t>
        </is>
      </c>
      <c r="D20" s="36" t="inlineStr">
        <is>
          <t>עוגות · צוות שילת</t>
        </is>
      </c>
      <c r="E20" s="36" t="inlineStr">
        <is>
          <t>אפיית עוגות לפי המתכון</t>
        </is>
      </c>
      <c r="F20" s="37" t="n">
        <v>1</v>
      </c>
    </row>
    <row r="21">
      <c r="A21" s="35" t="n">
        <v>46269</v>
      </c>
      <c r="B21" s="36" t="inlineStr">
        <is>
          <t>שילת פילפל</t>
        </is>
      </c>
      <c r="C21" s="37" t="inlineStr">
        <is>
          <t>הכנות שישי</t>
        </is>
      </c>
      <c r="D21" s="36" t="inlineStr">
        <is>
          <t>עוגות · צוות שילת</t>
        </is>
      </c>
      <c r="E21" s="36" t="inlineStr">
        <is>
          <t>אפיית עוגות לפי המתכון</t>
        </is>
      </c>
      <c r="F21" s="37" t="n">
        <v>1</v>
      </c>
    </row>
    <row r="22">
      <c r="A22" s="35" t="n">
        <v>46269</v>
      </c>
      <c r="B22" s="36" t="inlineStr">
        <is>
          <t>אריאלה מרכוס</t>
        </is>
      </c>
      <c r="C22" s="37" t="inlineStr">
        <is>
          <t>תורנות שבת</t>
        </is>
      </c>
      <c r="D22" s="36" t="inlineStr">
        <is>
          <t>בית מדרש · ארוחת ערב וטיש</t>
        </is>
      </c>
      <c r="E22" s="36" t="inlineStr">
        <is>
          <t>פריקת האוכל שמגיע מהקייטרינג</t>
        </is>
      </c>
      <c r="F22" s="37" t="n">
        <v>1</v>
      </c>
    </row>
    <row r="23">
      <c r="A23" s="35" t="n">
        <v>46269</v>
      </c>
      <c r="B23" s="36" t="inlineStr">
        <is>
          <t>אריאלה מרכוס</t>
        </is>
      </c>
      <c r="C23" s="37" t="inlineStr">
        <is>
          <t>תורנות שבת</t>
        </is>
      </c>
      <c r="D23" s="36" t="inlineStr">
        <is>
          <t>בית מדרש · ארוחת ערב וטיש</t>
        </is>
      </c>
      <c r="E23" s="36" t="inlineStr">
        <is>
          <t>חימום 10 עוגות פרווה על הפלטה</t>
        </is>
      </c>
      <c r="F23" s="37" t="n">
        <v>1</v>
      </c>
    </row>
    <row r="24">
      <c r="A24" s="35" t="n">
        <v>46269</v>
      </c>
      <c r="B24" s="36" t="inlineStr">
        <is>
          <t>אריאלה מרכוס</t>
        </is>
      </c>
      <c r="C24" s="37" t="inlineStr">
        <is>
          <t>תורנות שבת</t>
        </is>
      </c>
      <c r="D24" s="36" t="inlineStr">
        <is>
          <t>בית מדרש · ארוחת ערב וטיש</t>
        </is>
      </c>
      <c r="E24" s="36" t="inlineStr">
        <is>
          <t>ניקיון חדר האוכל בסיום הטיש: טאטוא, שטיפת גסטרונומים וניקוי השולחנות</t>
        </is>
      </c>
      <c r="F24" s="37" t="n">
        <v>1</v>
      </c>
    </row>
    <row r="25">
      <c r="A25" s="35" t="n">
        <v>46269</v>
      </c>
      <c r="B25" s="36" t="inlineStr">
        <is>
          <t>דנה שם טוב</t>
        </is>
      </c>
      <c r="C25" s="37" t="inlineStr">
        <is>
          <t>תורנות שבת</t>
        </is>
      </c>
      <c r="D25" s="36" t="inlineStr">
        <is>
          <t>בית מדרש · ארוחת ערב וטיש</t>
        </is>
      </c>
      <c r="E25" s="36" t="inlineStr">
        <is>
          <t>הורדת האוכל מהפלטות ומתנור החימום לארוחה</t>
        </is>
      </c>
      <c r="F25" s="37" t="n">
        <v>1</v>
      </c>
    </row>
    <row r="26">
      <c r="A26" s="35" t="n">
        <v>46269</v>
      </c>
      <c r="B26" s="36" t="inlineStr">
        <is>
          <t>דנה שם טוב</t>
        </is>
      </c>
      <c r="C26" s="37" t="inlineStr">
        <is>
          <t>תורנות שבת</t>
        </is>
      </c>
      <c r="D26" s="36" t="inlineStr">
        <is>
          <t>בית מדרש · ארוחת ערב וטיש</t>
        </is>
      </c>
      <c r="E26" s="36" t="inlineStr">
        <is>
          <t>סידור המרחב: שולחנות בקוביה במרכז, כיסאות במעגל מסביב</t>
        </is>
      </c>
      <c r="F26" s="37" t="n">
        <v>1</v>
      </c>
    </row>
    <row r="27">
      <c r="A27" s="35" t="n">
        <v>46269</v>
      </c>
      <c r="B27" s="36" t="inlineStr">
        <is>
          <t>דנה שם טוב</t>
        </is>
      </c>
      <c r="C27" s="37" t="inlineStr">
        <is>
          <t>תורנות שבת</t>
        </is>
      </c>
      <c r="D27" s="36" t="inlineStr">
        <is>
          <t>בית מדרש · ארוחת ערב וטיש</t>
        </is>
      </c>
      <c r="E27" s="36" t="inlineStr">
        <is>
          <t>ניקיון חדר האוכל בסיום הטיש: טאטוא, שטיפת גסטרונומים וניקוי השולחנות</t>
        </is>
      </c>
      <c r="F27" s="37" t="n">
        <v>1</v>
      </c>
    </row>
    <row r="28">
      <c r="A28" s="35" t="n">
        <v>46269</v>
      </c>
      <c r="B28" s="36" t="inlineStr">
        <is>
          <t>יערה ריס</t>
        </is>
      </c>
      <c r="C28" s="37" t="inlineStr">
        <is>
          <t>תורנות שבת</t>
        </is>
      </c>
      <c r="D28" s="36" t="inlineStr">
        <is>
          <t>בית מדרש · ארוחת ערב וטיש</t>
        </is>
      </c>
      <c r="E28" s="36" t="inlineStr">
        <is>
          <t>עריכת שולחן: טחינה, צלחות וסכו"ם, לחמניות, וסלטים מהקייטרינג אם יש</t>
        </is>
      </c>
      <c r="F28" s="37" t="n">
        <v>1</v>
      </c>
    </row>
    <row r="29">
      <c r="A29" s="35" t="n">
        <v>46269</v>
      </c>
      <c r="B29" s="36" t="inlineStr">
        <is>
          <t>יערה ריס</t>
        </is>
      </c>
      <c r="C29" s="37" t="inlineStr">
        <is>
          <t>תורנות שבת</t>
        </is>
      </c>
      <c r="D29" s="36" t="inlineStr">
        <is>
          <t>בית מדרש · ארוחת ערב וטיש</t>
        </is>
      </c>
      <c r="E29" s="36" t="inlineStr">
        <is>
          <t>סידור המרחב: שולחנות בקוביה במרכז, כיסאות במעגל מסביב</t>
        </is>
      </c>
      <c r="F29" s="37" t="n">
        <v>1</v>
      </c>
    </row>
    <row r="30">
      <c r="A30" s="35" t="n">
        <v>46269</v>
      </c>
      <c r="B30" s="36" t="inlineStr">
        <is>
          <t>יערה ריס</t>
        </is>
      </c>
      <c r="C30" s="37" t="inlineStr">
        <is>
          <t>תורנות שבת</t>
        </is>
      </c>
      <c r="D30" s="36" t="inlineStr">
        <is>
          <t>בית מדרש · ארוחת ערב וטיש</t>
        </is>
      </c>
      <c r="E30" s="36" t="inlineStr">
        <is>
          <t>ניקיון חדר האוכל בסיום הטיש: טאטוא, שטיפת גסטרונומים וניקוי השולחנות</t>
        </is>
      </c>
      <c r="F30" s="37" t="n">
        <v>1</v>
      </c>
    </row>
    <row r="31">
      <c r="A31" s="35" t="n">
        <v>46269</v>
      </c>
      <c r="B31" s="36" t="inlineStr">
        <is>
          <t>מאיה פקטר</t>
        </is>
      </c>
      <c r="C31" s="37" t="inlineStr">
        <is>
          <t>תורנות שבת</t>
        </is>
      </c>
      <c r="D31" s="36" t="inlineStr">
        <is>
          <t>בית מדרש · ארוחת ערב וטיש</t>
        </is>
      </c>
      <c r="E31" s="36" t="inlineStr">
        <is>
          <t>עריכת שולחן: טחינה, צלחות וסכו"ם, לחמניות, וסלטים מהקייטרינג אם יש</t>
        </is>
      </c>
      <c r="F31" s="37" t="n">
        <v>1</v>
      </c>
    </row>
    <row r="32">
      <c r="A32" s="35" t="n">
        <v>46269</v>
      </c>
      <c r="B32" s="36" t="inlineStr">
        <is>
          <t>מאיה פקטר</t>
        </is>
      </c>
      <c r="C32" s="37" t="inlineStr">
        <is>
          <t>תורנות שבת</t>
        </is>
      </c>
      <c r="D32" s="36" t="inlineStr">
        <is>
          <t>בית מדרש · ארוחת ערב וטיש</t>
        </is>
      </c>
      <c r="E32" s="36" t="inlineStr">
        <is>
          <t>סידור המרחב: שולחנות בקוביה במרכז, כיסאות במעגל מסביב</t>
        </is>
      </c>
      <c r="F32" s="37" t="n">
        <v>1</v>
      </c>
    </row>
    <row r="33">
      <c r="A33" s="35" t="n">
        <v>46269</v>
      </c>
      <c r="B33" s="36" t="inlineStr">
        <is>
          <t>מאיה פקטר</t>
        </is>
      </c>
      <c r="C33" s="37" t="inlineStr">
        <is>
          <t>תורנות שבת</t>
        </is>
      </c>
      <c r="D33" s="36" t="inlineStr">
        <is>
          <t>בית מדרש · ארוחת ערב וטיש</t>
        </is>
      </c>
      <c r="E33" s="36" t="inlineStr">
        <is>
          <t>ניקיון חדר האוכל בסיום הטיש: טאטוא, שטיפת גסטרונומים וניקוי השולחנות</t>
        </is>
      </c>
      <c r="F33" s="37" t="n">
        <v>1</v>
      </c>
    </row>
    <row r="34">
      <c r="A34" s="35" t="n">
        <v>46269</v>
      </c>
      <c r="B34" s="36" t="inlineStr">
        <is>
          <t>נדב טוקר</t>
        </is>
      </c>
      <c r="C34" s="37" t="inlineStr">
        <is>
          <t>תורנות שבת</t>
        </is>
      </c>
      <c r="D34" s="36" t="inlineStr">
        <is>
          <t>בית מדרש · ארוחת ערב וטיש</t>
        </is>
      </c>
      <c r="E34" s="36" t="inlineStr">
        <is>
          <t>הנחת האוכל על הפלטות, וחיבור מיחמים בפינת קפה</t>
        </is>
      </c>
      <c r="F34" s="37" t="n">
        <v>1</v>
      </c>
    </row>
    <row r="35">
      <c r="A35" s="35" t="n">
        <v>46269</v>
      </c>
      <c r="B35" s="36" t="inlineStr">
        <is>
          <t>נדב טוקר</t>
        </is>
      </c>
      <c r="C35" s="37" t="inlineStr">
        <is>
          <t>תורנות שבת</t>
        </is>
      </c>
      <c r="D35" s="36" t="inlineStr">
        <is>
          <t>בית מדרש · ארוחת ערב וטיש</t>
        </is>
      </c>
      <c r="E35" s="36" t="inlineStr">
        <is>
          <t>חיתוך אבטיח</t>
        </is>
      </c>
      <c r="F35" s="37" t="n">
        <v>1</v>
      </c>
    </row>
    <row r="36">
      <c r="A36" s="35" t="n">
        <v>46269</v>
      </c>
      <c r="B36" s="36" t="inlineStr">
        <is>
          <t>נדב טוקר</t>
        </is>
      </c>
      <c r="C36" s="37" t="inlineStr">
        <is>
          <t>תורנות שבת</t>
        </is>
      </c>
      <c r="D36" s="36" t="inlineStr">
        <is>
          <t>בית מדרש · ארוחת ערב וטיש</t>
        </is>
      </c>
      <c r="E36" s="36" t="inlineStr">
        <is>
          <t>ניקיון חדר האוכל בסיום הטיש: טאטוא, שטיפת גסטרונומים וניקוי השולחנות</t>
        </is>
      </c>
      <c r="F36" s="37" t="n">
        <v>1</v>
      </c>
    </row>
    <row r="37">
      <c r="A37" s="35" t="n">
        <v>46269</v>
      </c>
      <c r="B37" s="36" t="inlineStr">
        <is>
          <t>נועם גלס</t>
        </is>
      </c>
      <c r="C37" s="37" t="inlineStr">
        <is>
          <t>תורנות שבת</t>
        </is>
      </c>
      <c r="D37" s="36" t="inlineStr">
        <is>
          <t>בית מדרש · ארוחת ערב וטיש</t>
        </is>
      </c>
      <c r="E37" s="36" t="inlineStr">
        <is>
          <t>הנחת האוכל על הפלטות, וחיבור מיחמים בפינת קפה</t>
        </is>
      </c>
      <c r="F37" s="37" t="n">
        <v>1</v>
      </c>
    </row>
    <row r="38">
      <c r="A38" s="35" t="n">
        <v>46269</v>
      </c>
      <c r="B38" s="36" t="inlineStr">
        <is>
          <t>נועם גלס</t>
        </is>
      </c>
      <c r="C38" s="37" t="inlineStr">
        <is>
          <t>תורנות שבת</t>
        </is>
      </c>
      <c r="D38" s="36" t="inlineStr">
        <is>
          <t>בית מדרש · ארוחת ערב וטיש</t>
        </is>
      </c>
      <c r="E38" s="36" t="inlineStr">
        <is>
          <t>פריסת שולחן במרכז: 10 עוגות פרווה, גרעינים, בקבוקים ואבטיח, כוסות ושתייה</t>
        </is>
      </c>
      <c r="F38" s="37" t="n">
        <v>1</v>
      </c>
    </row>
    <row r="39">
      <c r="A39" s="35" t="n">
        <v>46269</v>
      </c>
      <c r="B39" s="36" t="inlineStr">
        <is>
          <t>נועם גלס</t>
        </is>
      </c>
      <c r="C39" s="37" t="inlineStr">
        <is>
          <t>תורנות שבת</t>
        </is>
      </c>
      <c r="D39" s="36" t="inlineStr">
        <is>
          <t>בית מדרש · ארוחת ערב וטיש</t>
        </is>
      </c>
      <c r="E39" s="36" t="inlineStr">
        <is>
          <t>ניקיון חדר האוכל בסיום הטיש: טאטוא, שטיפת גסטרונומים וניקוי השולחנות</t>
        </is>
      </c>
      <c r="F39" s="37" t="n">
        <v>1</v>
      </c>
    </row>
    <row r="40">
      <c r="A40" s="35" t="n">
        <v>46269</v>
      </c>
      <c r="B40" s="36" t="inlineStr">
        <is>
          <t>ניתאי שלום</t>
        </is>
      </c>
      <c r="C40" s="37" t="inlineStr">
        <is>
          <t>תורנות שבת</t>
        </is>
      </c>
      <c r="D40" s="36" t="inlineStr">
        <is>
          <t>בית מדרש · ארוחת ערב וטיש</t>
        </is>
      </c>
      <c r="E40" s="36" t="inlineStr">
        <is>
          <t>הורדת האוכל מהפלטות ומתנור החימום לארוחה</t>
        </is>
      </c>
      <c r="F40" s="37" t="n">
        <v>1</v>
      </c>
    </row>
    <row r="41">
      <c r="A41" s="35" t="n">
        <v>46269</v>
      </c>
      <c r="B41" s="36" t="inlineStr">
        <is>
          <t>ניתאי שלום</t>
        </is>
      </c>
      <c r="C41" s="37" t="inlineStr">
        <is>
          <t>תורנות שבת</t>
        </is>
      </c>
      <c r="D41" s="36" t="inlineStr">
        <is>
          <t>בית מדרש · ארוחת ערב וטיש</t>
        </is>
      </c>
      <c r="E41" s="36" t="inlineStr">
        <is>
          <t>פריסת שולחן במרכז: 10 עוגות פרווה, גרעינים, בקבוקים ואבטיח, כוסות ושתייה</t>
        </is>
      </c>
      <c r="F41" s="37" t="n">
        <v>1</v>
      </c>
    </row>
    <row r="42">
      <c r="A42" s="35" t="n">
        <v>46269</v>
      </c>
      <c r="B42" s="36" t="inlineStr">
        <is>
          <t>ניתאי שלום</t>
        </is>
      </c>
      <c r="C42" s="37" t="inlineStr">
        <is>
          <t>תורנות שבת</t>
        </is>
      </c>
      <c r="D42" s="36" t="inlineStr">
        <is>
          <t>בית מדרש · ארוחת ערב וטיש</t>
        </is>
      </c>
      <c r="E42" s="36" t="inlineStr">
        <is>
          <t>ניקיון חדר האוכל בסיום הטיש: טאטוא, שטיפת גסטרונומים וניקוי השולחנות</t>
        </is>
      </c>
      <c r="F42" s="37" t="n">
        <v>1</v>
      </c>
    </row>
    <row r="43">
      <c r="A43" s="35" t="n">
        <v>46269</v>
      </c>
      <c r="B43" s="36" t="inlineStr">
        <is>
          <t>עליזה בלום</t>
        </is>
      </c>
      <c r="C43" s="37" t="inlineStr">
        <is>
          <t>תורנות שבת</t>
        </is>
      </c>
      <c r="D43" s="36" t="inlineStr">
        <is>
          <t>בית מדרש · ארוחת ערב וטיש</t>
        </is>
      </c>
      <c r="E43" s="36" t="inlineStr">
        <is>
          <t>עריכת שולחן: טחינה, צלחות וסכו"ם, לחמניות, וסלטים מהקייטרינג אם יש</t>
        </is>
      </c>
      <c r="F43" s="37" t="n">
        <v>1</v>
      </c>
    </row>
    <row r="44">
      <c r="A44" s="35" t="n">
        <v>46269</v>
      </c>
      <c r="B44" s="36" t="inlineStr">
        <is>
          <t>עליזה בלום</t>
        </is>
      </c>
      <c r="C44" s="37" t="inlineStr">
        <is>
          <t>תורנות שבת</t>
        </is>
      </c>
      <c r="D44" s="36" t="inlineStr">
        <is>
          <t>בית מדרש · ארוחת ערב וטיש</t>
        </is>
      </c>
      <c r="E44" s="36" t="inlineStr">
        <is>
          <t>ניקיון חדר האוכל בסיום הטיש: טאטוא, שטיפת גסטרונומים וניקוי השולחנות</t>
        </is>
      </c>
      <c r="F44" s="37" t="n">
        <v>1</v>
      </c>
    </row>
    <row r="45">
      <c r="A45" s="35" t="n">
        <v>46269</v>
      </c>
      <c r="B45" s="36" t="inlineStr">
        <is>
          <t>עמית סיילס</t>
        </is>
      </c>
      <c r="C45" s="37" t="inlineStr">
        <is>
          <t>תורנות שבת</t>
        </is>
      </c>
      <c r="D45" s="36" t="inlineStr">
        <is>
          <t>בית מדרש · ארוחת ערב וטיש</t>
        </is>
      </c>
      <c r="E45" s="36" t="inlineStr">
        <is>
          <t>הורדת האוכל מהפלטות ומתנור החימום לארוחה</t>
        </is>
      </c>
      <c r="F45" s="37" t="n">
        <v>1</v>
      </c>
    </row>
    <row r="46">
      <c r="A46" s="35" t="n">
        <v>46269</v>
      </c>
      <c r="B46" s="36" t="inlineStr">
        <is>
          <t>עמית סיילס</t>
        </is>
      </c>
      <c r="C46" s="37" t="inlineStr">
        <is>
          <t>תורנות שבת</t>
        </is>
      </c>
      <c r="D46" s="36" t="inlineStr">
        <is>
          <t>בית מדרש · ארוחת ערב וטיש</t>
        </is>
      </c>
      <c r="E46" s="36" t="inlineStr">
        <is>
          <t>פריסת שולחן במרכז: 10 עוגות פרווה, גרעינים, בקבוקים ואבטיח, כוסות ושתייה</t>
        </is>
      </c>
      <c r="F46" s="37" t="n">
        <v>1</v>
      </c>
    </row>
    <row r="47">
      <c r="A47" s="35" t="n">
        <v>46269</v>
      </c>
      <c r="B47" s="36" t="inlineStr">
        <is>
          <t>עמית סיילס</t>
        </is>
      </c>
      <c r="C47" s="37" t="inlineStr">
        <is>
          <t>תורנות שבת</t>
        </is>
      </c>
      <c r="D47" s="36" t="inlineStr">
        <is>
          <t>בית מדרש · ארוחת ערב וטיש</t>
        </is>
      </c>
      <c r="E47" s="36" t="inlineStr">
        <is>
          <t>ניקיון חדר האוכל בסיום הטיש: טאטוא, שטיפת גסטרונומים וניקוי השולחנות</t>
        </is>
      </c>
      <c r="F47" s="37" t="n">
        <v>1</v>
      </c>
    </row>
    <row r="48">
      <c r="A48" s="35" t="n">
        <v>46269</v>
      </c>
      <c r="B48" s="36" t="inlineStr">
        <is>
          <t>שחר קרן</t>
        </is>
      </c>
      <c r="C48" s="37" t="inlineStr">
        <is>
          <t>תורנות שבת</t>
        </is>
      </c>
      <c r="D48" s="36" t="inlineStr">
        <is>
          <t>בית מדרש · ארוחת ערב וטיש</t>
        </is>
      </c>
      <c r="E48" s="36" t="inlineStr">
        <is>
          <t>פריקת האוכל שמגיע מהקייטרינג</t>
        </is>
      </c>
      <c r="F48" s="37" t="n">
        <v>1</v>
      </c>
    </row>
    <row r="49">
      <c r="A49" s="35" t="n">
        <v>46269</v>
      </c>
      <c r="B49" s="36" t="inlineStr">
        <is>
          <t>שחר קרן</t>
        </is>
      </c>
      <c r="C49" s="37" t="inlineStr">
        <is>
          <t>תורנות שבת</t>
        </is>
      </c>
      <c r="D49" s="36" t="inlineStr">
        <is>
          <t>בית מדרש · ארוחת ערב וטיש</t>
        </is>
      </c>
      <c r="E49" s="36" t="inlineStr">
        <is>
          <t>חימום 10 עוגות פרווה על הפלטה</t>
        </is>
      </c>
      <c r="F49" s="37" t="n">
        <v>1</v>
      </c>
    </row>
    <row r="50">
      <c r="A50" s="35" t="n">
        <v>46269</v>
      </c>
      <c r="B50" s="36" t="inlineStr">
        <is>
          <t>שחר קרן</t>
        </is>
      </c>
      <c r="C50" s="37" t="inlineStr">
        <is>
          <t>תורנות שבת</t>
        </is>
      </c>
      <c r="D50" s="36" t="inlineStr">
        <is>
          <t>בית מדרש · ארוחת ערב וטיש</t>
        </is>
      </c>
      <c r="E50" s="36" t="inlineStr">
        <is>
          <t>ניקיון חדר האוכל בסיום הטיש: טאטוא, שטיפת גסטרונומים וניקוי השולחנות</t>
        </is>
      </c>
      <c r="F50" s="37" t="n">
        <v>1</v>
      </c>
    </row>
    <row r="51">
      <c r="A51" s="35" t="n">
        <v>46269</v>
      </c>
      <c r="B51" s="36" t="inlineStr">
        <is>
          <t>אלון דיין</t>
        </is>
      </c>
      <c r="C51" s="37" t="inlineStr">
        <is>
          <t>תורנות שבת</t>
        </is>
      </c>
      <c r="D51" s="36" t="inlineStr">
        <is>
          <t>בית מדרש · צהריים בשבת</t>
        </is>
      </c>
      <c r="E51" s="36" t="inlineStr">
        <is>
          <t>סידור שולחנות וכיסאות לארוחה, ופינוי הכל בסיום</t>
        </is>
      </c>
      <c r="F51" s="37" t="n">
        <v>1</v>
      </c>
    </row>
    <row r="52">
      <c r="A52" s="35" t="n">
        <v>46269</v>
      </c>
      <c r="B52" s="36" t="inlineStr">
        <is>
          <t>יעל קהת</t>
        </is>
      </c>
      <c r="C52" s="37" t="inlineStr">
        <is>
          <t>תורנות שבת</t>
        </is>
      </c>
      <c r="D52" s="36" t="inlineStr">
        <is>
          <t>בית מדרש · צהריים בשבת</t>
        </is>
      </c>
      <c r="E52" s="36" t="inlineStr">
        <is>
          <t>הנחת האוכל בתנור החימום</t>
        </is>
      </c>
      <c r="F52" s="37" t="n">
        <v>1</v>
      </c>
    </row>
    <row r="53">
      <c r="A53" s="35" t="n">
        <v>46269</v>
      </c>
      <c r="B53" s="36" t="inlineStr">
        <is>
          <t>יעל קהת</t>
        </is>
      </c>
      <c r="C53" s="37" t="inlineStr">
        <is>
          <t>תורנות שבת</t>
        </is>
      </c>
      <c r="D53" s="36" t="inlineStr">
        <is>
          <t>בית מדרש · צהריים בשבת</t>
        </is>
      </c>
      <c r="E53" s="36" t="inlineStr">
        <is>
          <t>סידור שולחנות וכיסאות לארוחה, ופינוי הכל בסיום</t>
        </is>
      </c>
      <c r="F53" s="37" t="n">
        <v>1</v>
      </c>
    </row>
    <row r="54">
      <c r="A54" s="35" t="n">
        <v>46269</v>
      </c>
      <c r="B54" s="36" t="inlineStr">
        <is>
          <t>נגה שוהם</t>
        </is>
      </c>
      <c r="C54" s="37" t="inlineStr">
        <is>
          <t>תורנות שבת</t>
        </is>
      </c>
      <c r="D54" s="36" t="inlineStr">
        <is>
          <t>בית מדרש · צהריים בשבת</t>
        </is>
      </c>
      <c r="E54" s="36" t="inlineStr">
        <is>
          <t>פריסת האוכל, כפות הגשה, צלחות וסכו"ם</t>
        </is>
      </c>
      <c r="F54" s="37" t="n">
        <v>1</v>
      </c>
    </row>
    <row r="55">
      <c r="A55" s="35" t="n">
        <v>46269</v>
      </c>
      <c r="B55" s="36" t="inlineStr">
        <is>
          <t>עפרי גזיאל</t>
        </is>
      </c>
      <c r="C55" s="37" t="inlineStr">
        <is>
          <t>תורנות שבת</t>
        </is>
      </c>
      <c r="D55" s="36" t="inlineStr">
        <is>
          <t>בית מדרש · צהריים בשבת</t>
        </is>
      </c>
      <c r="E55" s="36" t="inlineStr">
        <is>
          <t>סידור שולחנות וכיסאות לארוחה, ופינוי הכל בסיום</t>
        </is>
      </c>
      <c r="F55" s="37" t="n">
        <v>1</v>
      </c>
    </row>
    <row r="56">
      <c r="A56" s="35" t="n">
        <v>46269</v>
      </c>
      <c r="B56" s="36" t="inlineStr">
        <is>
          <t>קובי סמייסון</t>
        </is>
      </c>
      <c r="C56" s="37" t="inlineStr">
        <is>
          <t>תורנות שבת</t>
        </is>
      </c>
      <c r="D56" s="36" t="inlineStr">
        <is>
          <t>בית מדרש · צהריים בשבת</t>
        </is>
      </c>
      <c r="E56" s="36" t="inlineStr">
        <is>
          <t>פריסת האוכל, כפות הגשה, צלחות וסכו"ם</t>
        </is>
      </c>
      <c r="F56" s="37" t="n">
        <v>1</v>
      </c>
    </row>
    <row r="57">
      <c r="A57" s="35" t="n">
        <v>46269</v>
      </c>
      <c r="B57" s="36" t="inlineStr">
        <is>
          <t>אחיה נחמני</t>
        </is>
      </c>
      <c r="C57" s="37" t="inlineStr">
        <is>
          <t>תורנות שבת</t>
        </is>
      </c>
      <c r="D57" s="36" t="inlineStr">
        <is>
          <t>בית מדרש · קידוש</t>
        </is>
      </c>
      <c r="E57" s="36" t="inlineStr">
        <is>
          <t>טאטוא הרצפה, סידור כיסאות וארגון המרחב</t>
        </is>
      </c>
      <c r="F57" s="37" t="n">
        <v>1</v>
      </c>
    </row>
    <row r="58">
      <c r="A58" s="35" t="n">
        <v>46269</v>
      </c>
      <c r="B58" s="36" t="inlineStr">
        <is>
          <t>יעל ברחד</t>
        </is>
      </c>
      <c r="C58" s="37" t="inlineStr">
        <is>
          <t>תורנות שבת</t>
        </is>
      </c>
      <c r="D58" s="36" t="inlineStr">
        <is>
          <t>בית מדרש · קידוש</t>
        </is>
      </c>
      <c r="E58" s="36" t="inlineStr">
        <is>
          <t>סידור וניקיון פינת קפה — להוציא חלב, למלא קפה וסוכר</t>
        </is>
      </c>
      <c r="F58" s="37" t="n">
        <v>1</v>
      </c>
    </row>
    <row r="59">
      <c r="A59" s="35" t="n">
        <v>46269</v>
      </c>
      <c r="B59" s="36" t="inlineStr">
        <is>
          <t>ליאור שימרלינג</t>
        </is>
      </c>
      <c r="C59" s="37" t="inlineStr">
        <is>
          <t>תורנות שבת</t>
        </is>
      </c>
      <c r="D59" s="36" t="inlineStr">
        <is>
          <t>בית מדרש · קידוש</t>
        </is>
      </c>
      <c r="E59" s="36" t="inlineStr">
        <is>
          <t>הוצאת 15 עוגות, חלב, קורנפלקס, ענבים ואבטיח</t>
        </is>
      </c>
      <c r="F59" s="37" t="n">
        <v>1</v>
      </c>
    </row>
    <row r="60">
      <c r="A60" s="35" t="n">
        <v>46269</v>
      </c>
      <c r="B60" s="36" t="inlineStr">
        <is>
          <t>מעיין יוספי</t>
        </is>
      </c>
      <c r="C60" s="37" t="inlineStr">
        <is>
          <t>תורנות שבת</t>
        </is>
      </c>
      <c r="D60" s="36" t="inlineStr">
        <is>
          <t>בית מדרש · קידוש</t>
        </is>
      </c>
      <c r="E60" s="36" t="inlineStr">
        <is>
          <t>חימום עוגות</t>
        </is>
      </c>
      <c r="F60" s="37" t="n">
        <v>1</v>
      </c>
    </row>
    <row r="61">
      <c r="A61" s="35" t="n">
        <v>46269</v>
      </c>
      <c r="B61" s="36" t="inlineStr">
        <is>
          <t>נעמי פונקלשטיין</t>
        </is>
      </c>
      <c r="C61" s="37" t="inlineStr">
        <is>
          <t>תורנות שבת</t>
        </is>
      </c>
      <c r="D61" s="36" t="inlineStr">
        <is>
          <t>בית מדרש · קידוש</t>
        </is>
      </c>
      <c r="E61" s="36" t="inlineStr">
        <is>
          <t>חיתוך האבטיח</t>
        </is>
      </c>
      <c r="F61" s="37" t="n">
        <v>1</v>
      </c>
    </row>
    <row r="62">
      <c r="A62" s="35" t="n">
        <v>46283</v>
      </c>
      <c r="B62" s="36" t="inlineStr">
        <is>
          <t>ליבי בוכריס</t>
        </is>
      </c>
      <c r="C62" s="37" t="inlineStr">
        <is>
          <t>הכנות שישי</t>
        </is>
      </c>
      <c r="D62" s="36" t="inlineStr">
        <is>
          <t>ארוחת צהריים שישי</t>
        </is>
      </c>
      <c r="E62" s="36" t="inlineStr">
        <is>
          <t>הכנת החומוס</t>
        </is>
      </c>
      <c r="F62" s="37" t="n">
        <v>1</v>
      </c>
    </row>
    <row r="63">
      <c r="A63" s="35" t="n">
        <v>46283</v>
      </c>
      <c r="B63" s="36" t="inlineStr">
        <is>
          <t>ליבי בוכריס</t>
        </is>
      </c>
      <c r="C63" s="37" t="inlineStr">
        <is>
          <t>הכנות שישי</t>
        </is>
      </c>
      <c r="D63" s="36" t="inlineStr">
        <is>
          <t>ארוחת צהריים שישי</t>
        </is>
      </c>
      <c r="E63" s="36" t="inlineStr">
        <is>
          <t>הגשת ארוחת הצהריים</t>
        </is>
      </c>
      <c r="F63" s="37" t="n">
        <v>1</v>
      </c>
    </row>
    <row r="64">
      <c r="A64" s="35" t="n">
        <v>46283</v>
      </c>
      <c r="B64" s="36" t="inlineStr">
        <is>
          <t>ליבי בוכריס</t>
        </is>
      </c>
      <c r="C64" s="37" t="inlineStr">
        <is>
          <t>הכנות שישי</t>
        </is>
      </c>
      <c r="D64" s="36" t="inlineStr">
        <is>
          <t>ארוחת צהריים שישי</t>
        </is>
      </c>
      <c r="E64" s="36" t="inlineStr">
        <is>
          <t>קיפול הארוחה, שטיפת כלים</t>
        </is>
      </c>
      <c r="F64" s="37" t="n">
        <v>1</v>
      </c>
    </row>
    <row r="65">
      <c r="A65" s="35" t="n">
        <v>46283</v>
      </c>
      <c r="B65" s="36" t="inlineStr">
        <is>
          <t>רוני כהן</t>
        </is>
      </c>
      <c r="C65" s="37" t="inlineStr">
        <is>
          <t>הכנות שישי</t>
        </is>
      </c>
      <c r="D65" s="36" t="inlineStr">
        <is>
          <t>ארוחת צהריים שישי</t>
        </is>
      </c>
      <c r="E65" s="36" t="inlineStr">
        <is>
          <t>הכנת החומוס</t>
        </is>
      </c>
      <c r="F65" s="37" t="n">
        <v>1</v>
      </c>
    </row>
    <row r="66">
      <c r="A66" s="35" t="n">
        <v>46283</v>
      </c>
      <c r="B66" s="36" t="inlineStr">
        <is>
          <t>רוני כהן</t>
        </is>
      </c>
      <c r="C66" s="37" t="inlineStr">
        <is>
          <t>הכנות שישי</t>
        </is>
      </c>
      <c r="D66" s="36" t="inlineStr">
        <is>
          <t>ארוחת צהריים שישי</t>
        </is>
      </c>
      <c r="E66" s="36" t="inlineStr">
        <is>
          <t>הגשת ארוחת הצהריים</t>
        </is>
      </c>
      <c r="F66" s="37" t="n">
        <v>1</v>
      </c>
    </row>
    <row r="67">
      <c r="A67" s="35" t="n">
        <v>46283</v>
      </c>
      <c r="B67" s="36" t="inlineStr">
        <is>
          <t>רוני כהן</t>
        </is>
      </c>
      <c r="C67" s="37" t="inlineStr">
        <is>
          <t>הכנות שישי</t>
        </is>
      </c>
      <c r="D67" s="36" t="inlineStr">
        <is>
          <t>ארוחת צהריים שישי</t>
        </is>
      </c>
      <c r="E67" s="36" t="inlineStr">
        <is>
          <t>קיפול הארוחה, שטיפת כלים</t>
        </is>
      </c>
      <c r="F67" s="37" t="n">
        <v>1</v>
      </c>
    </row>
    <row r="68">
      <c r="A68" s="35" t="n">
        <v>46283</v>
      </c>
      <c r="B68" s="36" t="inlineStr">
        <is>
          <t>איתן וינסטון</t>
        </is>
      </c>
      <c r="C68" s="37" t="inlineStr">
        <is>
          <t>הכנות שישי</t>
        </is>
      </c>
      <c r="D68" s="36" t="inlineStr">
        <is>
          <t>בראוניז ללא גלוטן</t>
        </is>
      </c>
      <c r="E68" s="36" t="inlineStr">
        <is>
          <t>המסה, ערבוב ואפייה</t>
        </is>
      </c>
      <c r="F68" s="37" t="n">
        <v>1</v>
      </c>
    </row>
    <row r="69">
      <c r="A69" s="35" t="n">
        <v>46283</v>
      </c>
      <c r="B69" s="36" t="inlineStr">
        <is>
          <t>יעל שם טוב</t>
        </is>
      </c>
      <c r="C69" s="37" t="inlineStr">
        <is>
          <t>הכנות שישי</t>
        </is>
      </c>
      <c r="D69" s="36" t="inlineStr">
        <is>
          <t>בראוניז ללא גלוטן</t>
        </is>
      </c>
      <c r="E69" s="36" t="inlineStr">
        <is>
          <t>המסה, ערבוב ואפייה</t>
        </is>
      </c>
      <c r="F69" s="37" t="n">
        <v>1</v>
      </c>
    </row>
    <row r="70">
      <c r="A70" s="35" t="n">
        <v>46283</v>
      </c>
      <c r="B70" s="36" t="inlineStr">
        <is>
          <t>איתן כהן</t>
        </is>
      </c>
      <c r="C70" s="37" t="inlineStr">
        <is>
          <t>הכנות שישי</t>
        </is>
      </c>
      <c r="D70" s="36" t="inlineStr">
        <is>
          <t>חלות</t>
        </is>
      </c>
      <c r="E70" s="36" t="inlineStr">
        <is>
          <t>לישה, התפחה, קליעה ואפייה</t>
        </is>
      </c>
      <c r="F70" s="37" t="n">
        <v>1</v>
      </c>
    </row>
    <row r="71">
      <c r="A71" s="35" t="n">
        <v>46283</v>
      </c>
      <c r="B71" s="36" t="inlineStr">
        <is>
          <t>טליה קור</t>
        </is>
      </c>
      <c r="C71" s="37" t="inlineStr">
        <is>
          <t>הכנות שישי</t>
        </is>
      </c>
      <c r="D71" s="36" t="inlineStr">
        <is>
          <t>חלות</t>
        </is>
      </c>
      <c r="E71" s="36" t="inlineStr">
        <is>
          <t>לישה, התפחה, קליעה ואפייה</t>
        </is>
      </c>
      <c r="F71" s="37" t="n">
        <v>1</v>
      </c>
    </row>
    <row r="72">
      <c r="A72" s="35" t="n">
        <v>46283</v>
      </c>
      <c r="B72" s="36" t="inlineStr">
        <is>
          <t>יהב לוי</t>
        </is>
      </c>
      <c r="C72" s="37" t="inlineStr">
        <is>
          <t>הכנות שישי</t>
        </is>
      </c>
      <c r="D72" s="36" t="inlineStr">
        <is>
          <t>חלות</t>
        </is>
      </c>
      <c r="E72" s="36" t="inlineStr">
        <is>
          <t>לישה, התפחה, קליעה ואפייה</t>
        </is>
      </c>
      <c r="F72" s="37" t="n">
        <v>1</v>
      </c>
    </row>
    <row r="73">
      <c r="A73" s="35" t="n">
        <v>46283</v>
      </c>
      <c r="B73" s="36" t="inlineStr">
        <is>
          <t>ירדן בן שחר</t>
        </is>
      </c>
      <c r="C73" s="37" t="inlineStr">
        <is>
          <t>הכנות שישי</t>
        </is>
      </c>
      <c r="D73" s="36" t="inlineStr">
        <is>
          <t>חלות</t>
        </is>
      </c>
      <c r="E73" s="36" t="inlineStr">
        <is>
          <t>לישה, התפחה, קליעה ואפייה</t>
        </is>
      </c>
      <c r="F73" s="37" t="n">
        <v>1</v>
      </c>
    </row>
    <row r="74">
      <c r="A74" s="35" t="n">
        <v>46283</v>
      </c>
      <c r="B74" s="36" t="inlineStr">
        <is>
          <t>רגב שהם</t>
        </is>
      </c>
      <c r="C74" s="37" t="inlineStr">
        <is>
          <t>הכנות שישי</t>
        </is>
      </c>
      <c r="D74" s="36" t="inlineStr">
        <is>
          <t>חלות</t>
        </is>
      </c>
      <c r="E74" s="36" t="inlineStr">
        <is>
          <t>לישה, התפחה, קליעה ואפייה</t>
        </is>
      </c>
      <c r="F74" s="37" t="n">
        <v>1</v>
      </c>
    </row>
    <row r="75">
      <c r="A75" s="35" t="n">
        <v>46283</v>
      </c>
      <c r="B75" s="36" t="inlineStr">
        <is>
          <t>אלה גוטליב</t>
        </is>
      </c>
      <c r="C75" s="37" t="inlineStr">
        <is>
          <t>הכנות שישי</t>
        </is>
      </c>
      <c r="D75" s="36" t="inlineStr">
        <is>
          <t>מטבוחה</t>
        </is>
      </c>
      <c r="E75" s="36" t="inlineStr">
        <is>
          <t>בישול ארוך עד מרקם ריבתי</t>
        </is>
      </c>
      <c r="F75" s="37" t="n">
        <v>1</v>
      </c>
    </row>
    <row r="76">
      <c r="A76" s="35" t="n">
        <v>46283</v>
      </c>
      <c r="B76" s="36" t="inlineStr">
        <is>
          <t>זואי כהן</t>
        </is>
      </c>
      <c r="C76" s="37" t="inlineStr">
        <is>
          <t>הכנות שישי</t>
        </is>
      </c>
      <c r="D76" s="36" t="inlineStr">
        <is>
          <t>מטבוחה</t>
        </is>
      </c>
      <c r="E76" s="36" t="inlineStr">
        <is>
          <t>בישול ארוך עד מרקם ריבתי</t>
        </is>
      </c>
      <c r="F76" s="37" t="n">
        <v>1</v>
      </c>
    </row>
    <row r="77">
      <c r="A77" s="35" t="n">
        <v>46283</v>
      </c>
      <c r="B77" s="36" t="inlineStr">
        <is>
          <t>יונתן לירז</t>
        </is>
      </c>
      <c r="C77" s="37" t="inlineStr">
        <is>
          <t>הכנות שישי</t>
        </is>
      </c>
      <c r="D77" s="36" t="inlineStr">
        <is>
          <t>מטבוחה</t>
        </is>
      </c>
      <c r="E77" s="36" t="inlineStr">
        <is>
          <t>בישול ארוך עד מרקם ריבתי</t>
        </is>
      </c>
      <c r="F77" s="37" t="n">
        <v>1</v>
      </c>
    </row>
    <row r="78">
      <c r="A78" s="35" t="n">
        <v>46283</v>
      </c>
      <c r="B78" s="36" t="inlineStr">
        <is>
          <t>שירה אדלה לוזון</t>
        </is>
      </c>
      <c r="C78" s="37" t="inlineStr">
        <is>
          <t>הכנות שישי</t>
        </is>
      </c>
      <c r="D78" s="36" t="inlineStr">
        <is>
          <t>מטבוחה</t>
        </is>
      </c>
      <c r="E78" s="36" t="inlineStr">
        <is>
          <t>בישול ארוך עד מרקם ריבתי</t>
        </is>
      </c>
      <c r="F78" s="37" t="n">
        <v>1</v>
      </c>
    </row>
    <row r="79">
      <c r="A79" s="35" t="n">
        <v>46283</v>
      </c>
      <c r="B79" s="36" t="inlineStr">
        <is>
          <t>אלרואי גרינברג</t>
        </is>
      </c>
      <c r="C79" s="37" t="inlineStr">
        <is>
          <t>הכנות שישי</t>
        </is>
      </c>
      <c r="D79" s="36" t="inlineStr">
        <is>
          <t>סלט חצילים</t>
        </is>
      </c>
      <c r="E79" s="36" t="inlineStr">
        <is>
          <t>קלייה, סינון, קיצוץ ותיבול</t>
        </is>
      </c>
      <c r="F79" s="37" t="n">
        <v>1</v>
      </c>
    </row>
    <row r="80">
      <c r="A80" s="35" t="n">
        <v>46283</v>
      </c>
      <c r="B80" s="36" t="inlineStr">
        <is>
          <t>חיים שמאי</t>
        </is>
      </c>
      <c r="C80" s="37" t="inlineStr">
        <is>
          <t>הכנות שישי</t>
        </is>
      </c>
      <c r="D80" s="36" t="inlineStr">
        <is>
          <t>סלט חצילים</t>
        </is>
      </c>
      <c r="E80" s="36" t="inlineStr">
        <is>
          <t>קלייה, סינון, קיצוץ ותיבול</t>
        </is>
      </c>
      <c r="F80" s="37" t="n">
        <v>1</v>
      </c>
    </row>
    <row r="81">
      <c r="A81" s="35" t="n">
        <v>46283</v>
      </c>
      <c r="B81" s="36" t="inlineStr">
        <is>
          <t>הדר עמדי</t>
        </is>
      </c>
      <c r="C81" s="37" t="inlineStr">
        <is>
          <t>הכנות שישי</t>
        </is>
      </c>
      <c r="D81" s="36" t="inlineStr">
        <is>
          <t>עוגות שמרים</t>
        </is>
      </c>
      <c r="E81" s="36" t="inlineStr">
        <is>
          <t>בצק, מילוי, קליעת קראנץ' ואפייה</t>
        </is>
      </c>
      <c r="F81" s="37" t="n">
        <v>1</v>
      </c>
    </row>
    <row r="82">
      <c r="A82" s="35" t="n">
        <v>46283</v>
      </c>
      <c r="B82" s="36" t="inlineStr">
        <is>
          <t>מישל דוד</t>
        </is>
      </c>
      <c r="C82" s="37" t="inlineStr">
        <is>
          <t>הכנות שישי</t>
        </is>
      </c>
      <c r="D82" s="36" t="inlineStr">
        <is>
          <t>עוגות שמרים</t>
        </is>
      </c>
      <c r="E82" s="36" t="inlineStr">
        <is>
          <t>בצק, מילוי, קליעת קראנץ' ואפייה</t>
        </is>
      </c>
      <c r="F82" s="37" t="n">
        <v>1</v>
      </c>
    </row>
    <row r="83">
      <c r="A83" s="35" t="n">
        <v>46283</v>
      </c>
      <c r="B83" s="36" t="inlineStr">
        <is>
          <t>משה אוברשטיין</t>
        </is>
      </c>
      <c r="C83" s="37" t="inlineStr">
        <is>
          <t>הכנות שישי</t>
        </is>
      </c>
      <c r="D83" s="36" t="inlineStr">
        <is>
          <t>עוגות שמרים</t>
        </is>
      </c>
      <c r="E83" s="36" t="inlineStr">
        <is>
          <t>בצק, מילוי, קליעת קראנץ' ואפייה</t>
        </is>
      </c>
      <c r="F83" s="37" t="n">
        <v>1</v>
      </c>
    </row>
    <row r="84">
      <c r="A84" s="35" t="n">
        <v>46283</v>
      </c>
      <c r="B84" s="36" t="inlineStr">
        <is>
          <t>עשהאל ירושלמי</t>
        </is>
      </c>
      <c r="C84" s="37" t="inlineStr">
        <is>
          <t>הכנות שישי</t>
        </is>
      </c>
      <c r="D84" s="36" t="inlineStr">
        <is>
          <t>עוגות שמרים</t>
        </is>
      </c>
      <c r="E84" s="36" t="inlineStr">
        <is>
          <t>בצק, מילוי, קליעת קראנץ' ואפייה</t>
        </is>
      </c>
      <c r="F84" s="37" t="n">
        <v>1</v>
      </c>
    </row>
    <row r="85">
      <c r="A85" s="35" t="n">
        <v>46283</v>
      </c>
      <c r="B85" s="36" t="inlineStr">
        <is>
          <t>עמרי קולטון</t>
        </is>
      </c>
      <c r="C85" s="37" t="inlineStr">
        <is>
          <t>הכנות שישי</t>
        </is>
      </c>
      <c r="D85" s="36" t="inlineStr">
        <is>
          <t>עוגיות שוקולד צ'יפס</t>
        </is>
      </c>
      <c r="E85" s="36" t="inlineStr">
        <is>
          <t>הכנת הבצק, כדרור ואפייה</t>
        </is>
      </c>
      <c r="F85" s="37" t="n">
        <v>1</v>
      </c>
    </row>
    <row r="86">
      <c r="A86" s="35" t="n">
        <v>46283</v>
      </c>
      <c r="B86" s="36" t="inlineStr">
        <is>
          <t>שחר מרקוביץ' גליק</t>
        </is>
      </c>
      <c r="C86" s="37" t="inlineStr">
        <is>
          <t>הכנות שישי</t>
        </is>
      </c>
      <c r="D86" s="36" t="inlineStr">
        <is>
          <t>עוגיות שוקולד צ'יפס</t>
        </is>
      </c>
      <c r="E86" s="36" t="inlineStr">
        <is>
          <t>הכנת הבצק, כדרור ואפייה</t>
        </is>
      </c>
      <c r="F86" s="37" t="n">
        <v>1</v>
      </c>
    </row>
    <row r="87">
      <c r="A87" s="35" t="n">
        <v>46283</v>
      </c>
      <c r="B87" s="36" t="inlineStr">
        <is>
          <t>איתי בן מנחם</t>
        </is>
      </c>
      <c r="C87" s="37" t="inlineStr">
        <is>
          <t>הכנות שישי</t>
        </is>
      </c>
      <c r="D87" s="36" t="inlineStr">
        <is>
          <t>עוגת דבש</t>
        </is>
      </c>
      <c r="E87" s="36" t="inlineStr">
        <is>
          <t>אפיית 10–12 תבניות אינגליש</t>
        </is>
      </c>
      <c r="F87" s="37" t="n">
        <v>1</v>
      </c>
    </row>
    <row r="88">
      <c r="A88" s="35" t="n">
        <v>46283</v>
      </c>
      <c r="B88" s="36" t="inlineStr">
        <is>
          <t>פרת פולס</t>
        </is>
      </c>
      <c r="C88" s="37" t="inlineStr">
        <is>
          <t>הכנות שישי</t>
        </is>
      </c>
      <c r="D88" s="36" t="inlineStr">
        <is>
          <t>עוגת דבש</t>
        </is>
      </c>
      <c r="E88" s="36" t="inlineStr">
        <is>
          <t>אפיית 10–12 תבניות אינגליש</t>
        </is>
      </c>
      <c r="F88" s="37" t="n">
        <v>1</v>
      </c>
    </row>
    <row r="89">
      <c r="A89" s="35" t="n">
        <v>46283</v>
      </c>
      <c r="B89" s="36" t="inlineStr">
        <is>
          <t>אביב רוזנטל</t>
        </is>
      </c>
      <c r="C89" s="37" t="inlineStr">
        <is>
          <t>תורנות שבת</t>
        </is>
      </c>
      <c r="D89" s="36" t="inlineStr">
        <is>
          <t>בית מדרש · ארוחת ערב וטיש</t>
        </is>
      </c>
      <c r="E89" s="36" t="inlineStr">
        <is>
          <t>הכנת סלט טחינה — חצי כמות לארוחת הערב</t>
        </is>
      </c>
      <c r="F89" s="37" t="n">
        <v>1</v>
      </c>
    </row>
    <row r="90">
      <c r="A90" s="35" t="n">
        <v>46283</v>
      </c>
      <c r="B90" s="36" t="inlineStr">
        <is>
          <t>אביב רוזנטל</t>
        </is>
      </c>
      <c r="C90" s="37" t="inlineStr">
        <is>
          <t>תורנות שבת</t>
        </is>
      </c>
      <c r="D90" s="36" t="inlineStr">
        <is>
          <t>בית מדרש · ארוחת ערב וטיש</t>
        </is>
      </c>
      <c r="E90" s="36" t="inlineStr">
        <is>
          <t>עריכת שולחן: טחינה, צלחות וסכו"ם, לחמניות, וסלטים מהקייטרינג אם יש</t>
        </is>
      </c>
      <c r="F90" s="37" t="n">
        <v>1</v>
      </c>
    </row>
    <row r="91">
      <c r="A91" s="35" t="n">
        <v>46283</v>
      </c>
      <c r="B91" s="36" t="inlineStr">
        <is>
          <t>אביב רוזנטל</t>
        </is>
      </c>
      <c r="C91" s="37" t="inlineStr">
        <is>
          <t>תורנות שבת</t>
        </is>
      </c>
      <c r="D91" s="36" t="inlineStr">
        <is>
          <t>בית מדרש · ארוחת ערב וטיש</t>
        </is>
      </c>
      <c r="E91" s="36" t="inlineStr">
        <is>
          <t>פריסת שולחן במרכז: 10 עוגות פרווה, גרעינים, בקבוקים ואבטיח, כוסות ושתייה</t>
        </is>
      </c>
      <c r="F91" s="37" t="n">
        <v>1</v>
      </c>
    </row>
    <row r="92">
      <c r="A92" s="35" t="n">
        <v>46283</v>
      </c>
      <c r="B92" s="36" t="inlineStr">
        <is>
          <t>אביב רוזנטל</t>
        </is>
      </c>
      <c r="C92" s="37" t="inlineStr">
        <is>
          <t>תורנות שבת</t>
        </is>
      </c>
      <c r="D92" s="36" t="inlineStr">
        <is>
          <t>בית מדרש · ארוחת ערב וטיש</t>
        </is>
      </c>
      <c r="E92" s="36" t="inlineStr">
        <is>
          <t>ניקיון חדר האוכל בסיום הטיש: טאטוא, שטיפת גסטרונומים וניקוי השולחנות</t>
        </is>
      </c>
      <c r="F92" s="37" t="n">
        <v>1</v>
      </c>
    </row>
    <row r="93">
      <c r="A93" s="35" t="n">
        <v>46283</v>
      </c>
      <c r="B93" s="36" t="inlineStr">
        <is>
          <t>איתי בן מנחם</t>
        </is>
      </c>
      <c r="C93" s="37" t="inlineStr">
        <is>
          <t>תורנות שבת</t>
        </is>
      </c>
      <c r="D93" s="36" t="inlineStr">
        <is>
          <t>בית מדרש · ארוחת ערב וטיש</t>
        </is>
      </c>
      <c r="E93" s="36" t="inlineStr">
        <is>
          <t>הנחת האוכל על הפלטות, וחיבור מיחמים בפינת קפה</t>
        </is>
      </c>
      <c r="F93" s="37" t="n">
        <v>1</v>
      </c>
    </row>
    <row r="94">
      <c r="A94" s="35" t="n">
        <v>46283</v>
      </c>
      <c r="B94" s="36" t="inlineStr">
        <is>
          <t>איתי בן מנחם</t>
        </is>
      </c>
      <c r="C94" s="37" t="inlineStr">
        <is>
          <t>תורנות שבת</t>
        </is>
      </c>
      <c r="D94" s="36" t="inlineStr">
        <is>
          <t>בית מדרש · ארוחת ערב וטיש</t>
        </is>
      </c>
      <c r="E94" s="36" t="inlineStr">
        <is>
          <t>עריכת שולחן: טחינה, צלחות וסכו"ם, לחמניות, וסלטים מהקייטרינג אם יש</t>
        </is>
      </c>
      <c r="F94" s="37" t="n">
        <v>1</v>
      </c>
    </row>
    <row r="95">
      <c r="A95" s="35" t="n">
        <v>46283</v>
      </c>
      <c r="B95" s="36" t="inlineStr">
        <is>
          <t>איתי בן מנחם</t>
        </is>
      </c>
      <c r="C95" s="37" t="inlineStr">
        <is>
          <t>תורנות שבת</t>
        </is>
      </c>
      <c r="D95" s="36" t="inlineStr">
        <is>
          <t>בית מדרש · ארוחת ערב וטיש</t>
        </is>
      </c>
      <c r="E95" s="36" t="inlineStr">
        <is>
          <t>פריסת שולחן במרכז: 10 עוגות פרווה, גרעינים, בקבוקים ואבטיח, כוסות ושתייה</t>
        </is>
      </c>
      <c r="F95" s="37" t="n">
        <v>1</v>
      </c>
    </row>
    <row r="96">
      <c r="A96" s="35" t="n">
        <v>46283</v>
      </c>
      <c r="B96" s="36" t="inlineStr">
        <is>
          <t>איתי בן מנחם</t>
        </is>
      </c>
      <c r="C96" s="37" t="inlineStr">
        <is>
          <t>תורנות שבת</t>
        </is>
      </c>
      <c r="D96" s="36" t="inlineStr">
        <is>
          <t>בית מדרש · ארוחת ערב וטיש</t>
        </is>
      </c>
      <c r="E96" s="36" t="inlineStr">
        <is>
          <t>ניקיון חדר האוכל בסיום הטיש: טאטוא, שטיפת גסטרונומים וניקוי השולחנות</t>
        </is>
      </c>
      <c r="F96" s="37" t="n">
        <v>1</v>
      </c>
    </row>
    <row r="97">
      <c r="A97" s="35" t="n">
        <v>46283</v>
      </c>
      <c r="B97" s="36" t="inlineStr">
        <is>
          <t>איתמר אסנהיים</t>
        </is>
      </c>
      <c r="C97" s="37" t="inlineStr">
        <is>
          <t>תורנות שבת</t>
        </is>
      </c>
      <c r="D97" s="36" t="inlineStr">
        <is>
          <t>בית מדרש · ארוחת ערב וטיש</t>
        </is>
      </c>
      <c r="E97" s="36" t="inlineStr">
        <is>
          <t>פריקת האוכל שמגיע מהקייטרינג</t>
        </is>
      </c>
      <c r="F97" s="37" t="n">
        <v>1</v>
      </c>
    </row>
    <row r="98">
      <c r="A98" s="35" t="n">
        <v>46283</v>
      </c>
      <c r="B98" s="36" t="inlineStr">
        <is>
          <t>איתמר אסנהיים</t>
        </is>
      </c>
      <c r="C98" s="37" t="inlineStr">
        <is>
          <t>תורנות שבת</t>
        </is>
      </c>
      <c r="D98" s="36" t="inlineStr">
        <is>
          <t>בית מדרש · ארוחת ערב וטיש</t>
        </is>
      </c>
      <c r="E98" s="36" t="inlineStr">
        <is>
          <t>הורדת האוכל מהפלטות ומתנור החימום לארוחה</t>
        </is>
      </c>
      <c r="F98" s="37" t="n">
        <v>1</v>
      </c>
    </row>
    <row r="99">
      <c r="A99" s="35" t="n">
        <v>46283</v>
      </c>
      <c r="B99" s="36" t="inlineStr">
        <is>
          <t>איתמר אסנהיים</t>
        </is>
      </c>
      <c r="C99" s="37" t="inlineStr">
        <is>
          <t>תורנות שבת</t>
        </is>
      </c>
      <c r="D99" s="36" t="inlineStr">
        <is>
          <t>בית מדרש · ארוחת ערב וטיש</t>
        </is>
      </c>
      <c r="E99" s="36" t="inlineStr">
        <is>
          <t>חימום 10 עוגות פרווה על הפלטה</t>
        </is>
      </c>
      <c r="F99" s="37" t="n">
        <v>1</v>
      </c>
    </row>
    <row r="100">
      <c r="A100" s="35" t="n">
        <v>46283</v>
      </c>
      <c r="B100" s="36" t="inlineStr">
        <is>
          <t>איתמר אסנהיים</t>
        </is>
      </c>
      <c r="C100" s="37" t="inlineStr">
        <is>
          <t>תורנות שבת</t>
        </is>
      </c>
      <c r="D100" s="36" t="inlineStr">
        <is>
          <t>בית מדרש · ארוחת ערב וטיש</t>
        </is>
      </c>
      <c r="E100" s="36" t="inlineStr">
        <is>
          <t>סידור המרחב: שולחנות בקוביה במרכז, כיסאות במעגל מסביב</t>
        </is>
      </c>
      <c r="F100" s="37" t="n">
        <v>1</v>
      </c>
    </row>
    <row r="101">
      <c r="A101" s="35" t="n">
        <v>46283</v>
      </c>
      <c r="B101" s="36" t="inlineStr">
        <is>
          <t>איתמר אסנהיים</t>
        </is>
      </c>
      <c r="C101" s="37" t="inlineStr">
        <is>
          <t>תורנות שבת</t>
        </is>
      </c>
      <c r="D101" s="36" t="inlineStr">
        <is>
          <t>בית מדרש · ארוחת ערב וטיש</t>
        </is>
      </c>
      <c r="E101" s="36" t="inlineStr">
        <is>
          <t>ניקיון חדר האוכל בסיום הטיש: טאטוא, שטיפת גסטרונומים וניקוי השולחנות</t>
        </is>
      </c>
      <c r="F101" s="37" t="n">
        <v>1</v>
      </c>
    </row>
    <row r="102">
      <c r="A102" s="35" t="n">
        <v>46283</v>
      </c>
      <c r="B102" s="36" t="inlineStr">
        <is>
          <t>הלל פינגולד</t>
        </is>
      </c>
      <c r="C102" s="37" t="inlineStr">
        <is>
          <t>תורנות שבת</t>
        </is>
      </c>
      <c r="D102" s="36" t="inlineStr">
        <is>
          <t>בית מדרש · ארוחת ערב וטיש</t>
        </is>
      </c>
      <c r="E102" s="36" t="inlineStr">
        <is>
          <t>הכנת סלט כרוב — חצי כמות לארוחת הערב</t>
        </is>
      </c>
      <c r="F102" s="37" t="n">
        <v>1</v>
      </c>
    </row>
    <row r="103">
      <c r="A103" s="35" t="n">
        <v>46283</v>
      </c>
      <c r="B103" s="36" t="inlineStr">
        <is>
          <t>הלל פינגולד</t>
        </is>
      </c>
      <c r="C103" s="37" t="inlineStr">
        <is>
          <t>תורנות שבת</t>
        </is>
      </c>
      <c r="D103" s="36" t="inlineStr">
        <is>
          <t>בית מדרש · ארוחת ערב וטיש</t>
        </is>
      </c>
      <c r="E103" s="36" t="inlineStr">
        <is>
          <t>הורדת האוכל מהפלטות ומתנור החימום לארוחה</t>
        </is>
      </c>
      <c r="F103" s="37" t="n">
        <v>1</v>
      </c>
    </row>
    <row r="104">
      <c r="A104" s="35" t="n">
        <v>46283</v>
      </c>
      <c r="B104" s="36" t="inlineStr">
        <is>
          <t>הלל פינגולד</t>
        </is>
      </c>
      <c r="C104" s="37" t="inlineStr">
        <is>
          <t>תורנות שבת</t>
        </is>
      </c>
      <c r="D104" s="36" t="inlineStr">
        <is>
          <t>בית מדרש · ארוחת ערב וטיש</t>
        </is>
      </c>
      <c r="E104" s="36" t="inlineStr">
        <is>
          <t>חימום 10 עוגות פרווה על הפלטה</t>
        </is>
      </c>
      <c r="F104" s="37" t="n">
        <v>1</v>
      </c>
    </row>
    <row r="105">
      <c r="A105" s="35" t="n">
        <v>46283</v>
      </c>
      <c r="B105" s="36" t="inlineStr">
        <is>
          <t>הלל פינגולד</t>
        </is>
      </c>
      <c r="C105" s="37" t="inlineStr">
        <is>
          <t>תורנות שבת</t>
        </is>
      </c>
      <c r="D105" s="36" t="inlineStr">
        <is>
          <t>בית מדרש · ארוחת ערב וטיש</t>
        </is>
      </c>
      <c r="E105" s="36" t="inlineStr">
        <is>
          <t>סידור המרחב: שולחנות בקוביה במרכז, כיסאות במעגל מסביב</t>
        </is>
      </c>
      <c r="F105" s="37" t="n">
        <v>1</v>
      </c>
    </row>
    <row r="106">
      <c r="A106" s="35" t="n">
        <v>46283</v>
      </c>
      <c r="B106" s="36" t="inlineStr">
        <is>
          <t>הלל פינגולד</t>
        </is>
      </c>
      <c r="C106" s="37" t="inlineStr">
        <is>
          <t>תורנות שבת</t>
        </is>
      </c>
      <c r="D106" s="36" t="inlineStr">
        <is>
          <t>בית מדרש · ארוחת ערב וטיש</t>
        </is>
      </c>
      <c r="E106" s="36" t="inlineStr">
        <is>
          <t>ניקיון חדר האוכל בסיום הטיש: טאטוא, שטיפת גסטרונומים וניקוי השולחנות</t>
        </is>
      </c>
      <c r="F106" s="37" t="n">
        <v>1</v>
      </c>
    </row>
    <row r="107">
      <c r="A107" s="35" t="n">
        <v>46283</v>
      </c>
      <c r="B107" s="36" t="inlineStr">
        <is>
          <t>יובל יצחק</t>
        </is>
      </c>
      <c r="C107" s="37" t="inlineStr">
        <is>
          <t>תורנות שבת</t>
        </is>
      </c>
      <c r="D107" s="36" t="inlineStr">
        <is>
          <t>בית מדרש · ארוחת ערב וטיש</t>
        </is>
      </c>
      <c r="E107" s="36" t="inlineStr">
        <is>
          <t>הכנת סלט כרוב — חצי כמות לארוחת הערב</t>
        </is>
      </c>
      <c r="F107" s="37" t="n">
        <v>1</v>
      </c>
    </row>
    <row r="108">
      <c r="A108" s="35" t="n">
        <v>46283</v>
      </c>
      <c r="B108" s="36" t="inlineStr">
        <is>
          <t>יובל יצחק</t>
        </is>
      </c>
      <c r="C108" s="37" t="inlineStr">
        <is>
          <t>תורנות שבת</t>
        </is>
      </c>
      <c r="D108" s="36" t="inlineStr">
        <is>
          <t>בית מדרש · ארוחת ערב וטיש</t>
        </is>
      </c>
      <c r="E108" s="36" t="inlineStr">
        <is>
          <t>הורדת האוכל מהפלטות ומתנור החימום לארוחה</t>
        </is>
      </c>
      <c r="F108" s="37" t="n">
        <v>1</v>
      </c>
    </row>
    <row r="109">
      <c r="A109" s="35" t="n">
        <v>46283</v>
      </c>
      <c r="B109" s="36" t="inlineStr">
        <is>
          <t>יובל יצחק</t>
        </is>
      </c>
      <c r="C109" s="37" t="inlineStr">
        <is>
          <t>תורנות שבת</t>
        </is>
      </c>
      <c r="D109" s="36" t="inlineStr">
        <is>
          <t>בית מדרש · ארוחת ערב וטיש</t>
        </is>
      </c>
      <c r="E109" s="36" t="inlineStr">
        <is>
          <t>חיתוך אבטיח</t>
        </is>
      </c>
      <c r="F109" s="37" t="n">
        <v>1</v>
      </c>
    </row>
    <row r="110">
      <c r="A110" s="35" t="n">
        <v>46283</v>
      </c>
      <c r="B110" s="36" t="inlineStr">
        <is>
          <t>יובל יצחק</t>
        </is>
      </c>
      <c r="C110" s="37" t="inlineStr">
        <is>
          <t>תורנות שבת</t>
        </is>
      </c>
      <c r="D110" s="36" t="inlineStr">
        <is>
          <t>בית מדרש · ארוחת ערב וטיש</t>
        </is>
      </c>
      <c r="E110" s="36" t="inlineStr">
        <is>
          <t>סידור המרחב: שולחנות בקוביה במרכז, כיסאות במעגל מסביב</t>
        </is>
      </c>
      <c r="F110" s="37" t="n">
        <v>1</v>
      </c>
    </row>
    <row r="111">
      <c r="A111" s="35" t="n">
        <v>46283</v>
      </c>
      <c r="B111" s="36" t="inlineStr">
        <is>
          <t>יובל יצחק</t>
        </is>
      </c>
      <c r="C111" s="37" t="inlineStr">
        <is>
          <t>תורנות שבת</t>
        </is>
      </c>
      <c r="D111" s="36" t="inlineStr">
        <is>
          <t>בית מדרש · ארוחת ערב וטיש</t>
        </is>
      </c>
      <c r="E111" s="36" t="inlineStr">
        <is>
          <t>ניקיון חדר האוכל בסיום הטיש: טאטוא, שטיפת גסטרונומים וניקוי השולחנות</t>
        </is>
      </c>
      <c r="F111" s="37" t="n">
        <v>1</v>
      </c>
    </row>
    <row r="112">
      <c r="A112" s="35" t="n">
        <v>46283</v>
      </c>
      <c r="B112" s="36" t="inlineStr">
        <is>
          <t>נועם ישראל קומפאס</t>
        </is>
      </c>
      <c r="C112" s="37" t="inlineStr">
        <is>
          <t>תורנות שבת</t>
        </is>
      </c>
      <c r="D112" s="36" t="inlineStr">
        <is>
          <t>בית מדרש · ארוחת ערב וטיש</t>
        </is>
      </c>
      <c r="E112" s="36" t="inlineStr">
        <is>
          <t>פריקת האוכל שמגיע מהקייטרינג</t>
        </is>
      </c>
      <c r="F112" s="37" t="n">
        <v>1</v>
      </c>
    </row>
    <row r="113">
      <c r="A113" s="35" t="n">
        <v>46283</v>
      </c>
      <c r="B113" s="36" t="inlineStr">
        <is>
          <t>נועם ישראל קומפאס</t>
        </is>
      </c>
      <c r="C113" s="37" t="inlineStr">
        <is>
          <t>תורנות שבת</t>
        </is>
      </c>
      <c r="D113" s="36" t="inlineStr">
        <is>
          <t>בית מדרש · ארוחת ערב וטיש</t>
        </is>
      </c>
      <c r="E113" s="36" t="inlineStr">
        <is>
          <t>הנחת האוכל על הפלטות, וחיבור מיחמים בפינת קפה</t>
        </is>
      </c>
      <c r="F113" s="37" t="n">
        <v>1</v>
      </c>
    </row>
    <row r="114">
      <c r="A114" s="35" t="n">
        <v>46283</v>
      </c>
      <c r="B114" s="36" t="inlineStr">
        <is>
          <t>נועם ישראל קומפאס</t>
        </is>
      </c>
      <c r="C114" s="37" t="inlineStr">
        <is>
          <t>תורנות שבת</t>
        </is>
      </c>
      <c r="D114" s="36" t="inlineStr">
        <is>
          <t>בית מדרש · ארוחת ערב וטיש</t>
        </is>
      </c>
      <c r="E114" s="36" t="inlineStr">
        <is>
          <t>עריכת שולחן: טחינה, צלחות וסכו"ם, לחמניות, וסלטים מהקייטרינג אם יש</t>
        </is>
      </c>
      <c r="F114" s="37" t="n">
        <v>1</v>
      </c>
    </row>
    <row r="115">
      <c r="A115" s="35" t="n">
        <v>46283</v>
      </c>
      <c r="B115" s="36" t="inlineStr">
        <is>
          <t>נועם ישראל קומפאס</t>
        </is>
      </c>
      <c r="C115" s="37" t="inlineStr">
        <is>
          <t>תורנות שבת</t>
        </is>
      </c>
      <c r="D115" s="36" t="inlineStr">
        <is>
          <t>בית מדרש · ארוחת ערב וטיש</t>
        </is>
      </c>
      <c r="E115" s="36" t="inlineStr">
        <is>
          <t>פריסת שולחן במרכז: 10 עוגות פרווה, גרעינים, בקבוקים ואבטיח, כוסות ושתייה</t>
        </is>
      </c>
      <c r="F115" s="37" t="n">
        <v>1</v>
      </c>
    </row>
    <row r="116">
      <c r="A116" s="35" t="n">
        <v>46283</v>
      </c>
      <c r="B116" s="36" t="inlineStr">
        <is>
          <t>נועם ישראל קומפאס</t>
        </is>
      </c>
      <c r="C116" s="37" t="inlineStr">
        <is>
          <t>תורנות שבת</t>
        </is>
      </c>
      <c r="D116" s="36" t="inlineStr">
        <is>
          <t>בית מדרש · ארוחת ערב וטיש</t>
        </is>
      </c>
      <c r="E116" s="36" t="inlineStr">
        <is>
          <t>ניקיון חדר האוכל בסיום הטיש: טאטוא, שטיפת גסטרונומים וניקוי השולחנות</t>
        </is>
      </c>
      <c r="F116" s="37" t="n">
        <v>1</v>
      </c>
    </row>
    <row r="117">
      <c r="A117" s="35" t="n">
        <v>46283</v>
      </c>
      <c r="B117" s="36" t="inlineStr">
        <is>
          <t>אלה גוטליב</t>
        </is>
      </c>
      <c r="C117" s="37" t="inlineStr">
        <is>
          <t>תורנות שבת</t>
        </is>
      </c>
      <c r="D117" s="36" t="inlineStr">
        <is>
          <t>בית מדרש · צהריים בשבת</t>
        </is>
      </c>
      <c r="E117" s="36" t="inlineStr">
        <is>
          <t>הכנת סלט טחינה — חצי כמות לארוחת הצהריים</t>
        </is>
      </c>
      <c r="F117" s="37" t="n">
        <v>1</v>
      </c>
    </row>
    <row r="118">
      <c r="A118" s="35" t="n">
        <v>46283</v>
      </c>
      <c r="B118" s="36" t="inlineStr">
        <is>
          <t>אלה גוטליב</t>
        </is>
      </c>
      <c r="C118" s="37" t="inlineStr">
        <is>
          <t>תורנות שבת</t>
        </is>
      </c>
      <c r="D118" s="36" t="inlineStr">
        <is>
          <t>בית מדרש · צהריים בשבת</t>
        </is>
      </c>
      <c r="E118" s="36" t="inlineStr">
        <is>
          <t>סידור שולחנות וכיסאות לארוחה, ופינוי הכל בסיום</t>
        </is>
      </c>
      <c r="F118" s="37" t="n">
        <v>1</v>
      </c>
    </row>
    <row r="119">
      <c r="A119" s="35" t="n">
        <v>46283</v>
      </c>
      <c r="B119" s="36" t="inlineStr">
        <is>
          <t>הדר עמדי</t>
        </is>
      </c>
      <c r="C119" s="37" t="inlineStr">
        <is>
          <t>תורנות שבת</t>
        </is>
      </c>
      <c r="D119" s="36" t="inlineStr">
        <is>
          <t>בית מדרש · צהריים בשבת</t>
        </is>
      </c>
      <c r="E119" s="36" t="inlineStr">
        <is>
          <t>פריסת האוכל, כפות הגשה, צלחות וסכו"ם</t>
        </is>
      </c>
      <c r="F119" s="37" t="n">
        <v>1</v>
      </c>
    </row>
    <row r="120">
      <c r="A120" s="35" t="n">
        <v>46283</v>
      </c>
      <c r="B120" s="36" t="inlineStr">
        <is>
          <t>טליה קור</t>
        </is>
      </c>
      <c r="C120" s="37" t="inlineStr">
        <is>
          <t>תורנות שבת</t>
        </is>
      </c>
      <c r="D120" s="36" t="inlineStr">
        <is>
          <t>בית מדרש · צהריים בשבת</t>
        </is>
      </c>
      <c r="E120" s="36" t="inlineStr">
        <is>
          <t>הכנת סלט כרוב — חצי כמות לארוחת הצהריים</t>
        </is>
      </c>
      <c r="F120" s="37" t="n">
        <v>1</v>
      </c>
    </row>
    <row r="121">
      <c r="A121" s="35" t="n">
        <v>46283</v>
      </c>
      <c r="B121" s="36" t="inlineStr">
        <is>
          <t>טליה קור</t>
        </is>
      </c>
      <c r="C121" s="37" t="inlineStr">
        <is>
          <t>תורנות שבת</t>
        </is>
      </c>
      <c r="D121" s="36" t="inlineStr">
        <is>
          <t>בית מדרש · צהריים בשבת</t>
        </is>
      </c>
      <c r="E121" s="36" t="inlineStr">
        <is>
          <t>סידור שולחנות וכיסאות לארוחה, ופינוי הכל בסיום</t>
        </is>
      </c>
      <c r="F121" s="37" t="n">
        <v>1</v>
      </c>
    </row>
    <row r="122">
      <c r="A122" s="35" t="n">
        <v>46283</v>
      </c>
      <c r="B122" s="36" t="inlineStr">
        <is>
          <t>רוני פרנקל</t>
        </is>
      </c>
      <c r="C122" s="37" t="inlineStr">
        <is>
          <t>תורנות שבת</t>
        </is>
      </c>
      <c r="D122" s="36" t="inlineStr">
        <is>
          <t>בית מדרש · צהריים בשבת</t>
        </is>
      </c>
      <c r="E122" s="36" t="inlineStr">
        <is>
          <t>הכנת סלט כרוב — חצי כמות לארוחת הצהריים</t>
        </is>
      </c>
      <c r="F122" s="37" t="n">
        <v>1</v>
      </c>
    </row>
    <row r="123">
      <c r="A123" s="35" t="n">
        <v>46283</v>
      </c>
      <c r="B123" s="36" t="inlineStr">
        <is>
          <t>רוני פרנקל</t>
        </is>
      </c>
      <c r="C123" s="37" t="inlineStr">
        <is>
          <t>תורנות שבת</t>
        </is>
      </c>
      <c r="D123" s="36" t="inlineStr">
        <is>
          <t>בית מדרש · צהריים בשבת</t>
        </is>
      </c>
      <c r="E123" s="36" t="inlineStr">
        <is>
          <t>סידור שולחנות וכיסאות לארוחה, ופינוי הכל בסיום</t>
        </is>
      </c>
      <c r="F123" s="37" t="n">
        <v>1</v>
      </c>
    </row>
    <row r="124">
      <c r="A124" s="35" t="n">
        <v>46283</v>
      </c>
      <c r="B124" s="36" t="inlineStr">
        <is>
          <t>שירה אדלה לוזון</t>
        </is>
      </c>
      <c r="C124" s="37" t="inlineStr">
        <is>
          <t>תורנות שבת</t>
        </is>
      </c>
      <c r="D124" s="36" t="inlineStr">
        <is>
          <t>בית מדרש · צהריים בשבת</t>
        </is>
      </c>
      <c r="E124" s="36" t="inlineStr">
        <is>
          <t>הנחת האוכל בתנור החימום</t>
        </is>
      </c>
      <c r="F124" s="37" t="n">
        <v>1</v>
      </c>
    </row>
    <row r="125">
      <c r="A125" s="35" t="n">
        <v>46283</v>
      </c>
      <c r="B125" s="36" t="inlineStr">
        <is>
          <t>שירה אדלה לוזון</t>
        </is>
      </c>
      <c r="C125" s="37" t="inlineStr">
        <is>
          <t>תורנות שבת</t>
        </is>
      </c>
      <c r="D125" s="36" t="inlineStr">
        <is>
          <t>בית מדרש · צהריים בשבת</t>
        </is>
      </c>
      <c r="E125" s="36" t="inlineStr">
        <is>
          <t>פריסת האוכל, כפות הגשה, צלחות וסכו"ם</t>
        </is>
      </c>
      <c r="F125" s="37" t="n">
        <v>1</v>
      </c>
    </row>
    <row r="126">
      <c r="A126" s="35" t="n">
        <v>46283</v>
      </c>
      <c r="B126" s="36" t="inlineStr">
        <is>
          <t>אחיה נחמני</t>
        </is>
      </c>
      <c r="C126" s="37" t="inlineStr">
        <is>
          <t>תורנות שבת</t>
        </is>
      </c>
      <c r="D126" s="36" t="inlineStr">
        <is>
          <t>בית מדרש · קידוש</t>
        </is>
      </c>
      <c r="E126" s="36" t="inlineStr">
        <is>
          <t>חימום עוגות</t>
        </is>
      </c>
      <c r="F126" s="37" t="n">
        <v>1</v>
      </c>
    </row>
    <row r="127">
      <c r="A127" s="35" t="n">
        <v>46283</v>
      </c>
      <c r="B127" s="36" t="inlineStr">
        <is>
          <t>זואי כהן</t>
        </is>
      </c>
      <c r="C127" s="37" t="inlineStr">
        <is>
          <t>תורנות שבת</t>
        </is>
      </c>
      <c r="D127" s="36" t="inlineStr">
        <is>
          <t>בית מדרש · קידוש</t>
        </is>
      </c>
      <c r="E127" s="36" t="inlineStr">
        <is>
          <t>הוצאת 15 עוגות, חלב, קורנפלקס, ענבים ואבטיח</t>
        </is>
      </c>
      <c r="F127" s="37" t="n">
        <v>1</v>
      </c>
    </row>
    <row r="128">
      <c r="A128" s="35" t="n">
        <v>46283</v>
      </c>
      <c r="B128" s="36" t="inlineStr">
        <is>
          <t>מישל דוד</t>
        </is>
      </c>
      <c r="C128" s="37" t="inlineStr">
        <is>
          <t>תורנות שבת</t>
        </is>
      </c>
      <c r="D128" s="36" t="inlineStr">
        <is>
          <t>בית מדרש · קידוש</t>
        </is>
      </c>
      <c r="E128" s="36" t="inlineStr">
        <is>
          <t>טאטוא הרצפה, סידור כיסאות וארגון המרחב</t>
        </is>
      </c>
      <c r="F128" s="37" t="n">
        <v>1</v>
      </c>
    </row>
    <row r="129">
      <c r="A129" s="35" t="n">
        <v>46283</v>
      </c>
      <c r="B129" s="36" t="inlineStr">
        <is>
          <t>נגה שוהם</t>
        </is>
      </c>
      <c r="C129" s="37" t="inlineStr">
        <is>
          <t>תורנות שבת</t>
        </is>
      </c>
      <c r="D129" s="36" t="inlineStr">
        <is>
          <t>בית מדרש · קידוש</t>
        </is>
      </c>
      <c r="E129" s="36" t="inlineStr">
        <is>
          <t>חיתוך האבטיח</t>
        </is>
      </c>
      <c r="F129" s="37" t="n">
        <v>1</v>
      </c>
    </row>
    <row r="130">
      <c r="A130" s="35" t="n">
        <v>46283</v>
      </c>
      <c r="B130" s="36" t="inlineStr">
        <is>
          <t>רותם דרור</t>
        </is>
      </c>
      <c r="C130" s="37" t="inlineStr">
        <is>
          <t>תורנות שבת</t>
        </is>
      </c>
      <c r="D130" s="36" t="inlineStr">
        <is>
          <t>בית מדרש · קידוש</t>
        </is>
      </c>
      <c r="E130" s="36" t="inlineStr">
        <is>
          <t>סידור וניקיון פינת קפה — להוציא חלב, למלא קפה וסוכר</t>
        </is>
      </c>
      <c r="F130" s="37" t="n">
        <v>1</v>
      </c>
    </row>
    <row r="131">
      <c r="A131" s="35" t="n">
        <v>46283</v>
      </c>
      <c r="B131" s="36" t="inlineStr">
        <is>
          <t>אורי אסף</t>
        </is>
      </c>
      <c r="C131" s="37" t="inlineStr">
        <is>
          <t>תורנות שישי</t>
        </is>
      </c>
      <c r="D131" s="36" t="inlineStr">
        <is>
          <t>בית מדרש</t>
        </is>
      </c>
      <c r="E131" s="36" t="inlineStr">
        <is>
          <t>העברת שולחנות לכיתת בית המדרש — לא בגרירה</t>
        </is>
      </c>
      <c r="F131" s="37" t="n">
        <v>1</v>
      </c>
    </row>
    <row r="132">
      <c r="A132" s="35" t="n">
        <v>46283</v>
      </c>
      <c r="B132" s="36" t="inlineStr">
        <is>
          <t>אורי אסף</t>
        </is>
      </c>
      <c r="C132" s="37" t="inlineStr">
        <is>
          <t>תורנות שישי</t>
        </is>
      </c>
      <c r="D132" s="36" t="inlineStr">
        <is>
          <t>בית מדרש</t>
        </is>
      </c>
      <c r="E132" s="36" t="inlineStr">
        <is>
          <t>עזרה בהכנת החלות</t>
        </is>
      </c>
      <c r="F132" s="37" t="n">
        <v>1</v>
      </c>
    </row>
    <row r="133">
      <c r="A133" s="35" t="n">
        <v>46283</v>
      </c>
      <c r="B133" s="36" t="inlineStr">
        <is>
          <t>איתי רוס</t>
        </is>
      </c>
      <c r="C133" s="37" t="inlineStr">
        <is>
          <t>תורנות שישי</t>
        </is>
      </c>
      <c r="D133" s="36" t="inlineStr">
        <is>
          <t>בית מדרש</t>
        </is>
      </c>
      <c r="E133" s="36" t="inlineStr">
        <is>
          <t>תליית מחיצה</t>
        </is>
      </c>
      <c r="F133" s="37" t="n">
        <v>1</v>
      </c>
    </row>
    <row r="134">
      <c r="A134" s="35" t="n">
        <v>46283</v>
      </c>
      <c r="B134" s="36" t="inlineStr">
        <is>
          <t>איתי רוס</t>
        </is>
      </c>
      <c r="C134" s="37" t="inlineStr">
        <is>
          <t>תורנות שישי</t>
        </is>
      </c>
      <c r="D134" s="36" t="inlineStr">
        <is>
          <t>בית מדרש</t>
        </is>
      </c>
      <c r="E134" s="36" t="inlineStr">
        <is>
          <t>עזרה בהכנת עוגות השמרים</t>
        </is>
      </c>
      <c r="F134" s="37" t="n">
        <v>1</v>
      </c>
    </row>
    <row r="135">
      <c r="A135" s="35" t="n">
        <v>46283</v>
      </c>
      <c r="B135" s="36" t="inlineStr">
        <is>
          <t>אלה מאיר</t>
        </is>
      </c>
      <c r="C135" s="37" t="inlineStr">
        <is>
          <t>תורנות שישי</t>
        </is>
      </c>
      <c r="D135" s="36" t="inlineStr">
        <is>
          <t>בית מדרש</t>
        </is>
      </c>
      <c r="E135" s="36" t="inlineStr">
        <is>
          <t>סידור כסאות בשורות — כולל 3 שורות עזרת ישראל</t>
        </is>
      </c>
      <c r="F135" s="37" t="n">
        <v>1</v>
      </c>
    </row>
    <row r="136">
      <c r="A136" s="35" t="n">
        <v>46283</v>
      </c>
      <c r="B136" s="36" t="inlineStr">
        <is>
          <t>אלה מאיר</t>
        </is>
      </c>
      <c r="C136" s="37" t="inlineStr">
        <is>
          <t>תורנות שישי</t>
        </is>
      </c>
      <c r="D136" s="36" t="inlineStr">
        <is>
          <t>בית מדרש</t>
        </is>
      </c>
      <c r="E136" s="36" t="inlineStr">
        <is>
          <t>עזרה בהכנת עוגות השמרים</t>
        </is>
      </c>
      <c r="F136" s="37" t="n">
        <v>1</v>
      </c>
    </row>
    <row r="137">
      <c r="A137" s="35" t="n">
        <v>46283</v>
      </c>
      <c r="B137" s="36" t="inlineStr">
        <is>
          <t>אנה עזריאל</t>
        </is>
      </c>
      <c r="C137" s="37" t="inlineStr">
        <is>
          <t>תורנות שישי</t>
        </is>
      </c>
      <c r="D137" s="36" t="inlineStr">
        <is>
          <t>בית מדרש</t>
        </is>
      </c>
      <c r="E137" s="36" t="inlineStr">
        <is>
          <t>העברת שולחנות לכיתת בית המדרש — לא בגרירה</t>
        </is>
      </c>
      <c r="F137" s="37" t="n">
        <v>1</v>
      </c>
    </row>
    <row r="138">
      <c r="A138" s="35" t="n">
        <v>46283</v>
      </c>
      <c r="B138" s="36" t="inlineStr">
        <is>
          <t>אנה עזריאל</t>
        </is>
      </c>
      <c r="C138" s="37" t="inlineStr">
        <is>
          <t>תורנות שישי</t>
        </is>
      </c>
      <c r="D138" s="36" t="inlineStr">
        <is>
          <t>בית מדרש</t>
        </is>
      </c>
      <c r="E138" s="36" t="inlineStr">
        <is>
          <t>עזרה בהכנת החלות</t>
        </is>
      </c>
      <c r="F138" s="37" t="n">
        <v>1</v>
      </c>
    </row>
    <row r="139">
      <c r="A139" s="35" t="n">
        <v>46283</v>
      </c>
      <c r="B139" s="36" t="inlineStr">
        <is>
          <t>ארבל פרנקו</t>
        </is>
      </c>
      <c r="C139" s="37" t="inlineStr">
        <is>
          <t>תורנות שישי</t>
        </is>
      </c>
      <c r="D139" s="36" t="inlineStr">
        <is>
          <t>בית מדרש</t>
        </is>
      </c>
      <c r="E139" s="36" t="inlineStr">
        <is>
          <t>העברת שולחנות לכיתת בית המדרש — לא בגרירה</t>
        </is>
      </c>
      <c r="F139" s="37" t="n">
        <v>1</v>
      </c>
    </row>
    <row r="140">
      <c r="A140" s="35" t="n">
        <v>46283</v>
      </c>
      <c r="B140" s="36" t="inlineStr">
        <is>
          <t>ארבל פרנקו</t>
        </is>
      </c>
      <c r="C140" s="37" t="inlineStr">
        <is>
          <t>תורנות שישי</t>
        </is>
      </c>
      <c r="D140" s="36" t="inlineStr">
        <is>
          <t>בית מדרש</t>
        </is>
      </c>
      <c r="E140" s="36" t="inlineStr">
        <is>
          <t>עזרה בהכנת החלות</t>
        </is>
      </c>
      <c r="F140" s="37" t="n">
        <v>1</v>
      </c>
    </row>
    <row r="141">
      <c r="A141" s="35" t="n">
        <v>46283</v>
      </c>
      <c r="B141" s="36" t="inlineStr">
        <is>
          <t>הילי אלפסי</t>
        </is>
      </c>
      <c r="C141" s="37" t="inlineStr">
        <is>
          <t>תורנות שישי</t>
        </is>
      </c>
      <c r="D141" s="36" t="inlineStr">
        <is>
          <t>בית מדרש</t>
        </is>
      </c>
      <c r="E141" s="36" t="inlineStr">
        <is>
          <t>טאטוא ושטיפת רצפה</t>
        </is>
      </c>
      <c r="F141" s="37" t="n">
        <v>1</v>
      </c>
    </row>
    <row r="142">
      <c r="A142" s="35" t="n">
        <v>46283</v>
      </c>
      <c r="B142" s="36" t="inlineStr">
        <is>
          <t>הילי אלפסי</t>
        </is>
      </c>
      <c r="C142" s="37" t="inlineStr">
        <is>
          <t>תורנות שישי</t>
        </is>
      </c>
      <c r="D142" s="36" t="inlineStr">
        <is>
          <t>בית מדרש</t>
        </is>
      </c>
      <c r="E142" s="36" t="inlineStr">
        <is>
          <t>עזרה בהכנת החלות</t>
        </is>
      </c>
      <c r="F142" s="37" t="n">
        <v>1</v>
      </c>
    </row>
    <row r="143">
      <c r="A143" s="35" t="n">
        <v>46283</v>
      </c>
      <c r="B143" s="36" t="inlineStr">
        <is>
          <t>יהונתן קצב</t>
        </is>
      </c>
      <c r="C143" s="37" t="inlineStr">
        <is>
          <t>תורנות שישי</t>
        </is>
      </c>
      <c r="D143" s="36" t="inlineStr">
        <is>
          <t>בית מדרש</t>
        </is>
      </c>
      <c r="E143" s="36" t="inlineStr">
        <is>
          <t>תליית מחיצה</t>
        </is>
      </c>
      <c r="F143" s="37" t="n">
        <v>1</v>
      </c>
    </row>
    <row r="144">
      <c r="A144" s="35" t="n">
        <v>46283</v>
      </c>
      <c r="B144" s="36" t="inlineStr">
        <is>
          <t>יהונתן קצב</t>
        </is>
      </c>
      <c r="C144" s="37" t="inlineStr">
        <is>
          <t>תורנות שישי</t>
        </is>
      </c>
      <c r="D144" s="36" t="inlineStr">
        <is>
          <t>בית מדרש</t>
        </is>
      </c>
      <c r="E144" s="36" t="inlineStr">
        <is>
          <t>עזרה בהכנת עוגות השמרים</t>
        </is>
      </c>
      <c r="F144" s="37" t="n">
        <v>1</v>
      </c>
    </row>
    <row r="145">
      <c r="A145" s="35" t="n">
        <v>46283</v>
      </c>
      <c r="B145" s="36" t="inlineStr">
        <is>
          <t>נגה חוה כהן</t>
        </is>
      </c>
      <c r="C145" s="37" t="inlineStr">
        <is>
          <t>תורנות שישי</t>
        </is>
      </c>
      <c r="D145" s="36" t="inlineStr">
        <is>
          <t>בית מדרש</t>
        </is>
      </c>
      <c r="E145" s="36" t="inlineStr">
        <is>
          <t>הנחת סידורים על הכסאות</t>
        </is>
      </c>
      <c r="F145" s="37" t="n">
        <v>1</v>
      </c>
    </row>
    <row r="146">
      <c r="A146" s="35" t="n">
        <v>46283</v>
      </c>
      <c r="B146" s="36" t="inlineStr">
        <is>
          <t>נגה חוה כהן</t>
        </is>
      </c>
      <c r="C146" s="37" t="inlineStr">
        <is>
          <t>תורנות שישי</t>
        </is>
      </c>
      <c r="D146" s="36" t="inlineStr">
        <is>
          <t>בית מדרש</t>
        </is>
      </c>
      <c r="E146" s="36" t="inlineStr">
        <is>
          <t>עזרה בהכנת עוגות השמרים</t>
        </is>
      </c>
      <c r="F146" s="37" t="n">
        <v>1</v>
      </c>
    </row>
    <row r="147">
      <c r="A147" s="35" t="n">
        <v>46283</v>
      </c>
      <c r="B147" s="36" t="inlineStr">
        <is>
          <t>עומר יוסף גנון</t>
        </is>
      </c>
      <c r="C147" s="37" t="inlineStr">
        <is>
          <t>תורנות שישי</t>
        </is>
      </c>
      <c r="D147" s="36" t="inlineStr">
        <is>
          <t>בית מדרש</t>
        </is>
      </c>
      <c r="E147" s="36" t="inlineStr">
        <is>
          <t>סידור כסאות בשורות — כולל 3 שורות עזרת ישראל</t>
        </is>
      </c>
      <c r="F147" s="37" t="n">
        <v>1</v>
      </c>
    </row>
    <row r="148">
      <c r="A148" s="35" t="n">
        <v>46283</v>
      </c>
      <c r="B148" s="36" t="inlineStr">
        <is>
          <t>עומר יוסף גנון</t>
        </is>
      </c>
      <c r="C148" s="37" t="inlineStr">
        <is>
          <t>תורנות שישי</t>
        </is>
      </c>
      <c r="D148" s="36" t="inlineStr">
        <is>
          <t>בית מדרש</t>
        </is>
      </c>
      <c r="E148" s="36" t="inlineStr">
        <is>
          <t>עזרה בהכנת עוגות השמרים</t>
        </is>
      </c>
      <c r="F148" s="37" t="n">
        <v>1</v>
      </c>
    </row>
    <row r="149">
      <c r="A149" s="35" t="n">
        <v>46283</v>
      </c>
      <c r="B149" s="36" t="inlineStr">
        <is>
          <t>עופר בביוף</t>
        </is>
      </c>
      <c r="C149" s="37" t="inlineStr">
        <is>
          <t>תורנות שישי</t>
        </is>
      </c>
      <c r="D149" s="36" t="inlineStr">
        <is>
          <t>בית מדרש</t>
        </is>
      </c>
      <c r="E149" s="36" t="inlineStr">
        <is>
          <t>העברת שולחנות לכיתת בית המדרש — לא בגרירה</t>
        </is>
      </c>
      <c r="F149" s="37" t="n">
        <v>1</v>
      </c>
    </row>
    <row r="150">
      <c r="A150" s="35" t="n">
        <v>46283</v>
      </c>
      <c r="B150" s="36" t="inlineStr">
        <is>
          <t>עופר בביוף</t>
        </is>
      </c>
      <c r="C150" s="37" t="inlineStr">
        <is>
          <t>תורנות שישי</t>
        </is>
      </c>
      <c r="D150" s="36" t="inlineStr">
        <is>
          <t>בית מדרש</t>
        </is>
      </c>
      <c r="E150" s="36" t="inlineStr">
        <is>
          <t>עזרה בהכנת החלות</t>
        </is>
      </c>
      <c r="F150" s="37" t="n">
        <v>1</v>
      </c>
    </row>
    <row r="151">
      <c r="A151" s="35" t="n">
        <v>46283</v>
      </c>
      <c r="B151" s="36" t="inlineStr">
        <is>
          <t>עמית שי אברהם</t>
        </is>
      </c>
      <c r="C151" s="37" t="inlineStr">
        <is>
          <t>תורנות שישי</t>
        </is>
      </c>
      <c r="D151" s="36" t="inlineStr">
        <is>
          <t>בית מדרש</t>
        </is>
      </c>
      <c r="E151" s="36" t="inlineStr">
        <is>
          <t>העברת שולחנות לכיתת בית המדרש — לא בגרירה</t>
        </is>
      </c>
      <c r="F151" s="37" t="n">
        <v>1</v>
      </c>
    </row>
    <row r="152">
      <c r="A152" s="35" t="n">
        <v>46283</v>
      </c>
      <c r="B152" s="36" t="inlineStr">
        <is>
          <t>עמית שי אברהם</t>
        </is>
      </c>
      <c r="C152" s="37" t="inlineStr">
        <is>
          <t>תורנות שישי</t>
        </is>
      </c>
      <c r="D152" s="36" t="inlineStr">
        <is>
          <t>בית מדרש</t>
        </is>
      </c>
      <c r="E152" s="36" t="inlineStr">
        <is>
          <t>עזרה בהכנת החלות</t>
        </is>
      </c>
      <c r="F152" s="37" t="n">
        <v>1</v>
      </c>
    </row>
    <row r="153">
      <c r="A153" s="35" t="n">
        <v>46283</v>
      </c>
      <c r="B153" s="36" t="inlineStr">
        <is>
          <t>פנחס אליהו גלוסקין</t>
        </is>
      </c>
      <c r="C153" s="37" t="inlineStr">
        <is>
          <t>תורנות שישי</t>
        </is>
      </c>
      <c r="D153" s="36" t="inlineStr">
        <is>
          <t>בית מדרש</t>
        </is>
      </c>
      <c r="E153" s="36" t="inlineStr">
        <is>
          <t>סידור כסאות בשורות — כולל 3 שורות עזרת ישראל</t>
        </is>
      </c>
      <c r="F153" s="37" t="n">
        <v>1</v>
      </c>
    </row>
    <row r="154">
      <c r="A154" s="35" t="n">
        <v>46283</v>
      </c>
      <c r="B154" s="36" t="inlineStr">
        <is>
          <t>פנחס אליהו גלוסקין</t>
        </is>
      </c>
      <c r="C154" s="37" t="inlineStr">
        <is>
          <t>תורנות שישי</t>
        </is>
      </c>
      <c r="D154" s="36" t="inlineStr">
        <is>
          <t>בית מדרש</t>
        </is>
      </c>
      <c r="E154" s="36" t="inlineStr">
        <is>
          <t>עזרה בהכנת עוגות השמרים</t>
        </is>
      </c>
      <c r="F154" s="37" t="n">
        <v>1</v>
      </c>
    </row>
    <row r="155">
      <c r="A155" s="35" t="n">
        <v>46283</v>
      </c>
      <c r="B155" s="36" t="inlineStr">
        <is>
          <t>שירה ספונוב</t>
        </is>
      </c>
      <c r="C155" s="37" t="inlineStr">
        <is>
          <t>תורנות שישי</t>
        </is>
      </c>
      <c r="D155" s="36" t="inlineStr">
        <is>
          <t>בית מדרש</t>
        </is>
      </c>
      <c r="E155" s="36" t="inlineStr">
        <is>
          <t>סידור כסאות בשורות — כולל 3 שורות עזרת ישראל</t>
        </is>
      </c>
      <c r="F155" s="37" t="n">
        <v>1</v>
      </c>
    </row>
    <row r="156">
      <c r="A156" s="35" t="n">
        <v>46283</v>
      </c>
      <c r="B156" s="36" t="inlineStr">
        <is>
          <t>שירה ספונוב</t>
        </is>
      </c>
      <c r="C156" s="37" t="inlineStr">
        <is>
          <t>תורנות שישי</t>
        </is>
      </c>
      <c r="D156" s="36" t="inlineStr">
        <is>
          <t>בית מדרש</t>
        </is>
      </c>
      <c r="E156" s="36" t="inlineStr">
        <is>
          <t>עזרה בהכנת עוגות השמרים</t>
        </is>
      </c>
      <c r="F156" s="37" t="n">
        <v>1</v>
      </c>
    </row>
    <row r="157">
      <c r="A157" s="35" t="n">
        <v>46283</v>
      </c>
      <c r="B157" s="36" t="inlineStr">
        <is>
          <t>שליו שישו</t>
        </is>
      </c>
      <c r="C157" s="37" t="inlineStr">
        <is>
          <t>תורנות שישי</t>
        </is>
      </c>
      <c r="D157" s="36" t="inlineStr">
        <is>
          <t>בית מדרש</t>
        </is>
      </c>
      <c r="E157" s="36" t="inlineStr">
        <is>
          <t>טאטוא ושטיפת רצפה</t>
        </is>
      </c>
      <c r="F157" s="37" t="n">
        <v>1</v>
      </c>
    </row>
    <row r="158">
      <c r="A158" s="35" t="n">
        <v>46283</v>
      </c>
      <c r="B158" s="36" t="inlineStr">
        <is>
          <t>שליו שישו</t>
        </is>
      </c>
      <c r="C158" s="37" t="inlineStr">
        <is>
          <t>תורנות שישי</t>
        </is>
      </c>
      <c r="D158" s="36" t="inlineStr">
        <is>
          <t>בית מדרש</t>
        </is>
      </c>
      <c r="E158" s="36" t="inlineStr">
        <is>
          <t>עזרה בהכנת החלות</t>
        </is>
      </c>
      <c r="F158" s="37" t="n">
        <v>1</v>
      </c>
    </row>
    <row r="159">
      <c r="A159" s="35" t="n">
        <v>46283</v>
      </c>
      <c r="B159" s="36" t="inlineStr">
        <is>
          <t>של״ו רובינשטיין</t>
        </is>
      </c>
      <c r="C159" s="37" t="inlineStr">
        <is>
          <t>תורנות שישי</t>
        </is>
      </c>
      <c r="D159" s="36" t="inlineStr">
        <is>
          <t>בית מדרש</t>
        </is>
      </c>
      <c r="E159" s="36" t="inlineStr">
        <is>
          <t>העברת שולחנות לכיתת בית המדרש — לא בגרירה</t>
        </is>
      </c>
      <c r="F159" s="37" t="n">
        <v>1</v>
      </c>
    </row>
    <row r="160">
      <c r="A160" s="35" t="n">
        <v>46283</v>
      </c>
      <c r="B160" s="36" t="inlineStr">
        <is>
          <t>של״ו רובינשטיין</t>
        </is>
      </c>
      <c r="C160" s="37" t="inlineStr">
        <is>
          <t>תורנות שישי</t>
        </is>
      </c>
      <c r="D160" s="36" t="inlineStr">
        <is>
          <t>בית מדרש</t>
        </is>
      </c>
      <c r="E160" s="36" t="inlineStr">
        <is>
          <t>עזרה בהכנת החלות</t>
        </is>
      </c>
      <c r="F160" s="37" t="n">
        <v>1</v>
      </c>
    </row>
    <row r="161">
      <c r="A161" s="35" t="n">
        <v>46283</v>
      </c>
      <c r="B161" s="36" t="inlineStr">
        <is>
          <t>תמר פרידמן</t>
        </is>
      </c>
      <c r="C161" s="37" t="inlineStr">
        <is>
          <t>תורנות שישי</t>
        </is>
      </c>
      <c r="D161" s="36" t="inlineStr">
        <is>
          <t>בית מדרש</t>
        </is>
      </c>
      <c r="E161" s="36" t="inlineStr">
        <is>
          <t>טאטוא ושטיפת רצפה</t>
        </is>
      </c>
      <c r="F161" s="37" t="n">
        <v>1</v>
      </c>
    </row>
    <row r="162">
      <c r="A162" s="35" t="n">
        <v>46283</v>
      </c>
      <c r="B162" s="36" t="inlineStr">
        <is>
          <t>תמר פרידמן</t>
        </is>
      </c>
      <c r="C162" s="37" t="inlineStr">
        <is>
          <t>תורנות שישי</t>
        </is>
      </c>
      <c r="D162" s="36" t="inlineStr">
        <is>
          <t>בית מדרש</t>
        </is>
      </c>
      <c r="E162" s="36" t="inlineStr">
        <is>
          <t>עזרה בהכנת עוגות השמרים</t>
        </is>
      </c>
      <c r="F162" s="37" t="n">
        <v>1</v>
      </c>
    </row>
  </sheetData>
  <mergeCells count="1">
    <mergeCell ref="A1:F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6"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7" t="inlineStr">
        <is>
          <t>מאפים</t>
        </is>
      </c>
      <c r="B3" s="18" t="inlineStr">
        <is>
          <t>חלות</t>
        </is>
      </c>
      <c r="C3" s="27"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7" t="inlineStr">
        <is>
          <t>עוגות</t>
        </is>
      </c>
      <c r="B4" s="18" t="inlineStr">
        <is>
          <t>עוגות שמרים (קראנץ' קינמון ושוקולד)</t>
        </is>
      </c>
      <c r="C4" s="27" t="inlineStr">
        <is>
          <t>6–8 קראנצ'ים</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7" t="inlineStr">
        <is>
          <t>בישול</t>
        </is>
      </c>
      <c r="B5" s="18" t="inlineStr">
        <is>
          <t>מטבוחה</t>
        </is>
      </c>
      <c r="C5" s="27"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7" t="inlineStr">
        <is>
          <t>עוגות</t>
        </is>
      </c>
      <c r="B6" s="18" t="inlineStr">
        <is>
          <t>עוגת דבש</t>
        </is>
      </c>
      <c r="C6" s="27"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7" t="inlineStr">
        <is>
          <t>עוגות</t>
        </is>
      </c>
      <c r="B7" s="18" t="inlineStr">
        <is>
          <t>עוגיות שוקולד צ'יפס</t>
        </is>
      </c>
      <c r="C7" s="27"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7" t="inlineStr">
        <is>
          <t>עוגות</t>
        </is>
      </c>
      <c r="B8" s="18" t="inlineStr">
        <is>
          <t>בראוניז ללא גלוטן</t>
        </is>
      </c>
      <c r="C8" s="27"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7" t="inlineStr">
        <is>
          <t>סלטים</t>
        </is>
      </c>
      <c r="B9" s="18" t="inlineStr">
        <is>
          <t>סלט חצילים קלויים</t>
        </is>
      </c>
      <c r="C9" s="27"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7" t="inlineStr">
        <is>
          <t>סלטים</t>
        </is>
      </c>
      <c r="B10" s="18" t="inlineStr">
        <is>
          <t>סלט כרוב מרענן</t>
        </is>
      </c>
      <c r="C10" s="27"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7" t="inlineStr">
        <is>
          <t>סלטים</t>
        </is>
      </c>
      <c r="B11" s="18" t="inlineStr">
        <is>
          <t>סלט טחינה ביתית</t>
        </is>
      </c>
      <c r="C11" s="27"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7" t="n"/>
      <c r="B12" s="18" t="n"/>
      <c r="C12" s="27" t="n"/>
      <c r="D12" s="20" t="n"/>
      <c r="E12" s="20" t="n"/>
      <c r="F12" s="20" t="n"/>
    </row>
    <row r="13">
      <c r="A13" s="27" t="n"/>
      <c r="B13" s="18" t="n"/>
      <c r="C13" s="27" t="n"/>
      <c r="D13" s="20" t="n"/>
      <c r="E13" s="20" t="n"/>
      <c r="F13" s="20" t="n"/>
    </row>
    <row r="14">
      <c r="A14" s="27" t="n"/>
      <c r="B14" s="18" t="n"/>
      <c r="C14" s="27" t="n"/>
      <c r="D14" s="20" t="n"/>
      <c r="E14" s="20" t="n"/>
      <c r="F14" s="20" t="n"/>
    </row>
    <row r="15">
      <c r="A15" s="27" t="n"/>
      <c r="B15" s="18" t="n"/>
      <c r="C15" s="27" t="n"/>
      <c r="D15" s="20" t="n"/>
      <c r="E15" s="20" t="n"/>
      <c r="F15" s="20" t="n"/>
    </row>
    <row r="16">
      <c r="A16" s="27" t="n"/>
      <c r="B16" s="18" t="n"/>
      <c r="C16" s="27" t="n"/>
      <c r="D16" s="20" t="n"/>
      <c r="E16" s="20" t="n"/>
      <c r="F16" s="20" t="n"/>
    </row>
    <row r="17">
      <c r="A17" s="27" t="n"/>
      <c r="B17" s="18" t="n"/>
      <c r="C17" s="27" t="n"/>
      <c r="D17" s="20" t="n"/>
      <c r="E17" s="20" t="n"/>
      <c r="F17" s="20" t="n"/>
    </row>
    <row r="18">
      <c r="A18" s="27" t="n"/>
      <c r="B18" s="18" t="n"/>
      <c r="C18" s="27" t="n"/>
      <c r="D18" s="20" t="n"/>
      <c r="E18" s="20" t="n"/>
      <c r="F18" s="20" t="n"/>
    </row>
    <row r="19">
      <c r="A19" s="27" t="n"/>
      <c r="B19" s="18" t="n"/>
      <c r="C19" s="27" t="n"/>
      <c r="D19" s="20" t="n"/>
      <c r="E19" s="20" t="n"/>
      <c r="F19" s="20" t="n"/>
    </row>
    <row r="20">
      <c r="A20" s="27" t="n"/>
      <c r="B20" s="18" t="n"/>
      <c r="C20" s="27" t="n"/>
      <c r="D20" s="20" t="n"/>
      <c r="E20" s="20" t="n"/>
      <c r="F20" s="20" t="n"/>
    </row>
    <row r="21">
      <c r="A21" s="27" t="n"/>
      <c r="B21" s="18" t="n"/>
      <c r="C21" s="27" t="n"/>
      <c r="D21" s="20" t="n"/>
      <c r="E21" s="20" t="n"/>
      <c r="F21" s="20" t="n"/>
    </row>
    <row r="22">
      <c r="A22" s="27" t="n"/>
      <c r="B22" s="18" t="n"/>
      <c r="C22" s="27" t="n"/>
      <c r="D22" s="20" t="n"/>
      <c r="E22" s="20" t="n"/>
      <c r="F22" s="20" t="n"/>
    </row>
    <row r="23">
      <c r="A23" s="27" t="n"/>
      <c r="B23" s="18" t="n"/>
      <c r="C23" s="27" t="n"/>
      <c r="D23" s="20" t="n"/>
      <c r="E23" s="20" t="n"/>
      <c r="F23" s="20" t="n"/>
    </row>
    <row r="24">
      <c r="A24" s="27" t="n"/>
      <c r="B24" s="18" t="n"/>
      <c r="C24" s="27" t="n"/>
      <c r="D24" s="20" t="n"/>
      <c r="E24" s="20" t="n"/>
      <c r="F24" s="20" t="n"/>
    </row>
    <row r="25">
      <c r="A25" s="27" t="n"/>
      <c r="B25" s="18" t="n"/>
      <c r="C25" s="27" t="n"/>
      <c r="D25" s="20" t="n"/>
      <c r="E25" s="20" t="n"/>
      <c r="F25" s="20" t="n"/>
    </row>
    <row r="26">
      <c r="A26" s="27" t="n"/>
      <c r="B26" s="18" t="n"/>
      <c r="C26" s="27" t="n"/>
      <c r="D26" s="20" t="n"/>
      <c r="E26" s="20" t="n"/>
      <c r="F26" s="20" t="n"/>
    </row>
    <row r="27">
      <c r="A27" s="27" t="n"/>
      <c r="B27" s="18" t="n"/>
      <c r="C27" s="27" t="n"/>
      <c r="D27" s="20" t="n"/>
      <c r="E27" s="20" t="n"/>
      <c r="F27" s="20" t="n"/>
    </row>
    <row r="28">
      <c r="A28" s="27" t="n"/>
      <c r="B28" s="18" t="n"/>
      <c r="C28" s="27" t="n"/>
      <c r="D28" s="20" t="n"/>
      <c r="E28" s="20" t="n"/>
      <c r="F28" s="20" t="n"/>
    </row>
    <row r="29">
      <c r="A29" s="27" t="n"/>
      <c r="B29" s="18" t="n"/>
      <c r="C29" s="27" t="n"/>
      <c r="D29" s="20" t="n"/>
      <c r="E29" s="20" t="n"/>
      <c r="F29" s="20" t="n"/>
    </row>
    <row r="30">
      <c r="A30" s="27" t="n"/>
      <c r="B30" s="18" t="n"/>
      <c r="C30" s="27" t="n"/>
      <c r="D30" s="20" t="n"/>
      <c r="E30" s="20" t="n"/>
      <c r="F30" s="20" t="n"/>
    </row>
    <row r="31">
      <c r="A31" s="27" t="n"/>
      <c r="B31" s="18" t="n"/>
      <c r="C31" s="27" t="n"/>
      <c r="D31" s="20" t="n"/>
      <c r="E31" s="20" t="n"/>
      <c r="F31" s="20" t="n"/>
    </row>
    <row r="32">
      <c r="A32" s="27" t="n"/>
      <c r="B32" s="18" t="n"/>
      <c r="C32" s="27" t="n"/>
      <c r="D32" s="20" t="n"/>
      <c r="E32" s="20" t="n"/>
      <c r="F32" s="20" t="n"/>
    </row>
    <row r="33">
      <c r="A33" s="27" t="n"/>
      <c r="B33" s="18" t="n"/>
      <c r="C33" s="27" t="n"/>
      <c r="D33" s="20" t="n"/>
      <c r="E33" s="20" t="n"/>
      <c r="F33" s="20" t="n"/>
    </row>
    <row r="34">
      <c r="A34" s="27" t="n"/>
      <c r="B34" s="18" t="n"/>
      <c r="C34" s="27" t="n"/>
      <c r="D34" s="20" t="n"/>
      <c r="E34" s="20" t="n"/>
      <c r="F34" s="20" t="n"/>
    </row>
    <row r="35">
      <c r="A35" s="27" t="n"/>
      <c r="B35" s="18" t="n"/>
      <c r="C35" s="27" t="n"/>
      <c r="D35" s="20" t="n"/>
      <c r="E35" s="20" t="n"/>
      <c r="F35" s="20" t="n"/>
    </row>
    <row r="36">
      <c r="A36" s="27" t="n"/>
      <c r="B36" s="18" t="n"/>
      <c r="C36" s="27" t="n"/>
      <c r="D36" s="20" t="n"/>
      <c r="E36" s="20" t="n"/>
      <c r="F36" s="20" t="n"/>
    </row>
    <row r="37">
      <c r="A37" s="27" t="n"/>
      <c r="B37" s="18" t="n"/>
      <c r="C37" s="27" t="n"/>
      <c r="D37" s="20" t="n"/>
      <c r="E37" s="20" t="n"/>
      <c r="F37" s="20" t="n"/>
    </row>
    <row r="38">
      <c r="A38" s="27" t="n"/>
      <c r="B38" s="18" t="n"/>
      <c r="C38" s="27" t="n"/>
      <c r="D38" s="20" t="n"/>
      <c r="E38" s="20" t="n"/>
      <c r="F38" s="20" t="n"/>
    </row>
    <row r="39">
      <c r="A39" s="27" t="n"/>
      <c r="B39" s="18" t="n"/>
      <c r="C39" s="27" t="n"/>
      <c r="D39" s="20" t="n"/>
      <c r="E39" s="20" t="n"/>
      <c r="F39" s="20" t="n"/>
    </row>
    <row r="40">
      <c r="A40" s="27" t="n"/>
      <c r="B40" s="18" t="n"/>
      <c r="C40" s="27" t="n"/>
      <c r="D40" s="20" t="n"/>
      <c r="E40" s="20" t="n"/>
      <c r="F40" s="20" t="n"/>
    </row>
    <row r="41">
      <c r="A41" s="27" t="n"/>
      <c r="B41" s="18" t="n"/>
      <c r="C41" s="27" t="n"/>
      <c r="D41" s="20" t="n"/>
      <c r="E41" s="20" t="n"/>
      <c r="F41" s="20" t="n"/>
    </row>
    <row r="42">
      <c r="A42" s="27" t="n"/>
      <c r="B42" s="18" t="n"/>
      <c r="C42" s="27" t="n"/>
      <c r="D42" s="20" t="n"/>
      <c r="E42" s="20" t="n"/>
      <c r="F42" s="20" t="n"/>
    </row>
    <row r="43">
      <c r="A43" s="27" t="n"/>
      <c r="B43" s="18" t="n"/>
      <c r="C43" s="27" t="n"/>
      <c r="D43" s="20" t="n"/>
      <c r="E43" s="20" t="n"/>
      <c r="F43" s="20" t="n"/>
    </row>
    <row r="44">
      <c r="A44" s="27" t="n"/>
      <c r="B44" s="18" t="n"/>
      <c r="C44" s="27" t="n"/>
      <c r="D44" s="20" t="n"/>
      <c r="E44" s="20" t="n"/>
      <c r="F44" s="20" t="n"/>
    </row>
    <row r="45">
      <c r="A45" s="27" t="n"/>
      <c r="B45" s="18" t="n"/>
      <c r="C45" s="27" t="n"/>
      <c r="D45" s="20" t="n"/>
      <c r="E45" s="20" t="n"/>
      <c r="F45" s="20" t="n"/>
    </row>
    <row r="46">
      <c r="A46" s="27" t="n"/>
      <c r="B46" s="18" t="n"/>
      <c r="C46" s="27" t="n"/>
      <c r="D46" s="20" t="n"/>
      <c r="E46" s="20" t="n"/>
      <c r="F46" s="20" t="n"/>
    </row>
    <row r="47">
      <c r="A47" s="27" t="n"/>
      <c r="B47" s="18" t="n"/>
      <c r="C47" s="27" t="n"/>
      <c r="D47" s="20" t="n"/>
      <c r="E47" s="20" t="n"/>
      <c r="F47" s="20" t="n"/>
    </row>
    <row r="48">
      <c r="A48" s="27" t="n"/>
      <c r="B48" s="18" t="n"/>
      <c r="C48" s="27" t="n"/>
      <c r="D48" s="20" t="n"/>
      <c r="E48" s="20" t="n"/>
      <c r="F48" s="20" t="n"/>
    </row>
    <row r="49">
      <c r="A49" s="27" t="n"/>
      <c r="B49" s="18" t="n"/>
      <c r="C49" s="27" t="n"/>
      <c r="D49" s="20" t="n"/>
      <c r="E49" s="20" t="n"/>
      <c r="F49" s="20" t="n"/>
    </row>
    <row r="50">
      <c r="A50" s="27" t="n"/>
      <c r="B50" s="18" t="n"/>
      <c r="C50" s="27" t="n"/>
      <c r="D50" s="20" t="n"/>
      <c r="E50" s="20" t="n"/>
      <c r="F50" s="20" t="n"/>
    </row>
    <row r="51">
      <c r="A51" s="27" t="n"/>
      <c r="B51" s="18" t="n"/>
      <c r="C51" s="27" t="n"/>
      <c r="D51" s="20" t="n"/>
      <c r="E51" s="20" t="n"/>
      <c r="F51" s="20" t="n"/>
    </row>
    <row r="52">
      <c r="A52" s="27" t="n"/>
      <c r="B52" s="18" t="n"/>
      <c r="C52" s="27" t="n"/>
      <c r="D52" s="20" t="n"/>
      <c r="E52" s="20" t="n"/>
      <c r="F52" s="20" t="n"/>
    </row>
    <row r="53">
      <c r="A53" s="27" t="n"/>
      <c r="B53" s="18" t="n"/>
      <c r="C53" s="27" t="n"/>
      <c r="D53" s="20" t="n"/>
      <c r="E53" s="20" t="n"/>
      <c r="F53" s="20" t="n"/>
    </row>
    <row r="54">
      <c r="A54" s="27" t="n"/>
      <c r="B54" s="18" t="n"/>
      <c r="C54" s="27" t="n"/>
      <c r="D54" s="20" t="n"/>
      <c r="E54" s="20" t="n"/>
      <c r="F54" s="20" t="n"/>
    </row>
    <row r="55">
      <c r="A55" s="27" t="n"/>
      <c r="B55" s="18" t="n"/>
      <c r="C55" s="27" t="n"/>
      <c r="D55" s="20" t="n"/>
      <c r="E55" s="20" t="n"/>
      <c r="F55" s="20" t="n"/>
    </row>
    <row r="56">
      <c r="A56" s="27" t="n"/>
      <c r="B56" s="18" t="n"/>
      <c r="C56" s="27" t="n"/>
      <c r="D56" s="20" t="n"/>
      <c r="E56" s="20" t="n"/>
      <c r="F56" s="20" t="n"/>
    </row>
    <row r="57">
      <c r="A57" s="27" t="n"/>
      <c r="B57" s="18" t="n"/>
      <c r="C57" s="27" t="n"/>
      <c r="D57" s="20" t="n"/>
      <c r="E57" s="20" t="n"/>
      <c r="F57" s="20" t="n"/>
    </row>
    <row r="58">
      <c r="A58" s="27" t="n"/>
      <c r="B58" s="18" t="n"/>
      <c r="C58" s="27" t="n"/>
      <c r="D58" s="20" t="n"/>
      <c r="E58" s="20" t="n"/>
      <c r="F58" s="20" t="n"/>
    </row>
    <row r="59">
      <c r="A59" s="27" t="n"/>
      <c r="B59" s="18" t="n"/>
      <c r="C59" s="27" t="n"/>
      <c r="D59" s="20" t="n"/>
      <c r="E59" s="20" t="n"/>
      <c r="F59" s="20" t="n"/>
    </row>
    <row r="60">
      <c r="A60" s="27" t="n"/>
      <c r="B60" s="18" t="n"/>
      <c r="C60" s="27" t="n"/>
      <c r="D60" s="20" t="n"/>
      <c r="E60" s="20" t="n"/>
      <c r="F60" s="20" t="n"/>
    </row>
    <row r="61">
      <c r="A61" s="27" t="n"/>
      <c r="B61" s="18" t="n"/>
      <c r="C61" s="27" t="n"/>
      <c r="D61" s="20" t="n"/>
      <c r="E61" s="20" t="n"/>
      <c r="F61" s="20" t="n"/>
    </row>
    <row r="62">
      <c r="A62" s="27" t="n"/>
      <c r="B62" s="18" t="n"/>
      <c r="C62" s="27" t="n"/>
      <c r="D62" s="20" t="n"/>
      <c r="E62" s="20" t="n"/>
      <c r="F62" s="20" t="n"/>
    </row>
    <row r="63">
      <c r="A63" s="27" t="n"/>
      <c r="B63" s="18" t="n"/>
      <c r="C63" s="27" t="n"/>
      <c r="D63" s="20" t="n"/>
      <c r="E63" s="20" t="n"/>
      <c r="F63" s="20" t="n"/>
    </row>
    <row r="64">
      <c r="A64" s="27" t="n"/>
      <c r="B64" s="18" t="n"/>
      <c r="C64" s="27" t="n"/>
      <c r="D64" s="20" t="n"/>
      <c r="E64" s="20" t="n"/>
      <c r="F64" s="20" t="n"/>
    </row>
    <row r="65">
      <c r="A65" s="27" t="n"/>
      <c r="B65" s="18" t="n"/>
      <c r="C65" s="27" t="n"/>
      <c r="D65" s="20" t="n"/>
      <c r="E65" s="20" t="n"/>
      <c r="F65" s="20" t="n"/>
    </row>
    <row r="66">
      <c r="A66" s="27" t="n"/>
      <c r="B66" s="18" t="n"/>
      <c r="C66" s="27" t="n"/>
      <c r="D66" s="20" t="n"/>
      <c r="E66" s="20" t="n"/>
      <c r="F66" s="20" t="n"/>
    </row>
    <row r="67">
      <c r="A67" s="27" t="n"/>
      <c r="B67" s="18" t="n"/>
      <c r="C67" s="27" t="n"/>
      <c r="D67" s="20" t="n"/>
      <c r="E67" s="20" t="n"/>
      <c r="F67" s="20" t="n"/>
    </row>
    <row r="68">
      <c r="A68" s="27" t="n"/>
      <c r="B68" s="18" t="n"/>
      <c r="C68" s="27" t="n"/>
      <c r="D68" s="20" t="n"/>
      <c r="E68" s="20" t="n"/>
      <c r="F68" s="20" t="n"/>
    </row>
    <row r="69">
      <c r="A69" s="27" t="n"/>
      <c r="B69" s="18" t="n"/>
      <c r="C69" s="27" t="n"/>
      <c r="D69" s="20" t="n"/>
      <c r="E69" s="20" t="n"/>
      <c r="F69" s="20" t="n"/>
    </row>
    <row r="70">
      <c r="A70" s="27" t="n"/>
      <c r="B70" s="18" t="n"/>
      <c r="C70" s="27" t="n"/>
      <c r="D70" s="20" t="n"/>
      <c r="E70" s="20" t="n"/>
      <c r="F70" s="20" t="n"/>
    </row>
    <row r="71">
      <c r="A71" s="27" t="n"/>
      <c r="B71" s="18" t="n"/>
      <c r="C71" s="27" t="n"/>
      <c r="D71" s="20" t="n"/>
      <c r="E71" s="20" t="n"/>
      <c r="F71" s="20" t="n"/>
    </row>
    <row r="72">
      <c r="A72" s="27" t="n"/>
      <c r="B72" s="18" t="n"/>
      <c r="C72" s="27" t="n"/>
      <c r="D72" s="20" t="n"/>
      <c r="E72" s="20" t="n"/>
      <c r="F72" s="20" t="n"/>
    </row>
    <row r="73">
      <c r="A73" s="27" t="n"/>
      <c r="B73" s="18" t="n"/>
      <c r="C73" s="27" t="n"/>
      <c r="D73" s="20" t="n"/>
      <c r="E73" s="20" t="n"/>
      <c r="F73" s="20" t="n"/>
    </row>
    <row r="74">
      <c r="A74" s="27" t="n"/>
      <c r="B74" s="18" t="n"/>
      <c r="C74" s="27" t="n"/>
      <c r="D74" s="20" t="n"/>
      <c r="E74" s="20" t="n"/>
      <c r="F74" s="20" t="n"/>
    </row>
    <row r="75">
      <c r="A75" s="27" t="n"/>
      <c r="B75" s="18" t="n"/>
      <c r="C75" s="27" t="n"/>
      <c r="D75" s="20" t="n"/>
      <c r="E75" s="20" t="n"/>
      <c r="F75" s="20" t="n"/>
    </row>
    <row r="76">
      <c r="A76" s="27" t="n"/>
      <c r="B76" s="18" t="n"/>
      <c r="C76" s="27" t="n"/>
      <c r="D76" s="20" t="n"/>
      <c r="E76" s="20" t="n"/>
      <c r="F76" s="20" t="n"/>
    </row>
    <row r="77">
      <c r="A77" s="27" t="n"/>
      <c r="B77" s="18" t="n"/>
      <c r="C77" s="27" t="n"/>
      <c r="D77" s="20" t="n"/>
      <c r="E77" s="20" t="n"/>
      <c r="F77" s="20" t="n"/>
    </row>
    <row r="78">
      <c r="A78" s="27" t="n"/>
      <c r="B78" s="18" t="n"/>
      <c r="C78" s="27" t="n"/>
      <c r="D78" s="20" t="n"/>
      <c r="E78" s="20" t="n"/>
      <c r="F78" s="20" t="n"/>
    </row>
    <row r="79">
      <c r="A79" s="27" t="n"/>
      <c r="B79" s="18" t="n"/>
      <c r="C79" s="27" t="n"/>
      <c r="D79" s="20" t="n"/>
      <c r="E79" s="20" t="n"/>
      <c r="F79" s="20" t="n"/>
    </row>
    <row r="80">
      <c r="A80" s="27" t="n"/>
      <c r="B80" s="18" t="n"/>
      <c r="C80" s="27" t="n"/>
      <c r="D80" s="20" t="n"/>
      <c r="E80" s="20" t="n"/>
      <c r="F80" s="20" t="n"/>
    </row>
    <row r="81">
      <c r="A81" s="27" t="n"/>
      <c r="B81" s="18" t="n"/>
      <c r="C81" s="27" t="n"/>
      <c r="D81" s="20" t="n"/>
      <c r="E81" s="20" t="n"/>
      <c r="F81" s="20" t="n"/>
    </row>
    <row r="82">
      <c r="A82" s="27" t="n"/>
      <c r="B82" s="18" t="n"/>
      <c r="C82" s="27" t="n"/>
      <c r="D82" s="20" t="n"/>
      <c r="E82" s="20" t="n"/>
      <c r="F82" s="20" t="n"/>
    </row>
    <row r="84" ht="28" customHeight="1">
      <c r="A84" s="25" t="inlineStr">
        <is>
          <t>שם המנה (עמודה B) הוא מה שבוחרים בעמודת «מתכון» ב«משימות» — והמתכון מודפס על הפלייר של הקבוצה.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6" t="inlineStr">
        <is>
          <t>קייטרינג — מה מגיע לכל ארוחה</t>
        </is>
      </c>
    </row>
    <row r="2" ht="24" customHeight="1">
      <c r="A2" s="9" t="inlineStr">
        <is>
          <t>ארוחה</t>
        </is>
      </c>
      <c r="B2" s="9" t="inlineStr">
        <is>
          <t>מנה</t>
        </is>
      </c>
      <c r="C2" s="9" t="inlineStr">
        <is>
          <t>כמות</t>
        </is>
      </c>
      <c r="D2" s="9" t="inlineStr">
        <is>
          <t>הערה</t>
        </is>
      </c>
    </row>
    <row r="3">
      <c r="A3" s="27" t="n"/>
      <c r="B3" s="19" t="n"/>
      <c r="C3" s="27" t="n"/>
      <c r="D3" s="20" t="n"/>
    </row>
    <row r="4">
      <c r="A4" s="27" t="n"/>
      <c r="B4" s="19" t="n"/>
      <c r="C4" s="27" t="n"/>
      <c r="D4" s="20" t="n"/>
    </row>
    <row r="5">
      <c r="A5" s="27" t="n"/>
      <c r="B5" s="19" t="n"/>
      <c r="C5" s="27" t="n"/>
      <c r="D5" s="20" t="n"/>
    </row>
    <row r="6">
      <c r="A6" s="27" t="n"/>
      <c r="B6" s="19" t="n"/>
      <c r="C6" s="27" t="n"/>
      <c r="D6" s="20" t="n"/>
    </row>
    <row r="7">
      <c r="A7" s="27" t="n"/>
      <c r="B7" s="19" t="n"/>
      <c r="C7" s="27" t="n"/>
      <c r="D7" s="20" t="n"/>
    </row>
    <row r="8">
      <c r="A8" s="27" t="n"/>
      <c r="B8" s="19" t="n"/>
      <c r="C8" s="27" t="n"/>
      <c r="D8" s="20" t="n"/>
    </row>
    <row r="9">
      <c r="A9" s="27" t="n"/>
      <c r="B9" s="19" t="n"/>
      <c r="C9" s="27" t="n"/>
      <c r="D9" s="20" t="n"/>
    </row>
    <row r="10">
      <c r="A10" s="27" t="n"/>
      <c r="B10" s="19" t="n"/>
      <c r="C10" s="27" t="n"/>
      <c r="D10" s="20" t="n"/>
    </row>
    <row r="11">
      <c r="A11" s="27" t="n"/>
      <c r="B11" s="19" t="n"/>
      <c r="C11" s="27" t="n"/>
      <c r="D11" s="20" t="n"/>
    </row>
    <row r="12">
      <c r="A12" s="27" t="n"/>
      <c r="B12" s="19" t="n"/>
      <c r="C12" s="27" t="n"/>
      <c r="D12" s="20" t="n"/>
    </row>
    <row r="13">
      <c r="A13" s="27" t="n"/>
      <c r="B13" s="19" t="n"/>
      <c r="C13" s="27" t="n"/>
      <c r="D13" s="20" t="n"/>
    </row>
    <row r="14">
      <c r="A14" s="27" t="n"/>
      <c r="B14" s="19" t="n"/>
      <c r="C14" s="27" t="n"/>
      <c r="D14" s="20" t="n"/>
    </row>
    <row r="15">
      <c r="A15" s="27" t="n"/>
      <c r="B15" s="19" t="n"/>
      <c r="C15" s="27" t="n"/>
      <c r="D15" s="20" t="n"/>
    </row>
    <row r="16">
      <c r="A16" s="27" t="n"/>
      <c r="B16" s="19" t="n"/>
      <c r="C16" s="27" t="n"/>
      <c r="D16" s="20" t="n"/>
    </row>
    <row r="17">
      <c r="A17" s="27" t="n"/>
      <c r="B17" s="19" t="n"/>
      <c r="C17" s="27" t="n"/>
      <c r="D17" s="20" t="n"/>
    </row>
    <row r="18">
      <c r="A18" s="27" t="n"/>
      <c r="B18" s="19" t="n"/>
      <c r="C18" s="27" t="n"/>
      <c r="D18" s="20" t="n"/>
    </row>
    <row r="19">
      <c r="A19" s="27" t="n"/>
      <c r="B19" s="19" t="n"/>
      <c r="C19" s="27" t="n"/>
      <c r="D19" s="20" t="n"/>
    </row>
    <row r="20">
      <c r="A20" s="27" t="n"/>
      <c r="B20" s="19" t="n"/>
      <c r="C20" s="27" t="n"/>
      <c r="D20" s="20" t="n"/>
    </row>
    <row r="21">
      <c r="A21" s="27" t="n"/>
      <c r="B21" s="19" t="n"/>
      <c r="C21" s="27" t="n"/>
      <c r="D21" s="20" t="n"/>
    </row>
    <row r="22">
      <c r="A22" s="27" t="n"/>
      <c r="B22" s="19" t="n"/>
      <c r="C22" s="27" t="n"/>
      <c r="D22" s="20" t="n"/>
    </row>
    <row r="23">
      <c r="A23" s="27" t="n"/>
      <c r="B23" s="19" t="n"/>
      <c r="C23" s="27" t="n"/>
      <c r="D23" s="20" t="n"/>
    </row>
    <row r="24">
      <c r="A24" s="27" t="n"/>
      <c r="B24" s="19" t="n"/>
      <c r="C24" s="27" t="n"/>
      <c r="D24" s="20" t="n"/>
    </row>
    <row r="25">
      <c r="A25" s="27" t="n"/>
      <c r="B25" s="19" t="n"/>
      <c r="C25" s="27" t="n"/>
      <c r="D25" s="20" t="n"/>
    </row>
    <row r="26">
      <c r="A26" s="27" t="n"/>
      <c r="B26" s="19" t="n"/>
      <c r="C26" s="27" t="n"/>
      <c r="D26" s="20" t="n"/>
    </row>
    <row r="27">
      <c r="A27" s="27" t="n"/>
      <c r="B27" s="19" t="n"/>
      <c r="C27" s="27" t="n"/>
      <c r="D27" s="20" t="n"/>
    </row>
    <row r="28">
      <c r="A28" s="27" t="n"/>
      <c r="B28" s="19" t="n"/>
      <c r="C28" s="27" t="n"/>
      <c r="D28" s="20" t="n"/>
    </row>
    <row r="29">
      <c r="A29" s="27" t="n"/>
      <c r="B29" s="19" t="n"/>
      <c r="C29" s="27" t="n"/>
      <c r="D29" s="20" t="n"/>
    </row>
    <row r="30">
      <c r="A30" s="27" t="n"/>
      <c r="B30" s="19" t="n"/>
      <c r="C30" s="27" t="n"/>
      <c r="D30" s="20" t="n"/>
    </row>
    <row r="31">
      <c r="A31" s="27" t="n"/>
      <c r="B31" s="19" t="n"/>
      <c r="C31" s="27" t="n"/>
      <c r="D31" s="20" t="n"/>
    </row>
    <row r="32">
      <c r="A32" s="27" t="n"/>
      <c r="B32" s="19" t="n"/>
      <c r="C32" s="27" t="n"/>
      <c r="D32" s="20" t="n"/>
    </row>
    <row r="33">
      <c r="A33" s="27" t="n"/>
      <c r="B33" s="19" t="n"/>
      <c r="C33" s="27" t="n"/>
      <c r="D33" s="20" t="n"/>
    </row>
    <row r="34">
      <c r="A34" s="27" t="n"/>
      <c r="B34" s="19" t="n"/>
      <c r="C34" s="27" t="n"/>
      <c r="D34" s="20" t="n"/>
    </row>
    <row r="35">
      <c r="A35" s="27" t="n"/>
      <c r="B35" s="19" t="n"/>
      <c r="C35" s="27" t="n"/>
      <c r="D35" s="20" t="n"/>
    </row>
    <row r="36">
      <c r="A36" s="27" t="n"/>
      <c r="B36" s="19" t="n"/>
      <c r="C36" s="27" t="n"/>
      <c r="D36" s="20" t="n"/>
    </row>
    <row r="37">
      <c r="A37" s="27" t="n"/>
      <c r="B37" s="19" t="n"/>
      <c r="C37" s="27" t="n"/>
      <c r="D37" s="20" t="n"/>
    </row>
    <row r="38">
      <c r="A38" s="27" t="n"/>
      <c r="B38" s="19" t="n"/>
      <c r="C38" s="27" t="n"/>
      <c r="D38" s="20" t="n"/>
    </row>
    <row r="39">
      <c r="A39" s="27" t="n"/>
      <c r="B39" s="19" t="n"/>
      <c r="C39" s="27" t="n"/>
      <c r="D39" s="20" t="n"/>
    </row>
    <row r="40">
      <c r="A40" s="27" t="n"/>
      <c r="B40" s="19" t="n"/>
      <c r="C40" s="27" t="n"/>
      <c r="D40" s="20" t="n"/>
    </row>
    <row r="41">
      <c r="A41" s="27" t="n"/>
      <c r="B41" s="19" t="n"/>
      <c r="C41" s="27" t="n"/>
      <c r="D41" s="20" t="n"/>
    </row>
    <row r="42">
      <c r="A42" s="27" t="n"/>
      <c r="B42" s="19" t="n"/>
      <c r="C42" s="27" t="n"/>
      <c r="D42" s="20" t="n"/>
    </row>
    <row r="43">
      <c r="A43" s="27" t="n"/>
      <c r="B43" s="19" t="n"/>
      <c r="C43" s="27" t="n"/>
      <c r="D43" s="20" t="n"/>
    </row>
    <row r="44">
      <c r="A44" s="27" t="n"/>
      <c r="B44" s="19" t="n"/>
      <c r="C44" s="27" t="n"/>
      <c r="D44" s="20" t="n"/>
    </row>
    <row r="45">
      <c r="A45" s="27" t="n"/>
      <c r="B45" s="19" t="n"/>
      <c r="C45" s="27" t="n"/>
      <c r="D45" s="20" t="n"/>
    </row>
    <row r="46">
      <c r="A46" s="27" t="n"/>
      <c r="B46" s="19" t="n"/>
      <c r="C46" s="27" t="n"/>
      <c r="D46" s="20" t="n"/>
    </row>
    <row r="47">
      <c r="A47" s="27" t="n"/>
      <c r="B47" s="19" t="n"/>
      <c r="C47" s="27" t="n"/>
      <c r="D47" s="20" t="n"/>
    </row>
    <row r="48">
      <c r="A48" s="27" t="n"/>
      <c r="B48" s="19" t="n"/>
      <c r="C48" s="27" t="n"/>
      <c r="D48" s="20" t="n"/>
    </row>
    <row r="49">
      <c r="A49" s="27" t="n"/>
      <c r="B49" s="19" t="n"/>
      <c r="C49" s="27" t="n"/>
      <c r="D49" s="20" t="n"/>
    </row>
    <row r="50">
      <c r="A50" s="27" t="n"/>
      <c r="B50" s="19" t="n"/>
      <c r="C50" s="27" t="n"/>
      <c r="D50" s="20" t="n"/>
    </row>
    <row r="51">
      <c r="A51" s="27" t="n"/>
      <c r="B51" s="19" t="n"/>
      <c r="C51" s="27" t="n"/>
      <c r="D51" s="20" t="n"/>
    </row>
    <row r="52">
      <c r="A52" s="27" t="n"/>
      <c r="B52" s="19" t="n"/>
      <c r="C52" s="27"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8"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39" t="n">
        <v>46269</v>
      </c>
      <c r="B3" s="40" t="inlineStr">
        <is>
          <t>נצבים, וילך</t>
        </is>
      </c>
      <c r="C3" s="41" t="n">
        <v>0.7638888888888888</v>
      </c>
      <c r="D3" s="41" t="n">
        <v>0.81875</v>
      </c>
      <c r="E3" s="42" t="inlineStr">
        <is>
          <t>הזמנים מחושבים לירושלים (כניסה 40 דק' לפני השקיעה, צאה 40 דק' אחריה). אם הלוח שלך אומר אחרת — תקנו את השורה.</t>
        </is>
      </c>
    </row>
    <row r="4">
      <c r="A4" s="39" t="n">
        <v>46276</v>
      </c>
      <c r="B4" s="40" t="inlineStr">
        <is>
          <t>ראש השנה</t>
        </is>
      </c>
      <c r="C4" s="41" t="n">
        <v>0.7576388888888889</v>
      </c>
      <c r="D4" s="41" t="n">
        <v>0.8125</v>
      </c>
    </row>
    <row r="5">
      <c r="A5" s="39" t="n">
        <v>46283</v>
      </c>
      <c r="B5" s="40" t="inlineStr">
        <is>
          <t>האזינו</t>
        </is>
      </c>
      <c r="C5" s="41" t="n">
        <v>0.7513888888888889</v>
      </c>
      <c r="D5" s="41" t="n">
        <v>0.8055555555555556</v>
      </c>
    </row>
    <row r="6">
      <c r="A6" s="39" t="n">
        <v>46290</v>
      </c>
      <c r="B6" s="40" t="inlineStr">
        <is>
          <t>סוכות</t>
        </is>
      </c>
      <c r="C6" s="41" t="n">
        <v>0.7451388888888889</v>
      </c>
      <c r="D6" s="41" t="n">
        <v>0.7993055555555556</v>
      </c>
    </row>
    <row r="7">
      <c r="A7" s="39" t="n">
        <v>46297</v>
      </c>
      <c r="B7" s="40" t="inlineStr">
        <is>
          <t>שמיני עצרת</t>
        </is>
      </c>
      <c r="C7" s="41" t="n">
        <v>0.7388888888888889</v>
      </c>
      <c r="D7" s="41" t="n">
        <v>0.7930555555555555</v>
      </c>
    </row>
    <row r="8">
      <c r="A8" s="39" t="n">
        <v>46304</v>
      </c>
      <c r="B8" s="40" t="inlineStr">
        <is>
          <t>בראשית</t>
        </is>
      </c>
      <c r="C8" s="41" t="n">
        <v>0.7326388888888888</v>
      </c>
      <c r="D8" s="41" t="n">
        <v>0.7875</v>
      </c>
    </row>
    <row r="9">
      <c r="A9" s="39" t="n">
        <v>46311</v>
      </c>
      <c r="B9" s="40" t="inlineStr">
        <is>
          <t>נח</t>
        </is>
      </c>
      <c r="C9" s="41" t="n">
        <v>0.7263888888888889</v>
      </c>
      <c r="D9" s="41" t="n">
        <v>0.78125</v>
      </c>
    </row>
    <row r="10">
      <c r="A10" s="39" t="n">
        <v>46318</v>
      </c>
      <c r="B10" s="40" t="inlineStr">
        <is>
          <t>לך לך</t>
        </is>
      </c>
      <c r="C10" s="41" t="n">
        <v>0.7215277777777778</v>
      </c>
      <c r="D10" s="41" t="n">
        <v>0.7763888888888889</v>
      </c>
    </row>
    <row r="11">
      <c r="A11" s="39" t="n">
        <v>46325</v>
      </c>
      <c r="B11" s="40" t="inlineStr">
        <is>
          <t>וירא</t>
        </is>
      </c>
      <c r="C11" s="41" t="n">
        <v>0.675</v>
      </c>
      <c r="D11" s="41" t="n">
        <v>0.7298611111111111</v>
      </c>
    </row>
    <row r="12">
      <c r="A12" s="39" t="n">
        <v>46332</v>
      </c>
      <c r="B12" s="40" t="inlineStr">
        <is>
          <t>חיי שרה</t>
        </is>
      </c>
      <c r="C12" s="41" t="n">
        <v>0.6708333333333333</v>
      </c>
      <c r="D12" s="41" t="n">
        <v>0.7256944444444444</v>
      </c>
    </row>
    <row r="13">
      <c r="A13" s="39" t="n">
        <v>46339</v>
      </c>
      <c r="B13" s="40" t="inlineStr">
        <is>
          <t>תולדות</t>
        </is>
      </c>
      <c r="C13" s="41" t="n">
        <v>0.6673611111111111</v>
      </c>
      <c r="D13" s="41" t="n">
        <v>0.7229166666666667</v>
      </c>
    </row>
    <row r="14">
      <c r="A14" s="39" t="n">
        <v>46346</v>
      </c>
      <c r="B14" s="40" t="inlineStr">
        <is>
          <t>ויצא</t>
        </is>
      </c>
      <c r="C14" s="41" t="n">
        <v>0.6652777777777777</v>
      </c>
      <c r="D14" s="41" t="n">
        <v>0.7201388888888889</v>
      </c>
    </row>
    <row r="15">
      <c r="A15" s="39" t="n">
        <v>46353</v>
      </c>
      <c r="B15" s="40" t="inlineStr">
        <is>
          <t>וישלח</t>
        </is>
      </c>
      <c r="C15" s="41" t="n">
        <v>0.6638888888888889</v>
      </c>
      <c r="D15" s="41" t="n">
        <v>0.71875</v>
      </c>
    </row>
    <row r="16">
      <c r="A16" s="39" t="n">
        <v>46360</v>
      </c>
      <c r="B16" s="40" t="inlineStr">
        <is>
          <t>וישב (חנוכה)</t>
        </is>
      </c>
      <c r="C16" s="41" t="n">
        <v>0.6631944444444444</v>
      </c>
      <c r="D16" s="41" t="n">
        <v>0.71875</v>
      </c>
    </row>
    <row r="17">
      <c r="A17" s="39" t="n">
        <v>46367</v>
      </c>
      <c r="B17" s="40" t="inlineStr">
        <is>
          <t>מקץ (חנוכה)</t>
        </is>
      </c>
      <c r="C17" s="41" t="n">
        <v>0.6638888888888889</v>
      </c>
      <c r="D17" s="41" t="n">
        <v>0.7194444444444444</v>
      </c>
    </row>
    <row r="18">
      <c r="A18" s="39" t="n">
        <v>46374</v>
      </c>
      <c r="B18" s="40" t="inlineStr">
        <is>
          <t>ויגש</t>
        </is>
      </c>
      <c r="C18" s="41" t="n">
        <v>0.6652777777777777</v>
      </c>
      <c r="D18" s="41" t="n">
        <v>0.7208333333333333</v>
      </c>
    </row>
    <row r="19">
      <c r="A19" s="39" t="n">
        <v>46381</v>
      </c>
      <c r="B19" s="40" t="inlineStr">
        <is>
          <t>ויחי</t>
        </is>
      </c>
      <c r="C19" s="41" t="n">
        <v>0.6673611111111111</v>
      </c>
      <c r="D19" s="41" t="n">
        <v>0.7236111111111111</v>
      </c>
    </row>
    <row r="20">
      <c r="A20" s="39" t="n">
        <v>46388</v>
      </c>
      <c r="B20" s="40" t="inlineStr">
        <is>
          <t>שמות</t>
        </is>
      </c>
      <c r="C20" s="41" t="n">
        <v>0.6708333333333333</v>
      </c>
      <c r="D20" s="41" t="n">
        <v>0.7270833333333333</v>
      </c>
    </row>
    <row r="21">
      <c r="A21" s="39" t="n">
        <v>46395</v>
      </c>
      <c r="B21" s="40" t="inlineStr">
        <is>
          <t>וארא</t>
        </is>
      </c>
      <c r="C21" s="41" t="n">
        <v>0.675</v>
      </c>
      <c r="D21" s="41" t="n">
        <v>0.7305555555555555</v>
      </c>
    </row>
    <row r="22">
      <c r="A22" s="39" t="n">
        <v>46402</v>
      </c>
      <c r="B22" s="40" t="inlineStr">
        <is>
          <t>בא</t>
        </is>
      </c>
      <c r="C22" s="41" t="n">
        <v>0.6791666666666667</v>
      </c>
      <c r="D22" s="41" t="n">
        <v>0.7354166666666667</v>
      </c>
    </row>
    <row r="23">
      <c r="A23" s="39" t="n">
        <v>46409</v>
      </c>
      <c r="B23" s="40" t="inlineStr">
        <is>
          <t>בשלח (ט״ו בשבט)</t>
        </is>
      </c>
      <c r="C23" s="41" t="n">
        <v>0.6833333333333333</v>
      </c>
      <c r="D23" s="41" t="n">
        <v>0.7395833333333334</v>
      </c>
    </row>
    <row r="24">
      <c r="A24" s="39" t="n">
        <v>46416</v>
      </c>
      <c r="B24" s="40" t="inlineStr">
        <is>
          <t>יתרו</t>
        </is>
      </c>
      <c r="C24" s="41" t="n">
        <v>0.6875</v>
      </c>
      <c r="D24" s="41" t="n">
        <v>0.74375</v>
      </c>
    </row>
    <row r="25">
      <c r="A25" s="39" t="n">
        <v>46423</v>
      </c>
      <c r="B25" s="40" t="inlineStr">
        <is>
          <t>משפטים</t>
        </is>
      </c>
      <c r="C25" s="41" t="n">
        <v>0.6923611111111111</v>
      </c>
      <c r="D25" s="41" t="n">
        <v>0.7486111111111111</v>
      </c>
    </row>
    <row r="26">
      <c r="A26" s="39" t="n">
        <v>46430</v>
      </c>
      <c r="B26" s="40" t="inlineStr">
        <is>
          <t>תרומה</t>
        </is>
      </c>
      <c r="C26" s="41" t="n">
        <v>0.6965277777777777</v>
      </c>
      <c r="D26" s="41" t="n">
        <v>0.7527777777777778</v>
      </c>
    </row>
    <row r="27">
      <c r="A27" s="39" t="n">
        <v>46437</v>
      </c>
      <c r="B27" s="40" t="inlineStr">
        <is>
          <t>תצוה</t>
        </is>
      </c>
      <c r="C27" s="41" t="n">
        <v>0.7006944444444444</v>
      </c>
      <c r="D27" s="41" t="n">
        <v>0.7569444444444444</v>
      </c>
    </row>
    <row r="28">
      <c r="A28" s="39" t="n">
        <v>46444</v>
      </c>
      <c r="B28" s="40" t="inlineStr">
        <is>
          <t>כי תשא</t>
        </is>
      </c>
      <c r="C28" s="41" t="n">
        <v>0.7041666666666667</v>
      </c>
      <c r="D28" s="41" t="n">
        <v>0.7604166666666666</v>
      </c>
    </row>
    <row r="29">
      <c r="A29" s="39" t="n">
        <v>46451</v>
      </c>
      <c r="B29" s="40" t="inlineStr">
        <is>
          <t>ויקהל</t>
        </is>
      </c>
      <c r="C29" s="41" t="n">
        <v>0.7083333333333334</v>
      </c>
      <c r="D29" s="41" t="n">
        <v>0.7638888888888888</v>
      </c>
    </row>
    <row r="30">
      <c r="A30" s="39" t="n">
        <v>46458</v>
      </c>
      <c r="B30" s="40" t="inlineStr">
        <is>
          <t>פקודי</t>
        </is>
      </c>
      <c r="C30" s="41" t="n">
        <v>0.7118055555555556</v>
      </c>
      <c r="D30" s="41" t="n">
        <v>0.7680555555555556</v>
      </c>
    </row>
    <row r="31">
      <c r="A31" s="39" t="n">
        <v>46465</v>
      </c>
      <c r="B31" s="40" t="inlineStr">
        <is>
          <t>ויקרא</t>
        </is>
      </c>
      <c r="C31" s="41" t="n">
        <v>0.7152777777777778</v>
      </c>
      <c r="D31" s="41" t="n">
        <v>0.7708333333333334</v>
      </c>
    </row>
    <row r="32">
      <c r="A32" s="39" t="n">
        <v>46472</v>
      </c>
      <c r="B32" s="40" t="inlineStr">
        <is>
          <t>צו</t>
        </is>
      </c>
      <c r="C32" s="41" t="n">
        <v>0.7597222222222222</v>
      </c>
      <c r="D32" s="41" t="n">
        <v>0.8159722222222222</v>
      </c>
    </row>
    <row r="33">
      <c r="A33" s="39" t="n">
        <v>46479</v>
      </c>
      <c r="B33" s="40" t="inlineStr">
        <is>
          <t>שמיני</t>
        </is>
      </c>
      <c r="C33" s="41" t="n">
        <v>0.7631944444444444</v>
      </c>
      <c r="D33" s="41" t="n">
        <v>0.8194444444444444</v>
      </c>
    </row>
    <row r="34">
      <c r="A34" s="39" t="n">
        <v>46486</v>
      </c>
      <c r="B34" s="40" t="inlineStr">
        <is>
          <t>תזריע</t>
        </is>
      </c>
      <c r="C34" s="41" t="n">
        <v>0.7666666666666667</v>
      </c>
      <c r="D34" s="41" t="n">
        <v>0.8222222222222222</v>
      </c>
    </row>
    <row r="35">
      <c r="A35" s="39" t="n">
        <v>46493</v>
      </c>
      <c r="B35" s="40" t="inlineStr">
        <is>
          <t>מצורע</t>
        </is>
      </c>
      <c r="C35" s="41" t="n">
        <v>0.7701388888888889</v>
      </c>
      <c r="D35" s="41" t="n">
        <v>0.8256944444444444</v>
      </c>
    </row>
    <row r="36">
      <c r="A36" s="39" t="n">
        <v>46500</v>
      </c>
      <c r="B36" s="40" t="inlineStr">
        <is>
          <t>פסח</t>
        </is>
      </c>
      <c r="C36" s="41" t="n">
        <v>0.7729166666666667</v>
      </c>
      <c r="D36" s="41" t="n">
        <v>0.8291666666666667</v>
      </c>
    </row>
    <row r="37">
      <c r="A37" s="39" t="n">
        <v>46507</v>
      </c>
      <c r="B37" s="40" t="inlineStr">
        <is>
          <t>אחרי מות</t>
        </is>
      </c>
      <c r="C37" s="41" t="n">
        <v>0.7763888888888889</v>
      </c>
      <c r="D37" s="41" t="n">
        <v>0.8326388888888889</v>
      </c>
    </row>
    <row r="38">
      <c r="A38" s="39" t="n">
        <v>46514</v>
      </c>
      <c r="B38" s="40" t="inlineStr">
        <is>
          <t>קדושים</t>
        </is>
      </c>
      <c r="C38" s="41" t="n">
        <v>0.7798611111111111</v>
      </c>
      <c r="D38" s="41" t="n">
        <v>0.8361111111111111</v>
      </c>
    </row>
    <row r="39">
      <c r="A39" s="39" t="n">
        <v>46521</v>
      </c>
      <c r="B39" s="40" t="inlineStr">
        <is>
          <t>אמור</t>
        </is>
      </c>
      <c r="C39" s="41" t="n">
        <v>0.7833333333333333</v>
      </c>
      <c r="D39" s="41" t="n">
        <v>0.8395833333333333</v>
      </c>
    </row>
    <row r="40">
      <c r="A40" s="39" t="n">
        <v>46528</v>
      </c>
      <c r="B40" s="40" t="inlineStr">
        <is>
          <t>בהר</t>
        </is>
      </c>
      <c r="C40" s="41" t="n">
        <v>0.7868055555555555</v>
      </c>
      <c r="D40" s="41" t="n">
        <v>0.8423611111111111</v>
      </c>
    </row>
    <row r="41">
      <c r="A41" s="39" t="n">
        <v>46535</v>
      </c>
      <c r="B41" s="40" t="inlineStr">
        <is>
          <t>בחוקותי</t>
        </is>
      </c>
      <c r="C41" s="41" t="n">
        <v>0.7895833333333333</v>
      </c>
      <c r="D41" s="41" t="n">
        <v>0.8458333333333333</v>
      </c>
    </row>
    <row r="42">
      <c r="A42" s="39" t="n">
        <v>46542</v>
      </c>
      <c r="B42" s="40" t="inlineStr">
        <is>
          <t>במדבר</t>
        </is>
      </c>
      <c r="C42" s="41" t="n">
        <v>0.7923611111111111</v>
      </c>
      <c r="D42" s="41" t="n">
        <v>0.8486111111111111</v>
      </c>
    </row>
    <row r="43">
      <c r="A43" s="39" t="n">
        <v>46549</v>
      </c>
      <c r="B43" s="40" t="inlineStr">
        <is>
          <t>נשא</t>
        </is>
      </c>
      <c r="C43" s="41" t="n">
        <v>0.7944444444444444</v>
      </c>
      <c r="D43" s="41" t="n">
        <v>0.8506944444444444</v>
      </c>
    </row>
    <row r="44">
      <c r="A44" s="39" t="n">
        <v>46556</v>
      </c>
      <c r="B44" s="40" t="inlineStr">
        <is>
          <t>בהעלותך</t>
        </is>
      </c>
      <c r="C44" s="41" t="n">
        <v>0.7965277777777777</v>
      </c>
      <c r="D44" s="41" t="n">
        <v>0.8520833333333333</v>
      </c>
    </row>
    <row r="45">
      <c r="A45" s="39" t="n">
        <v>46563</v>
      </c>
      <c r="B45" s="40" t="inlineStr">
        <is>
          <t>שלח</t>
        </is>
      </c>
      <c r="C45" s="41" t="n">
        <v>0.7972222222222223</v>
      </c>
      <c r="D45" s="41" t="n">
        <v>0.8527777777777777</v>
      </c>
    </row>
    <row r="46">
      <c r="A46" s="39" t="n">
        <v>46570</v>
      </c>
      <c r="B46" s="40" t="inlineStr">
        <is>
          <t>קרח</t>
        </is>
      </c>
      <c r="C46" s="41" t="n">
        <v>0.7979166666666667</v>
      </c>
      <c r="D46" s="41" t="n">
        <v>0.8534722222222222</v>
      </c>
    </row>
    <row r="47">
      <c r="A47" s="39" t="n">
        <v>46577</v>
      </c>
      <c r="B47" s="40" t="inlineStr">
        <is>
          <t>חקת</t>
        </is>
      </c>
      <c r="C47" s="41" t="n">
        <v>0.7972222222222223</v>
      </c>
      <c r="D47" s="41" t="n">
        <v>0.8520833333333333</v>
      </c>
    </row>
    <row r="48">
      <c r="A48" s="39" t="n">
        <v>46584</v>
      </c>
      <c r="B48" s="40" t="inlineStr">
        <is>
          <t>בלק</t>
        </is>
      </c>
      <c r="C48" s="41" t="n">
        <v>0.7958333333333333</v>
      </c>
      <c r="D48" s="41" t="n">
        <v>0.8506944444444444</v>
      </c>
    </row>
    <row r="49">
      <c r="A49" s="39" t="n">
        <v>46591</v>
      </c>
      <c r="B49" s="40" t="inlineStr">
        <is>
          <t>פינחס</t>
        </is>
      </c>
      <c r="C49" s="41" t="n">
        <v>0.7930555555555555</v>
      </c>
      <c r="D49" s="41" t="n">
        <v>0.8486111111111111</v>
      </c>
    </row>
    <row r="50">
      <c r="A50" s="39" t="n">
        <v>46598</v>
      </c>
      <c r="B50" s="40" t="inlineStr">
        <is>
          <t>מטות, מסעי</t>
        </is>
      </c>
      <c r="C50" s="41" t="n">
        <v>0.7902777777777777</v>
      </c>
      <c r="D50" s="41" t="n">
        <v>0.8451388888888889</v>
      </c>
    </row>
    <row r="51">
      <c r="A51" s="39" t="n">
        <v>46605</v>
      </c>
      <c r="B51" s="40" t="inlineStr">
        <is>
          <t>דברים</t>
        </is>
      </c>
      <c r="C51" s="41" t="n">
        <v>0.7861111111111111</v>
      </c>
      <c r="D51" s="41" t="n">
        <v>0.8409722222222222</v>
      </c>
    </row>
    <row r="52">
      <c r="A52" s="39" t="n">
        <v>46612</v>
      </c>
      <c r="B52" s="40" t="inlineStr">
        <is>
          <t>ואתחנן</t>
        </is>
      </c>
      <c r="C52" s="41" t="n">
        <v>0.78125</v>
      </c>
      <c r="D52" s="41" t="n">
        <v>0.8361111111111111</v>
      </c>
    </row>
    <row r="53">
      <c r="A53" s="39" t="n">
        <v>46619</v>
      </c>
      <c r="B53" s="40" t="inlineStr">
        <is>
          <t>עקב</t>
        </is>
      </c>
      <c r="C53" s="41" t="n">
        <v>0.7763888888888889</v>
      </c>
      <c r="D53" s="41" t="n">
        <v>0.83125</v>
      </c>
    </row>
    <row r="54">
      <c r="A54" s="39" t="n">
        <v>46626</v>
      </c>
      <c r="B54" s="40" t="inlineStr">
        <is>
          <t>ראה</t>
        </is>
      </c>
      <c r="C54" s="41" t="n">
        <v>0.7708333333333334</v>
      </c>
      <c r="D54" s="41"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2026-09-15T15:00:08Z</dcterms:created>
  <dcterms:modified xsi:type="dcterms:W3CDTF">2026-09-15T15:00:08Z</dcterms:modified>
</cp:coreProperties>
</file>