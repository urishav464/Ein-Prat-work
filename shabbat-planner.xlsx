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30" customHeight="1">
      <c r="A5" s="28" t="inlineStr">
        <is>
          <t>תורנות שישי</t>
        </is>
      </c>
      <c r="B5" s="29" t="inlineStr">
        <is>
          <t>שישי</t>
        </is>
      </c>
      <c r="C5" s="30" t="n">
        <v>0.3333333333333333</v>
      </c>
      <c r="D5" s="20" t="inlineStr">
        <is>
          <t>בית מדרש</t>
        </is>
      </c>
      <c r="E5" s="21"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5" s="28" t="n">
        <v>16</v>
      </c>
      <c r="G5" s="31" t="n"/>
      <c r="H5" s="20" t="n"/>
      <c r="I5" s="20" t="inlineStr">
        <is>
          <t>תחילת עבודה</t>
        </is>
      </c>
      <c r="J5" s="21" t="n"/>
    </row>
    <row r="6" ht="30" customHeight="1">
      <c r="A6" s="28" t="inlineStr">
        <is>
          <t>תורנות שישי</t>
        </is>
      </c>
      <c r="B6" s="29" t="inlineStr">
        <is>
          <t>שישי</t>
        </is>
      </c>
      <c r="C6" s="30" t="n">
        <v>0.5416666666666666</v>
      </c>
      <c r="D6" s="20" t="inlineStr">
        <is>
          <t>ניקיון חדר האוכל בשישי</t>
        </is>
      </c>
      <c r="E6" s="21" t="inlineStr">
        <is>
          <t>ניקיון חדר האוכל</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ארוחת ערב</t>
        </is>
      </c>
      <c r="E7" s="21" t="inlineStr">
        <is>
          <t>פריקת האוכל למקרר — אוכל ארוחת צהריים שבת: {ארוחת צהריים}</t>
        </is>
      </c>
      <c r="F7" s="28" t="n">
        <v>3</v>
      </c>
      <c r="G7" s="31" t="n"/>
      <c r="H7" s="20" t="n"/>
      <c r="I7" s="20" t="inlineStr">
        <is>
          <t>הדלקת נרות</t>
        </is>
      </c>
      <c r="J7" s="21" t="n"/>
    </row>
    <row r="8" ht="30" customHeight="1">
      <c r="A8" s="28" t="inlineStr">
        <is>
          <t>תורנות שבת</t>
        </is>
      </c>
      <c r="B8" s="29" t="inlineStr">
        <is>
          <t>שישי</t>
        </is>
      </c>
      <c r="C8" s="30" t="n"/>
      <c r="D8" s="20" t="inlineStr">
        <is>
          <t>ארוחת ערב</t>
        </is>
      </c>
      <c r="E8" s="21" t="inlineStr">
        <is>
          <t>הכנסת הגסטרונומים של ארוחת הערב מהמקרר לתנור החימום: {ארוחת ערב} · וחיבור מיחמים בפינת קפה</t>
        </is>
      </c>
      <c r="F8" s="28" t="n">
        <v>3</v>
      </c>
      <c r="G8" s="31" t="n"/>
      <c r="H8" s="20" t="n"/>
      <c r="I8" s="20" t="inlineStr">
        <is>
          <t>הדלקת נרות</t>
        </is>
      </c>
      <c r="J8" s="21" t="n"/>
    </row>
    <row r="9" ht="30" customHeight="1">
      <c r="A9" s="28" t="inlineStr">
        <is>
          <t>תורנות שבת</t>
        </is>
      </c>
      <c r="B9" s="29" t="inlineStr">
        <is>
          <t>שישי</t>
        </is>
      </c>
      <c r="C9" s="30" t="n"/>
      <c r="D9" s="20" t="inlineStr">
        <is>
          <t>ארוחת ערב</t>
        </is>
      </c>
      <c r="E9" s="21" t="inlineStr">
        <is>
          <t>הכנת סלט כרוב וסלט טחינה</t>
        </is>
      </c>
      <c r="F9" s="28" t="n">
        <v>3</v>
      </c>
      <c r="G9" s="31" t="n"/>
      <c r="H9" s="20" t="inlineStr">
        <is>
          <t>סלט כרוב מרענן;סלט טחינה ביתית</t>
        </is>
      </c>
      <c r="I9" s="20" t="inlineStr">
        <is>
          <t>סעודת שבת</t>
        </is>
      </c>
      <c r="J9" s="21" t="n"/>
    </row>
    <row r="10" ht="30" customHeight="1">
      <c r="A10" s="28" t="inlineStr">
        <is>
          <t>תורנות שבת</t>
        </is>
      </c>
      <c r="B10" s="29" t="inlineStr">
        <is>
          <t>שישי</t>
        </is>
      </c>
      <c r="C10" s="30" t="n"/>
      <c r="D10" s="20" t="inlineStr">
        <is>
          <t>ארוחת ערב</t>
        </is>
      </c>
      <c r="E10" s="21" t="inlineStr">
        <is>
          <t>עריכת שולחן: סלטי קייטרינג ({סלטים}), חצי מהסלטים והחלות של שישי, צלחות וסכו"ם</t>
        </is>
      </c>
      <c r="F10" s="28" t="n">
        <v>5</v>
      </c>
      <c r="G10" s="31" t="n"/>
      <c r="H10" s="20" t="n"/>
      <c r="I10" s="20" t="inlineStr">
        <is>
          <t>סעודת שבת</t>
        </is>
      </c>
      <c r="J10" s="21" t="n"/>
    </row>
    <row r="11" ht="30" customHeight="1">
      <c r="A11" s="28" t="inlineStr">
        <is>
          <t>תורנות שבת</t>
        </is>
      </c>
      <c r="B11" s="29" t="inlineStr">
        <is>
          <t>שישי</t>
        </is>
      </c>
      <c r="C11" s="30" t="n"/>
      <c r="D11" s="20" t="inlineStr">
        <is>
          <t>ארוחת ערב</t>
        </is>
      </c>
      <c r="E11" s="21" t="inlineStr">
        <is>
          <t>הוצאת הגסטרונומים מתנור החימום</t>
        </is>
      </c>
      <c r="F11" s="28" t="n">
        <v>3</v>
      </c>
      <c r="G11" s="31" t="n"/>
      <c r="H11" s="20" t="n"/>
      <c r="I11" s="20" t="inlineStr">
        <is>
          <t>סעודת שבת</t>
        </is>
      </c>
      <c r="J11" s="21" t="n"/>
    </row>
    <row r="12" ht="30" customHeight="1">
      <c r="A12" s="28" t="inlineStr">
        <is>
          <t>תורנות שבת</t>
        </is>
      </c>
      <c r="B12" s="29" t="inlineStr">
        <is>
          <t>שישי</t>
        </is>
      </c>
      <c r="C12" s="30" t="n"/>
      <c r="D12" s="20" t="inlineStr">
        <is>
          <t>ארוחת ערב</t>
        </is>
      </c>
      <c r="E12" s="21" t="inlineStr">
        <is>
          <t>שטיפת הגסטרונומים בסיום הטיש</t>
        </is>
      </c>
      <c r="F12" s="28" t="n"/>
      <c r="G12" s="31" t="n"/>
      <c r="H12" s="20" t="n"/>
      <c r="I12" s="20" t="inlineStr">
        <is>
          <t>טיש</t>
        </is>
      </c>
      <c r="J12" s="21" t="n"/>
    </row>
    <row r="13" ht="30" customHeight="1">
      <c r="A13" s="28" t="inlineStr">
        <is>
          <t>תורנות שבת</t>
        </is>
      </c>
      <c r="B13" s="29" t="inlineStr">
        <is>
          <t>שישי</t>
        </is>
      </c>
      <c r="C13" s="30" t="n"/>
      <c r="D13" s="20" t="inlineStr">
        <is>
          <t>טיש</t>
        </is>
      </c>
      <c r="E13" s="21" t="inlineStr">
        <is>
          <t>חימום העוגות — הכל פרווה</t>
        </is>
      </c>
      <c r="F13" s="28" t="n">
        <v>2</v>
      </c>
      <c r="G13" s="31" t="n"/>
      <c r="H13" s="20" t="n"/>
      <c r="I13" s="20" t="inlineStr">
        <is>
          <t>טיש</t>
        </is>
      </c>
      <c r="J13" s="21" t="n"/>
    </row>
    <row r="14" ht="30" customHeight="1">
      <c r="A14" s="28" t="inlineStr">
        <is>
          <t>תורנות שבת</t>
        </is>
      </c>
      <c r="B14" s="29" t="inlineStr">
        <is>
          <t>שישי</t>
        </is>
      </c>
      <c r="C14" s="30" t="n"/>
      <c r="D14" s="20" t="inlineStr">
        <is>
          <t>טיש</t>
        </is>
      </c>
      <c r="E14" s="21" t="inlineStr">
        <is>
          <t>חיתוך 10 תפוחים</t>
        </is>
      </c>
      <c r="F14" s="28" t="n">
        <v>1</v>
      </c>
      <c r="G14" s="31" t="n"/>
      <c r="H14" s="20" t="n"/>
      <c r="I14" s="20" t="inlineStr">
        <is>
          <t>טיש</t>
        </is>
      </c>
      <c r="J14" s="21" t="n"/>
    </row>
    <row r="15" ht="30" customHeight="1">
      <c r="A15" s="28" t="inlineStr">
        <is>
          <t>תורנות שבת</t>
        </is>
      </c>
      <c r="B15" s="29" t="inlineStr">
        <is>
          <t>שישי</t>
        </is>
      </c>
      <c r="C15" s="30" t="n"/>
      <c r="D15" s="20" t="inlineStr">
        <is>
          <t>טיש</t>
        </is>
      </c>
      <c r="E15" s="21" t="inlineStr">
        <is>
          <t>פריסת שולחן במרכז: העוגות, גרעינים, חצי מהענבים ו-10 התפוחים</t>
        </is>
      </c>
      <c r="F15" s="28" t="n">
        <v>3</v>
      </c>
      <c r="G15" s="31" t="n"/>
      <c r="H15" s="20" t="n"/>
      <c r="I15" s="20" t="inlineStr">
        <is>
          <t>טיש</t>
        </is>
      </c>
      <c r="J15" s="21" t="n"/>
    </row>
    <row r="16" ht="30" customHeight="1">
      <c r="A16" s="28" t="inlineStr">
        <is>
          <t>תורנות שבת</t>
        </is>
      </c>
      <c r="B16" s="29" t="inlineStr">
        <is>
          <t>שישי</t>
        </is>
      </c>
      <c r="C16" s="30" t="n"/>
      <c r="D16" s="20" t="inlineStr">
        <is>
          <t>טיש</t>
        </is>
      </c>
      <c r="E16" s="21" t="inlineStr">
        <is>
          <t>סידור המרחב: שולחנות בקוביה במרכז, כיסאות במעגל מסביב</t>
        </is>
      </c>
      <c r="F16" s="28" t="n">
        <v>2</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30" customHeight="1">
      <c r="A18" s="28" t="inlineStr">
        <is>
          <t>תורנות שבת</t>
        </is>
      </c>
      <c r="B18" s="32" t="inlineStr">
        <is>
          <t>שבת</t>
        </is>
      </c>
      <c r="C18" s="30" t="n">
        <v>0.4375</v>
      </c>
      <c r="D18" s="20" t="inlineStr">
        <is>
          <t>קידוש</t>
        </is>
      </c>
      <c r="E18" s="21" t="inlineStr">
        <is>
          <t>סידור וניקיון פינת קפה — להוציא חלב, למלא קפה וסוכר</t>
        </is>
      </c>
      <c r="F18" s="28" t="n">
        <v>1</v>
      </c>
      <c r="G18" s="31" t="n"/>
      <c r="H18" s="20" t="n"/>
      <c r="I18" s="20" t="inlineStr">
        <is>
          <t>קידוש</t>
        </is>
      </c>
      <c r="J18" s="21" t="n"/>
    </row>
    <row r="19" ht="30" customHeight="1">
      <c r="A19" s="28" t="inlineStr">
        <is>
          <t>תורנות שבת</t>
        </is>
      </c>
      <c r="B19" s="32" t="inlineStr">
        <is>
          <t>שבת</t>
        </is>
      </c>
      <c r="C19" s="30" t="n">
        <v>0.4375</v>
      </c>
      <c r="D19" s="20" t="inlineStr">
        <is>
          <t>קידוש</t>
        </is>
      </c>
      <c r="E19" s="21" t="inlineStr">
        <is>
          <t>חימום העוגות</t>
        </is>
      </c>
      <c r="F19" s="28" t="n">
        <v>1</v>
      </c>
      <c r="G19" s="31" t="n"/>
      <c r="H19" s="20" t="n"/>
      <c r="I19" s="20" t="inlineStr">
        <is>
          <t>קידוש</t>
        </is>
      </c>
      <c r="J19" s="21" t="n"/>
    </row>
    <row r="20" ht="30" customHeight="1">
      <c r="A20" s="28" t="inlineStr">
        <is>
          <t>תורנות שבת</t>
        </is>
      </c>
      <c r="B20" s="32" t="inlineStr">
        <is>
          <t>שבת</t>
        </is>
      </c>
      <c r="C20" s="30" t="n">
        <v>0.4375</v>
      </c>
      <c r="D20" s="20" t="inlineStr">
        <is>
          <t>קידוש</t>
        </is>
      </c>
      <c r="E20" s="21" t="inlineStr">
        <is>
          <t>טאטוא הרצפה, סידור כיסאות וארגון המרחב</t>
        </is>
      </c>
      <c r="F20" s="28" t="n">
        <v>1</v>
      </c>
      <c r="G20" s="31" t="n"/>
      <c r="H20" s="20" t="n"/>
      <c r="I20" s="20" t="inlineStr">
        <is>
          <t>קידוש</t>
        </is>
      </c>
      <c r="J20" s="21" t="n"/>
    </row>
    <row r="21" ht="30" customHeight="1">
      <c r="A21" s="28" t="inlineStr">
        <is>
          <t>תורנות שבת</t>
        </is>
      </c>
      <c r="B21" s="32" t="inlineStr">
        <is>
          <t>שבת</t>
        </is>
      </c>
      <c r="C21" s="30" t="n">
        <v>0.4375</v>
      </c>
      <c r="D21" s="20" t="inlineStr">
        <is>
          <t>קידוש</t>
        </is>
      </c>
      <c r="E21" s="21" t="inlineStr">
        <is>
          <t>הוצאת העוגות</t>
        </is>
      </c>
      <c r="F21" s="28" t="n">
        <v>1</v>
      </c>
      <c r="G21" s="31" t="n"/>
      <c r="H21" s="20" t="n"/>
      <c r="I21" s="20" t="inlineStr">
        <is>
          <t>קידוש</t>
        </is>
      </c>
      <c r="J21" s="21" t="n"/>
    </row>
    <row r="22" ht="30" customHeight="1">
      <c r="A22" s="28" t="inlineStr">
        <is>
          <t>תורנות שבת</t>
        </is>
      </c>
      <c r="B22" s="32" t="inlineStr">
        <is>
          <t>שבת</t>
        </is>
      </c>
      <c r="C22" s="30" t="n">
        <v>0.4375</v>
      </c>
      <c r="D22" s="20" t="inlineStr">
        <is>
          <t>קידוש</t>
        </is>
      </c>
      <c r="E22" s="21" t="inlineStr">
        <is>
          <t>הוצאת חלב, קורנפלקס וחצי מהענבים</t>
        </is>
      </c>
      <c r="F22" s="28" t="n">
        <v>1</v>
      </c>
      <c r="G22" s="31" t="n"/>
      <c r="H22" s="20" t="n"/>
      <c r="I22" s="20" t="inlineStr">
        <is>
          <t>קידוש</t>
        </is>
      </c>
      <c r="J22" s="21" t="n"/>
    </row>
    <row r="23" ht="30" customHeight="1">
      <c r="A23" s="28" t="inlineStr">
        <is>
          <t>תורנות שבת</t>
        </is>
      </c>
      <c r="B23" s="32" t="inlineStr">
        <is>
          <t>שבת</t>
        </is>
      </c>
      <c r="C23" s="30" t="n">
        <v>0.4583333333333333</v>
      </c>
      <c r="D23" s="20" t="inlineStr">
        <is>
          <t>ארוחת צהריים שבת</t>
        </is>
      </c>
      <c r="E23" s="21" t="inlineStr">
        <is>
          <t>הכנסת האוכל לתנור החימום: {ארוחת צהריים}</t>
        </is>
      </c>
      <c r="F23" s="28" t="n">
        <v>2</v>
      </c>
      <c r="G23" s="31" t="n"/>
      <c r="H23" s="20" t="n"/>
      <c r="I23" s="20" t="inlineStr">
        <is>
          <t>קידוש</t>
        </is>
      </c>
      <c r="J23" s="21" t="n"/>
    </row>
    <row r="24" ht="30" customHeight="1">
      <c r="A24" s="28" t="inlineStr">
        <is>
          <t>תורנות שבת</t>
        </is>
      </c>
      <c r="B24" s="32" t="inlineStr">
        <is>
          <t>שבת</t>
        </is>
      </c>
      <c r="C24" s="30" t="n">
        <v>0.5208333333333334</v>
      </c>
      <c r="D24" s="20" t="inlineStr">
        <is>
          <t>ארוחת צהריים שבת</t>
        </is>
      </c>
      <c r="E24" s="21" t="inlineStr">
        <is>
          <t>עריכת השולחן: הכנת סלט כרוב וסלט טחינה, והוצאת שאר הסלטים של שישי, סלטי קייטרינג ({סלטים}) וחלות</t>
        </is>
      </c>
      <c r="F24" s="28" t="n">
        <v>3</v>
      </c>
      <c r="G24" s="31" t="n"/>
      <c r="H24" s="20" t="inlineStr">
        <is>
          <t>סלט כרוב מרענן;סלט טחינה ביתית</t>
        </is>
      </c>
      <c r="I24" s="20" t="inlineStr">
        <is>
          <t>ארוחת צהריים</t>
        </is>
      </c>
      <c r="J24" s="21" t="n"/>
    </row>
    <row r="25" ht="30" customHeight="1">
      <c r="A25" s="28" t="inlineStr">
        <is>
          <t>תורנות שבת</t>
        </is>
      </c>
      <c r="B25" s="32" t="inlineStr">
        <is>
          <t>שבת</t>
        </is>
      </c>
      <c r="C25" s="30" t="n">
        <v>0.5208333333333334</v>
      </c>
      <c r="D25" s="20" t="inlineStr">
        <is>
          <t>ארוחת צהריים שבת</t>
        </is>
      </c>
      <c r="E25" s="21" t="inlineStr">
        <is>
          <t>פריסת האוכל, כפות הגשה, צלחות וסכו"ם, וסידור שולחנות וכיסאות</t>
        </is>
      </c>
      <c r="F25" s="28" t="n">
        <v>2</v>
      </c>
      <c r="G25" s="31" t="n"/>
      <c r="H25" s="20" t="n"/>
      <c r="I25" s="20" t="inlineStr">
        <is>
          <t>ארוחת צהריים</t>
        </is>
      </c>
      <c r="J25" s="21" t="n"/>
    </row>
    <row r="26" ht="30" customHeight="1">
      <c r="A26" s="28" t="inlineStr">
        <is>
          <t>תורנות שבת</t>
        </is>
      </c>
      <c r="B26" s="32" t="inlineStr">
        <is>
          <t>שבת</t>
        </is>
      </c>
      <c r="C26" s="30" t="n"/>
      <c r="D26" s="20" t="inlineStr">
        <is>
          <t>ארוחת צהריים שבת</t>
        </is>
      </c>
      <c r="E26" s="21" t="inlineStr">
        <is>
          <t>הוצאת העוגות לסעודה שלישית</t>
        </is>
      </c>
      <c r="F26" s="28" t="n">
        <v>2</v>
      </c>
      <c r="G26" s="31" t="n"/>
      <c r="H26" s="20" t="n"/>
      <c r="I26" s="20" t="inlineStr">
        <is>
          <t>סעודה שלישית</t>
        </is>
      </c>
      <c r="J26" s="21" t="n"/>
    </row>
    <row r="27" ht="30" customHeight="1">
      <c r="A27" s="28" t="inlineStr">
        <is>
          <t>תורנות שבת</t>
        </is>
      </c>
      <c r="B27" s="32" t="inlineStr">
        <is>
          <t>שבת</t>
        </is>
      </c>
      <c r="C27" s="30" t="n"/>
      <c r="D27" s="20" t="inlineStr">
        <is>
          <t>ארוחת צהריים שבת</t>
        </is>
      </c>
      <c r="E27" s="21" t="inlineStr">
        <is>
          <t>פינוי השולחנות ושטיפת הגסטרונומים בסיום הארוחה</t>
        </is>
      </c>
      <c r="F27" s="28" t="n"/>
      <c r="G27" s="31" t="n"/>
      <c r="H27" s="20" t="n"/>
      <c r="I27" s="20" t="inlineStr">
        <is>
          <t>ארוחת צהריים</t>
        </is>
      </c>
      <c r="J27" s="21" t="n"/>
    </row>
    <row r="28" ht="30" customHeight="1">
      <c r="A28" s="28" t="inlineStr">
        <is>
          <t>תורנות מוצ"ש</t>
        </is>
      </c>
      <c r="B28" s="33" t="inlineStr">
        <is>
          <t>מוצאי שבת</t>
        </is>
      </c>
      <c r="C28" s="30" t="n"/>
      <c r="D28" s="20" t="inlineStr">
        <is>
          <t>ניקיון בית המדרש</t>
        </is>
      </c>
      <c r="E28" s="21" t="inlineStr">
        <is>
          <t>ניקיון בית המדרש</t>
        </is>
      </c>
      <c r="F28" s="28" t="n">
        <v>12</v>
      </c>
      <c r="G28" s="31" t="n"/>
      <c r="H28" s="20" t="n"/>
      <c r="I28" s="20" t="inlineStr">
        <is>
          <t>ניקיונות מוצ"ש</t>
        </is>
      </c>
      <c r="J28" s="21" t="n"/>
    </row>
    <row r="29" ht="30" customHeight="1">
      <c r="A29" s="28" t="inlineStr">
        <is>
          <t>תורנות מוצ"ש</t>
        </is>
      </c>
      <c r="B29" s="33" t="inlineStr">
        <is>
          <t>מוצאי שבת</t>
        </is>
      </c>
      <c r="C29" s="30" t="n"/>
      <c r="D29" s="20" t="inlineStr">
        <is>
          <t>ניקיון חדר האוכל</t>
        </is>
      </c>
      <c r="E29" s="21" t="inlineStr">
        <is>
          <t>ניקיון חדר האוכל</t>
        </is>
      </c>
      <c r="F29" s="28" t="n">
        <v>12</v>
      </c>
      <c r="G29" s="31" t="n"/>
      <c r="H29" s="20" t="n"/>
      <c r="I29" s="20" t="inlineStr">
        <is>
          <t>ניקיונות מוצ"ש</t>
        </is>
      </c>
      <c r="J29" s="21" t="n"/>
    </row>
    <row r="30" ht="30" customHeight="1">
      <c r="A30" s="28" t="inlineStr">
        <is>
          <t>תורנות מוצ"ש</t>
        </is>
      </c>
      <c r="B30" s="33" t="inlineStr">
        <is>
          <t>מוצאי שבת</t>
        </is>
      </c>
      <c r="C30" s="30" t="n"/>
      <c r="D30" s="20" t="inlineStr">
        <is>
          <t>ארוחת ערב מוצ"ש</t>
        </is>
      </c>
      <c r="E30" s="21" t="inlineStr">
        <is>
          <t>הכנת ארוחת ערב לכולם</t>
        </is>
      </c>
      <c r="F30" s="28" t="n">
        <v>5</v>
      </c>
      <c r="G30" s="31" t="n"/>
      <c r="H30" s="20" t="n"/>
      <c r="I30" s="20" t="inlineStr">
        <is>
          <t>ניקיונות מוצ"ש</t>
        </is>
      </c>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ארוחת ערב</t>
        </is>
      </c>
      <c r="B6" s="28" t="inlineStr">
        <is>
          <t>תורנות שבת</t>
        </is>
      </c>
      <c r="C6" s="28" t="n">
        <v>2</v>
      </c>
      <c r="D6" s="34" t="n"/>
      <c r="E6" s="31" t="n"/>
      <c r="F6" s="23">
        <f>IF(E6="","",LEN(E6)-LEN(SUBSTITUTE(E6,",",""))+1)</f>
        <v/>
      </c>
      <c r="G6" s="23">
        <f>IF(A6="","",COUNTIF('משימות'!$D$3:$D$122,A6))</f>
        <v/>
      </c>
    </row>
    <row r="7" ht="30" customHeight="1">
      <c r="A7" s="19" t="inlineStr">
        <is>
          <t>טיש</t>
        </is>
      </c>
      <c r="B7" s="28" t="inlineStr">
        <is>
          <t>תורנות שבת</t>
        </is>
      </c>
      <c r="C7" s="28" t="n">
        <v>1</v>
      </c>
      <c r="D7" s="34" t="n"/>
      <c r="E7" s="31" t="n"/>
      <c r="F7" s="23">
        <f>IF(E7="","",LEN(E7)-LEN(SUBSTITUTE(E7,",",""))+1)</f>
        <v/>
      </c>
      <c r="G7" s="23">
        <f>IF(A7="","",COUNTIF('משימות'!$D$3:$D$122,A7))</f>
        <v/>
      </c>
    </row>
    <row r="8" ht="30" customHeight="1">
      <c r="A8" s="19" t="inlineStr">
        <is>
          <t>קידוש</t>
        </is>
      </c>
      <c r="B8" s="28" t="inlineStr">
        <is>
          <t>תורנות שבת</t>
        </is>
      </c>
      <c r="C8" s="28" t="n">
        <v>1</v>
      </c>
      <c r="D8" s="34" t="n"/>
      <c r="E8" s="31" t="n"/>
      <c r="F8" s="23">
        <f>IF(E8="","",LEN(E8)-LEN(SUBSTITUTE(E8,",",""))+1)</f>
        <v/>
      </c>
      <c r="G8" s="23">
        <f>IF(A8="","",COUNTIF('משימות'!$D$3:$D$122,A8))</f>
        <v/>
      </c>
    </row>
    <row r="9" ht="30" customHeight="1">
      <c r="A9" s="19" t="inlineStr">
        <is>
          <t>ארוחת צהריים שבת</t>
        </is>
      </c>
      <c r="B9" s="28" t="inlineStr">
        <is>
          <t>תורנות שבת</t>
        </is>
      </c>
      <c r="C9" s="28" t="n">
        <v>2</v>
      </c>
      <c r="D9" s="34" t="n"/>
      <c r="E9" s="31" t="n"/>
      <c r="F9" s="23">
        <f>IF(E9="","",LEN(E9)-LEN(SUBSTITUTE(E9,",",""))+1)</f>
        <v/>
      </c>
      <c r="G9" s="23">
        <f>IF(A9="","",COUNTIF('משימות'!$D$3:$D$122,A9))</f>
        <v/>
      </c>
    </row>
    <row r="10" ht="30" customHeight="1">
      <c r="A10" s="19" t="inlineStr">
        <is>
          <t>ניקיון בית המדרש</t>
        </is>
      </c>
      <c r="B10" s="28" t="inlineStr">
        <is>
          <t>תורנות מוצ"ש</t>
        </is>
      </c>
      <c r="C10" s="28" t="n">
        <v>2</v>
      </c>
      <c r="D10" s="34" t="n"/>
      <c r="E10" s="31" t="n"/>
      <c r="F10" s="23">
        <f>IF(E10="","",LEN(E10)-LEN(SUBSTITUTE(E10,",",""))+1)</f>
        <v/>
      </c>
      <c r="G10" s="23">
        <f>IF(A10="","",COUNTIF('משימות'!$D$3:$D$122,A10))</f>
        <v/>
      </c>
    </row>
    <row r="11" ht="30" customHeight="1">
      <c r="A11" s="19" t="inlineStr">
        <is>
          <t>ניקיון חדר האוכל</t>
        </is>
      </c>
      <c r="B11" s="28" t="inlineStr">
        <is>
          <t>תורנות מוצ"ש</t>
        </is>
      </c>
      <c r="C11" s="28" t="n">
        <v>3</v>
      </c>
      <c r="D11" s="34" t="n"/>
      <c r="E11" s="31" t="n"/>
      <c r="F11" s="23">
        <f>IF(E11="","",LEN(E11)-LEN(SUBSTITUTE(E11,",",""))+1)</f>
        <v/>
      </c>
      <c r="G11" s="23">
        <f>IF(A11="","",COUNTIF('משימות'!$D$3:$D$122,A11))</f>
        <v/>
      </c>
    </row>
    <row r="12" ht="30" customHeight="1">
      <c r="A12" s="19" t="inlineStr">
        <is>
          <t>ארוחת ערב מוצ"ש</t>
        </is>
      </c>
      <c r="B12" s="28" t="inlineStr">
        <is>
          <t>תורנות מוצ"ש</t>
        </is>
      </c>
      <c r="C12" s="28" t="n">
        <v>3</v>
      </c>
      <c r="D12" s="34" t="n"/>
      <c r="E12" s="31" t="n"/>
      <c r="F12" s="23">
        <f>IF(E12="","",LEN(E12)-LEN(SUBSTITUTE(E12,",",""))+1)</f>
        <v/>
      </c>
      <c r="G12" s="23">
        <f>IF(A12="","",COUNTIF('משימות'!$D$3:$D$122,A12))</f>
        <v/>
      </c>
    </row>
    <row r="13" ht="18" customHeight="1">
      <c r="A13" s="19" t="n"/>
      <c r="B13" s="28" t="n"/>
      <c r="C13" s="28" t="n"/>
      <c r="D13" s="34" t="n"/>
      <c r="E13" s="31" t="n"/>
      <c r="F13" s="23">
        <f>IF(E13="","",LEN(E13)-LEN(SUBSTITUTE(E13,",",""))+1)</f>
        <v/>
      </c>
      <c r="G13" s="23">
        <f>IF(A13="","",COUNTIF('משימות'!$D$3:$D$122,A13))</f>
        <v/>
      </c>
    </row>
    <row r="14" ht="18" customHeight="1">
      <c r="A14" s="19" t="n"/>
      <c r="B14" s="28" t="n"/>
      <c r="C14" s="28" t="n"/>
      <c r="D14" s="34" t="n"/>
      <c r="E14" s="31" t="n"/>
      <c r="F14" s="23">
        <f>IF(E14="","",LEN(E14)-LEN(SUBSTITUTE(E14,",",""))+1)</f>
        <v/>
      </c>
      <c r="G14" s="23">
        <f>IF(A14="","",COUNTIF('משימות'!$D$3:$D$122,A14))</f>
        <v/>
      </c>
    </row>
    <row r="15" ht="18" customHeight="1">
      <c r="A15" s="19" t="n"/>
      <c r="B15" s="28" t="n"/>
      <c r="C15" s="28" t="n"/>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ניצן שטיין</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מעיין יוספי</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עמית סיילס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אריאלה מרכוס</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משה אוברשטיין</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אוריה תעשה</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יונתן לירז</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פנחס אליהו גלוסקין</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נדב טוקר</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הדר עמדי</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יואב אוחנה</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עופר בביוף</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הילה עזרא</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בניה מעוז</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שחר מרקוביץ' גליק</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חיים שמאי</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אנה עזריאל</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אלרואי גרינברג</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אלה גוטליב</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רותם דרור</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עומר יוסף גנון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סהר שירון</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שירה ספונוב</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הלל פינגולד</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מעיין רחל דינר</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עמרי קולטון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נגה חוה כהן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קובי סמייסון</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נגה שוהם</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ינון לוי</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אלה מאיר</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זואי כהן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של״ו רובינשטיין</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כליל בלאוקופף</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רוני פרנקל</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נועם גלס</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הילה לביא</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עמית שי אברהם</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תמר פרימור</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נבו בלוך</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ארבל פרנקו</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יעל ברחד</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תמר פרידמן</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יותם ספיר</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איתמר אסנהיים</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 לי וולגמוט</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שילת פילפל</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נועם ישראל קומפאס</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רועי צבי סרי</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איתן כהן</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איתי בן מנחם</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לוי יצחק יונגר</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טליה קור</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ניצן גמלא</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אביה וייל</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אורי אסף</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יערה 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ליאור שימרלינג</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ליבי בוכריס</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ליעם גבע</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מאיה פקטר</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פרת פולס</t>
        </is>
      </c>
      <c r="B72" s="28" t="inlineStr">
        <is>
          <t>מדרשה</t>
        </is>
      </c>
      <c r="C72" s="35" t="n"/>
      <c r="D72" s="35" t="n"/>
      <c r="E72" s="34" t="n"/>
      <c r="F72" s="23">
        <f>IF(A72="","",COUNTIF('משימות'!$G$3:$G$122,"*"&amp;A72&amp;"*"))</f>
        <v/>
      </c>
      <c r="G72" s="35" t="n"/>
      <c r="H72" s="23">
        <f>IF(A72="","",SUMIF('היסטוריה'!$B$3:$B$3002,A72,'היסטוריה'!$E$3:$E$3002))</f>
        <v/>
      </c>
      <c r="I72" s="34" t="n"/>
    </row>
    <row r="73">
      <c r="A73" s="20" t="inlineStr">
        <is>
          <t>רגב שהם</t>
        </is>
      </c>
      <c r="B73" s="28" t="inlineStr">
        <is>
          <t>מדרשה</t>
        </is>
      </c>
      <c r="C73" s="35" t="n"/>
      <c r="D73" s="35" t="n"/>
      <c r="E73" s="34" t="n"/>
      <c r="F73" s="23">
        <f>IF(A73="","",COUNTIF('משימות'!$G$3:$G$122,"*"&amp;A73&amp;"*"))</f>
        <v/>
      </c>
      <c r="G73" s="35" t="n"/>
      <c r="H73" s="23">
        <f>IF(A73="","",SUMIF('היסטוריה'!$B$3:$B$3002,A73,'היסטוריה'!$E$3:$E$3002))</f>
        <v/>
      </c>
      <c r="I73" s="34" t="n"/>
    </row>
    <row r="74">
      <c r="A74" s="20" t="inlineStr">
        <is>
          <t>רוני כהן</t>
        </is>
      </c>
      <c r="B74" s="28" t="inlineStr">
        <is>
          <t>מדרשה</t>
        </is>
      </c>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4 ראשי כרוב (מלאה)</t>
        </is>
      </c>
      <c r="D10" s="21" t="inlineStr">
        <is>
          <t>4 ראשי כרוב (קצוצים לרצועות דקות)
מיץ מ-4–5 לימונים
1.25 כוסות שמן זית (250–300 מ"ל)
כ-2 כפות מלח (לפי הטעם)
אופציונלי: כפית שטוחה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מכינים חצי כמות (2 כרובים) לכל ארוחה, סמוך להגשה</t>
        </is>
      </c>
    </row>
    <row r="11" ht="120" customHeight="1">
      <c r="A11" s="28" t="inlineStr">
        <is>
          <t>סלטים</t>
        </is>
      </c>
      <c r="B11" s="19" t="inlineStr">
        <is>
          <t>סלט טחינה ביתית</t>
        </is>
      </c>
      <c r="C11" s="28" t="inlineStr">
        <is>
          <t>3–4 חבילות טחינה (מלאה)</t>
        </is>
      </c>
      <c r="D11" s="21"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מכינים חצי כמות לכל ארוחה, סמוך להגשה</t>
        </is>
      </c>
    </row>
    <row r="12">
      <c r="A12" s="28" t="n"/>
      <c r="B12" s="19" t="n"/>
      <c r="C12" s="28" t="n"/>
      <c r="D12" s="21" t="n"/>
      <c r="E12" s="21" t="n"/>
      <c r="F12" s="21" t="n"/>
    </row>
    <row r="13">
      <c r="A13" s="28" t="n"/>
      <c r="B13" s="19" t="n"/>
      <c r="C13" s="28" t="n"/>
      <c r="D13" s="21" t="n"/>
      <c r="E13" s="21" t="n"/>
      <c r="F13" s="21" t="n"/>
    </row>
    <row r="14">
      <c r="A14" s="28" t="n"/>
      <c r="B14" s="19" t="n"/>
      <c r="C14" s="28" t="n"/>
      <c r="D14" s="21" t="n"/>
      <c r="E14" s="21" t="n"/>
      <c r="F14" s="21" t="n"/>
    </row>
    <row r="15">
      <c r="A15" s="28" t="n"/>
      <c r="B15" s="19" t="n"/>
      <c r="C15" s="28" t="n"/>
      <c r="D15" s="21" t="n"/>
      <c r="E15" s="21" t="n"/>
      <c r="F15" s="21" t="n"/>
    </row>
    <row r="16">
      <c r="A16" s="28" t="n"/>
      <c r="B16" s="19" t="n"/>
      <c r="C16" s="28" t="n"/>
      <c r="D16" s="21" t="n"/>
      <c r="E16" s="21" t="n"/>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2026-10-07T11:00:15Z</dcterms:created>
  <dcterms:modified xsi:type="dcterms:W3CDTF">2026-10-07T11:00:16Z</dcterms:modified>
</cp:coreProperties>
</file>