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הוראות" sheetId="1" state="visible" r:id="rId1"/>
    <sheet name="הגדרות" sheetId="2" state="visible" r:id="rId2"/>
    <sheet name="לוז" sheetId="3" state="visible" r:id="rId3"/>
    <sheet name="כרטיסיות" sheetId="4" state="visible" r:id="rId4"/>
    <sheet name="טופס נקי" sheetId="5" state="visible" r:id="rId5"/>
    <sheet name="שיבוץ" sheetId="6" state="visible" r:id="rId6"/>
    <sheet name="קבוצות" sheetId="7" state="visible" r:id="rId7"/>
    <sheet name="מאגר משימות" sheetId="8" state="visible" r:id="rId8"/>
    <sheet name="זמנים" sheetId="9" state="visible" r:id="rId9"/>
  </sheets>
  <definedNames>
    <definedName name="_xlnm.Print_Titles" localSheetId="4">'טופס נקי'!$3:$3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hh:mm"/>
    <numFmt numFmtId="166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2E5C8A"/>
      <sz val="20"/>
    </font>
    <font>
      <name val="Arial"/>
      <b val="1"/>
      <color rgb="002E5C8A"/>
      <sz val="13"/>
    </font>
    <font>
      <name val="Arial"/>
      <b val="1"/>
      <color rgb="002E5C8A"/>
      <sz val="11"/>
    </font>
    <font>
      <name val="Arial"/>
      <color rgb="001F2430"/>
      <sz val="11"/>
    </font>
    <font>
      <name val="Arial"/>
      <b val="1"/>
      <color rgb="002E5C8A"/>
      <sz val="18"/>
    </font>
    <font>
      <name val="Arial"/>
      <b val="1"/>
      <color rgb="00FFFFFF"/>
      <sz val="13"/>
    </font>
    <font>
      <name val="Arial"/>
      <b val="1"/>
      <color rgb="001F2430"/>
      <sz val="11"/>
    </font>
    <font>
      <name val="Arial"/>
      <color rgb="001F2430"/>
      <sz val="12"/>
    </font>
    <font>
      <name val="Arial"/>
      <i val="1"/>
      <color rgb="006B7280"/>
      <sz val="10"/>
    </font>
    <font>
      <name val="Arial"/>
      <color rgb="006B7280"/>
      <sz val="12"/>
    </font>
    <font>
      <name val="Arial"/>
      <b val="1"/>
      <color rgb="006B7280"/>
      <sz val="12"/>
    </font>
    <font>
      <name val="Arial"/>
      <b val="1"/>
      <color rgb="00FFFFFF"/>
      <sz val="11"/>
    </font>
    <font>
      <name val="Arial"/>
      <b val="1"/>
      <color rgb="001F2430"/>
      <sz val="13"/>
    </font>
    <font>
      <name val="Arial"/>
      <b val="1"/>
      <color rgb="001F2430"/>
      <sz val="24"/>
    </font>
    <font>
      <name val="Arial"/>
      <b val="1"/>
      <color rgb="001F2430"/>
      <sz val="12"/>
    </font>
    <font>
      <name val="Arial"/>
      <i val="1"/>
      <color rgb="006B7280"/>
      <sz val="11"/>
    </font>
    <font>
      <name val="Arial"/>
      <color rgb="006B7280"/>
      <sz val="10"/>
    </font>
    <font>
      <name val="Arial"/>
      <b val="1"/>
      <color rgb="008A4B00"/>
      <sz val="10"/>
    </font>
    <font>
      <name val="Arial"/>
      <color rgb="001F2430"/>
      <sz val="10"/>
    </font>
    <font>
      <name val="Arial"/>
      <color rgb="006B7280"/>
      <sz val="9"/>
    </font>
    <font>
      <name val="Arial"/>
      <b val="1"/>
      <color rgb="002E5C8A"/>
      <sz val="16"/>
    </font>
  </fonts>
  <fills count="23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EDF1F6"/>
      </patternFill>
    </fill>
    <fill>
      <patternFill patternType="solid">
        <fgColor rgb="00FFF9E3"/>
      </patternFill>
    </fill>
    <fill>
      <patternFill patternType="solid">
        <fgColor rgb="00E8F0F8"/>
      </patternFill>
    </fill>
    <fill>
      <patternFill patternType="solid">
        <fgColor rgb="00F3EDE3"/>
      </patternFill>
    </fill>
    <fill>
      <patternFill patternType="solid">
        <fgColor rgb="00EDEAF5"/>
      </patternFill>
    </fill>
    <fill>
      <patternFill patternType="solid">
        <fgColor rgb="00F6BFD5"/>
      </patternFill>
    </fill>
    <fill>
      <patternFill patternType="solid">
        <fgColor rgb="00FDEEF4"/>
      </patternFill>
    </fill>
    <fill>
      <patternFill patternType="solid">
        <fgColor rgb="00B3D4EF"/>
      </patternFill>
    </fill>
    <fill>
      <patternFill patternType="solid">
        <fgColor rgb="00EAF3FB"/>
      </patternFill>
    </fill>
    <fill>
      <patternFill patternType="solid">
        <fgColor rgb="00F3D3A0"/>
      </patternFill>
    </fill>
    <fill>
      <patternFill patternType="solid">
        <fgColor rgb="00FDF1DF"/>
      </patternFill>
    </fill>
    <fill>
      <patternFill patternType="solid">
        <fgColor rgb="00C6E2B7"/>
      </patternFill>
    </fill>
    <fill>
      <patternFill patternType="solid">
        <fgColor rgb="00EDF6E7"/>
      </patternFill>
    </fill>
    <fill>
      <patternFill patternType="solid">
        <fgColor rgb="00D3C6EE"/>
      </patternFill>
    </fill>
    <fill>
      <patternFill patternType="solid">
        <fgColor rgb="00F1EBFB"/>
      </patternFill>
    </fill>
    <fill>
      <patternFill patternType="solid">
        <fgColor rgb="00B7E4D6"/>
      </patternFill>
    </fill>
    <fill>
      <patternFill patternType="solid">
        <fgColor rgb="00E7F7F2"/>
      </patternFill>
    </fill>
    <fill>
      <patternFill patternType="solid">
        <fgColor rgb="00333B47"/>
      </patternFill>
    </fill>
    <fill>
      <patternFill patternType="solid">
        <fgColor rgb="00FFFDF0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3" fillId="0" borderId="0" applyAlignment="1" pivotButton="0" quotePrefix="0" xfId="0">
      <alignment horizontal="center" vertical="top" readingOrder="2"/>
    </xf>
    <xf numFmtId="0" fontId="4" fillId="0" borderId="0" applyAlignment="1" pivotButton="0" quotePrefix="0" xfId="0">
      <alignment horizontal="right" vertical="top" wrapText="1" readingOrder="2"/>
    </xf>
    <xf numFmtId="0" fontId="5" fillId="0" borderId="0" applyAlignment="1" pivotButton="0" quotePrefix="0" xfId="0">
      <alignment horizontal="right" vertical="center" readingOrder="2"/>
    </xf>
    <xf numFmtId="0" fontId="6" fillId="2" borderId="0" applyAlignment="1" pivotButton="0" quotePrefix="0" xfId="0">
      <alignment horizontal="right" vertical="center" readingOrder="2"/>
    </xf>
    <xf numFmtId="0" fontId="7" fillId="3" borderId="1" applyAlignment="1" pivotButton="0" quotePrefix="0" xfId="0">
      <alignment horizontal="right" vertical="center" readingOrder="2"/>
    </xf>
    <xf numFmtId="164" fontId="8" fillId="4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center" readingOrder="2"/>
    </xf>
    <xf numFmtId="0" fontId="10" fillId="0" borderId="1" applyAlignment="1" pivotButton="0" quotePrefix="0" xfId="0">
      <alignment horizontal="center" vertical="center" readingOrder="2"/>
    </xf>
    <xf numFmtId="165" fontId="10" fillId="0" borderId="1" applyAlignment="1" pivotButton="0" quotePrefix="0" xfId="0">
      <alignment horizontal="center" vertical="center" readingOrder="2"/>
    </xf>
    <xf numFmtId="165" fontId="8" fillId="4" borderId="1" applyAlignment="1" pivotButton="0" quotePrefix="0" xfId="0">
      <alignment horizontal="center" vertical="center" readingOrder="2"/>
    </xf>
    <xf numFmtId="165" fontId="2" fillId="5" borderId="1" applyAlignment="1" pivotButton="0" quotePrefix="0" xfId="0">
      <alignment horizontal="center" vertical="center" readingOrder="2"/>
    </xf>
    <xf numFmtId="0" fontId="8" fillId="4" borderId="1" applyAlignment="1" pivotButton="0" quotePrefix="0" xfId="0">
      <alignment horizontal="center" vertical="center" readingOrder="2"/>
    </xf>
    <xf numFmtId="0" fontId="11" fillId="0" borderId="0" applyAlignment="1" pivotButton="0" quotePrefix="0" xfId="0">
      <alignment horizontal="right" vertical="center" readingOrder="2"/>
    </xf>
    <xf numFmtId="0" fontId="12" fillId="2" borderId="1" applyAlignment="1" pivotButton="0" quotePrefix="0" xfId="0">
      <alignment horizontal="center" vertical="center" wrapText="1" readingOrder="2"/>
    </xf>
    <xf numFmtId="0" fontId="3" fillId="5" borderId="1" applyAlignment="1" pivotButton="0" quotePrefix="0" xfId="0">
      <alignment horizontal="center" vertical="center" readingOrder="2"/>
    </xf>
    <xf numFmtId="165" fontId="13" fillId="0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wrapText="1" readingOrder="2"/>
    </xf>
    <xf numFmtId="0" fontId="3" fillId="6" borderId="1" applyAlignment="1" pivotButton="0" quotePrefix="0" xfId="0">
      <alignment horizontal="center" vertical="center" readingOrder="2"/>
    </xf>
    <xf numFmtId="0" fontId="3" fillId="7" borderId="1" applyAlignment="1" pivotButton="0" quotePrefix="0" xfId="0">
      <alignment horizontal="center" vertical="center" readingOrder="2"/>
    </xf>
    <xf numFmtId="0" fontId="14" fillId="8" borderId="0" applyAlignment="1" pivotButton="0" quotePrefix="0" xfId="0">
      <alignment horizontal="center" vertical="center" readingOrder="2"/>
    </xf>
    <xf numFmtId="0" fontId="15" fillId="9" borderId="0" applyAlignment="1" pivotButton="0" quotePrefix="0" xfId="0">
      <alignment horizontal="center" vertical="center" wrapText="1" readingOrder="2"/>
    </xf>
    <xf numFmtId="0" fontId="16" fillId="9" borderId="0" applyAlignment="1" pivotButton="0" quotePrefix="0" xfId="0">
      <alignment horizontal="center" vertical="center" readingOrder="2"/>
    </xf>
    <xf numFmtId="0" fontId="12" fillId="2" borderId="1" applyAlignment="1" pivotButton="0" quotePrefix="0" xfId="0">
      <alignment horizontal="center" vertical="center" readingOrder="2"/>
    </xf>
    <xf numFmtId="0" fontId="3" fillId="9" borderId="1" applyAlignment="1" pivotButton="0" quotePrefix="0" xfId="0">
      <alignment horizontal="center" vertical="top" readingOrder="2"/>
    </xf>
    <xf numFmtId="0" fontId="7" fillId="0" borderId="1" applyAlignment="1" pivotButton="0" quotePrefix="0" xfId="0">
      <alignment horizontal="right" vertical="top" wrapText="1" readingOrder="2"/>
    </xf>
    <xf numFmtId="0" fontId="0" fillId="0" borderId="1" pivotButton="0" quotePrefix="0" xfId="0"/>
    <xf numFmtId="0" fontId="17" fillId="0" borderId="1" applyAlignment="1" pivotButton="0" quotePrefix="0" xfId="0">
      <alignment horizontal="right" vertical="top" wrapText="1" readingOrder="2"/>
    </xf>
    <xf numFmtId="0" fontId="18" fillId="0" borderId="0" applyAlignment="1" pivotButton="0" quotePrefix="0" xfId="0">
      <alignment horizontal="center" vertical="center" readingOrder="2"/>
    </xf>
    <xf numFmtId="0" fontId="14" fillId="10" borderId="0" applyAlignment="1" pivotButton="0" quotePrefix="0" xfId="0">
      <alignment horizontal="center" vertical="center" readingOrder="2"/>
    </xf>
    <xf numFmtId="0" fontId="15" fillId="11" borderId="0" applyAlignment="1" pivotButton="0" quotePrefix="0" xfId="0">
      <alignment horizontal="center" vertical="center" wrapText="1" readingOrder="2"/>
    </xf>
    <xf numFmtId="0" fontId="16" fillId="11" borderId="0" applyAlignment="1" pivotButton="0" quotePrefix="0" xfId="0">
      <alignment horizontal="center" vertical="center" readingOrder="2"/>
    </xf>
    <xf numFmtId="0" fontId="3" fillId="11" borderId="1" applyAlignment="1" pivotButton="0" quotePrefix="0" xfId="0">
      <alignment horizontal="center" vertical="top" readingOrder="2"/>
    </xf>
    <xf numFmtId="0" fontId="14" fillId="12" borderId="0" applyAlignment="1" pivotButton="0" quotePrefix="0" xfId="0">
      <alignment horizontal="center" vertical="center" readingOrder="2"/>
    </xf>
    <xf numFmtId="0" fontId="15" fillId="13" borderId="0" applyAlignment="1" pivotButton="0" quotePrefix="0" xfId="0">
      <alignment horizontal="center" vertical="center" wrapText="1" readingOrder="2"/>
    </xf>
    <xf numFmtId="0" fontId="16" fillId="13" borderId="0" applyAlignment="1" pivotButton="0" quotePrefix="0" xfId="0">
      <alignment horizontal="center" vertical="center" readingOrder="2"/>
    </xf>
    <xf numFmtId="0" fontId="3" fillId="13" borderId="1" applyAlignment="1" pivotButton="0" quotePrefix="0" xfId="0">
      <alignment horizontal="center" vertical="top" readingOrder="2"/>
    </xf>
    <xf numFmtId="0" fontId="14" fillId="14" borderId="0" applyAlignment="1" pivotButton="0" quotePrefix="0" xfId="0">
      <alignment horizontal="center" vertical="center" readingOrder="2"/>
    </xf>
    <xf numFmtId="0" fontId="15" fillId="15" borderId="0" applyAlignment="1" pivotButton="0" quotePrefix="0" xfId="0">
      <alignment horizontal="center" vertical="center" wrapText="1" readingOrder="2"/>
    </xf>
    <xf numFmtId="0" fontId="16" fillId="15" borderId="0" applyAlignment="1" pivotButton="0" quotePrefix="0" xfId="0">
      <alignment horizontal="center" vertical="center" readingOrder="2"/>
    </xf>
    <xf numFmtId="0" fontId="3" fillId="15" borderId="1" applyAlignment="1" pivotButton="0" quotePrefix="0" xfId="0">
      <alignment horizontal="center" vertical="top" readingOrder="2"/>
    </xf>
    <xf numFmtId="0" fontId="14" fillId="16" borderId="0" applyAlignment="1" pivotButton="0" quotePrefix="0" xfId="0">
      <alignment horizontal="center" vertical="center" readingOrder="2"/>
    </xf>
    <xf numFmtId="0" fontId="15" fillId="17" borderId="0" applyAlignment="1" pivotButton="0" quotePrefix="0" xfId="0">
      <alignment horizontal="center" vertical="center" wrapText="1" readingOrder="2"/>
    </xf>
    <xf numFmtId="0" fontId="16" fillId="17" borderId="0" applyAlignment="1" pivotButton="0" quotePrefix="0" xfId="0">
      <alignment horizontal="center" vertical="center" readingOrder="2"/>
    </xf>
    <xf numFmtId="0" fontId="3" fillId="17" borderId="1" applyAlignment="1" pivotButton="0" quotePrefix="0" xfId="0">
      <alignment horizontal="center" vertical="top" readingOrder="2"/>
    </xf>
    <xf numFmtId="0" fontId="14" fillId="18" borderId="0" applyAlignment="1" pivotButton="0" quotePrefix="0" xfId="0">
      <alignment horizontal="center" vertical="center" readingOrder="2"/>
    </xf>
    <xf numFmtId="0" fontId="15" fillId="19" borderId="0" applyAlignment="1" pivotButton="0" quotePrefix="0" xfId="0">
      <alignment horizontal="center" vertical="center" wrapText="1" readingOrder="2"/>
    </xf>
    <xf numFmtId="0" fontId="16" fillId="19" borderId="0" applyAlignment="1" pivotButton="0" quotePrefix="0" xfId="0">
      <alignment horizontal="center" vertical="center" readingOrder="2"/>
    </xf>
    <xf numFmtId="0" fontId="3" fillId="19" borderId="1" applyAlignment="1" pivotButton="0" quotePrefix="0" xfId="0">
      <alignment horizontal="center" vertical="top" readingOrder="2"/>
    </xf>
    <xf numFmtId="0" fontId="7" fillId="0" borderId="0" applyAlignment="1" pivotButton="0" quotePrefix="0" xfId="0">
      <alignment horizontal="right" vertical="center" readingOrder="2"/>
    </xf>
    <xf numFmtId="0" fontId="12" fillId="20" borderId="1" applyAlignment="1" pivotButton="0" quotePrefix="0" xfId="0">
      <alignment horizontal="center" vertical="center" wrapText="1" readingOrder="2"/>
    </xf>
    <xf numFmtId="0" fontId="7" fillId="0" borderId="1" applyAlignment="1" pivotButton="0" quotePrefix="0" xfId="0">
      <alignment horizontal="right" vertical="top" readingOrder="2"/>
    </xf>
    <xf numFmtId="0" fontId="19" fillId="0" borderId="1" applyAlignment="1" pivotButton="0" quotePrefix="0" xfId="0">
      <alignment horizontal="center" vertical="top" readingOrder="2"/>
    </xf>
    <xf numFmtId="0" fontId="19" fillId="0" borderId="1" applyAlignment="1" pivotButton="0" quotePrefix="0" xfId="0">
      <alignment horizontal="right" vertical="top" wrapText="1" readingOrder="2"/>
    </xf>
    <xf numFmtId="0" fontId="7" fillId="21" borderId="1" applyAlignment="1" pivotButton="0" quotePrefix="0" xfId="0">
      <alignment horizontal="right" vertical="center" readingOrder="2"/>
    </xf>
    <xf numFmtId="0" fontId="4" fillId="4" borderId="1" applyAlignment="1" pivotButton="0" quotePrefix="0" xfId="0">
      <alignment horizontal="center" vertical="center" readingOrder="2"/>
    </xf>
    <xf numFmtId="0" fontId="4" fillId="4" borderId="1" applyAlignment="1" pivotButton="0" quotePrefix="0" xfId="0">
      <alignment horizontal="right" vertical="center" readingOrder="2"/>
    </xf>
    <xf numFmtId="0" fontId="4" fillId="4" borderId="1" applyAlignment="1" pivotButton="0" quotePrefix="0" xfId="0">
      <alignment horizontal="right" vertical="center" wrapText="1" readingOrder="2"/>
    </xf>
    <xf numFmtId="0" fontId="0" fillId="0" borderId="1" applyAlignment="1" pivotButton="0" quotePrefix="0" xfId="0">
      <alignment horizontal="center" vertical="center" readingOrder="2"/>
    </xf>
    <xf numFmtId="0" fontId="20" fillId="0" borderId="0" pivotButton="0" quotePrefix="0" xfId="0"/>
    <xf numFmtId="0" fontId="7" fillId="4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center" vertical="center" readingOrder="2"/>
    </xf>
    <xf numFmtId="0" fontId="7" fillId="22" borderId="1" applyAlignment="1" pivotButton="0" quotePrefix="0" xfId="0">
      <alignment horizontal="right" vertical="center" readingOrder="2"/>
    </xf>
    <xf numFmtId="0" fontId="21" fillId="0" borderId="0" applyAlignment="1" pivotButton="0" quotePrefix="0" xfId="0">
      <alignment horizontal="right" vertical="center" readingOrder="2"/>
    </xf>
    <xf numFmtId="164" fontId="4" fillId="0" borderId="1" applyAlignment="1" pivotButton="0" quotePrefix="0" xfId="0">
      <alignment horizontal="center" vertical="center" readingOrder="2"/>
    </xf>
    <xf numFmtId="165" fontId="4" fillId="4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top" wrapText="1" readingOrder="2"/>
    </xf>
  </cellXfs>
  <cellStyles count="1">
    <cellStyle name="Normal" xfId="0" builtinId="0" hidden="0"/>
  </cellStyles>
  <dxfs count="13">
    <dxf>
      <font>
        <name val="Arial"/>
        <b val="1"/>
        <color rgb="008A4B00"/>
        <sz val="11"/>
      </font>
      <fill>
        <patternFill patternType="solid">
          <fgColor rgb="00FCE3C6"/>
        </patternFill>
      </fill>
    </dxf>
    <dxf>
      <fill>
        <patternFill patternType="solid">
          <fgColor rgb="00FDEEF4"/>
        </patternFill>
      </fill>
    </dxf>
    <dxf>
      <fill>
        <patternFill patternType="solid">
          <fgColor rgb="00EAF3FB"/>
        </patternFill>
      </fill>
    </dxf>
    <dxf>
      <fill>
        <patternFill patternType="solid">
          <fgColor rgb="00FDF1DF"/>
        </patternFill>
      </fill>
    </dxf>
    <dxf>
      <fill>
        <patternFill patternType="solid">
          <fgColor rgb="00EDF6E7"/>
        </patternFill>
      </fill>
    </dxf>
    <dxf>
      <fill>
        <patternFill patternType="solid">
          <fgColor rgb="00F1EBFB"/>
        </patternFill>
      </fill>
    </dxf>
    <dxf>
      <fill>
        <patternFill patternType="solid">
          <fgColor rgb="00E7F7F2"/>
        </patternFill>
      </fill>
    </dxf>
    <dxf>
      <fill>
        <patternFill patternType="solid">
          <fgColor rgb="00F6BFD5"/>
        </patternFill>
      </fill>
    </dxf>
    <dxf>
      <fill>
        <patternFill patternType="solid">
          <fgColor rgb="00B3D4EF"/>
        </patternFill>
      </fill>
    </dxf>
    <dxf>
      <fill>
        <patternFill patternType="solid">
          <fgColor rgb="00F3D3A0"/>
        </patternFill>
      </fill>
    </dxf>
    <dxf>
      <fill>
        <patternFill patternType="solid">
          <fgColor rgb="00C6E2B7"/>
        </patternFill>
      </fill>
    </dxf>
    <dxf>
      <fill>
        <patternFill patternType="solid">
          <fgColor rgb="00D3C6EE"/>
        </patternFill>
      </fill>
    </dxf>
    <dxf>
      <fill>
        <patternFill patternType="solid">
          <fgColor rgb="00B7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92" customWidth="1" min="2" max="2"/>
  </cols>
  <sheetData>
    <row r="1" ht="40" customHeight="1">
      <c r="A1" s="1" t="inlineStr">
        <is>
          <t>תכנון שבת — מדרשת עין פרת</t>
        </is>
      </c>
    </row>
    <row r="3" ht="26" customHeight="1">
      <c r="A3" s="2" t="inlineStr">
        <is>
          <t>מה עושים כל שבוע (5 דקות)</t>
        </is>
      </c>
    </row>
    <row r="4" ht="32" customHeight="1">
      <c r="A4" s="3" t="inlineStr">
        <is>
          <t>1</t>
        </is>
      </c>
      <c r="B4" s="4" t="inlineStr">
        <is>
          <t>גיליון «הגדרות» — בוחרים תאריך שבת מהרשימה. כניסת השבת וצאתה נטענות לבד.</t>
        </is>
      </c>
    </row>
    <row r="5" ht="32" customHeight="1">
      <c r="A5" s="3" t="inlineStr">
        <is>
          <t>2</t>
        </is>
      </c>
      <c r="B5" s="4" t="inlineStr">
        <is>
          <t>באותו גיליון — ממלאים את המרחבים (קבלת שבת ישראלית, קידוש, חבורות, טיש, סעודה שלישית) ואת אנשי הצוות.</t>
        </is>
      </c>
    </row>
    <row r="6" ht="32" customHeight="1">
      <c r="A6" s="3" t="inlineStr">
        <is>
          <t>3</t>
        </is>
      </c>
      <c r="B6" s="4" t="inlineStr">
        <is>
          <t>גיליון «לוז» מוכן ומודפס. אין מה למלא בו — כל השעות נגזרות מזמני השבת.</t>
        </is>
      </c>
    </row>
    <row r="7" ht="32" customHeight="1">
      <c r="A7" s="3" t="inlineStr">
        <is>
          <t>4</t>
        </is>
      </c>
      <c r="B7" s="4" t="inlineStr">
        <is>
          <t>גיליון «קבוצות» — מעדכנים מי בכל קבוצה (רק כשההרכב משתנה).</t>
        </is>
      </c>
    </row>
    <row r="8" ht="32" customHeight="1">
      <c r="A8" s="3" t="inlineStr">
        <is>
          <t>5</t>
        </is>
      </c>
      <c r="B8" s="4" t="inlineStr">
        <is>
          <t>גיליון «שיבוץ» — קובעים מי עושה מה. בוחרים קבוצה, חלון זמן ומשימה מהרשימות, ומוסיפים כמויות בעמודת הפרטים.</t>
        </is>
      </c>
    </row>
    <row r="9" ht="32" customHeight="1">
      <c r="A9" s="3" t="inlineStr">
        <is>
          <t>6</t>
        </is>
      </c>
      <c r="B9" s="4" t="inlineStr">
        <is>
          <t>מדפיסים: «כרטיסיות» לתצוגה הצבעונית (דף לקבוצה, טוב גם לצילום מסך לוואטסאפ) או «טופס נקי» להדפסה מהירה של הכל בדף אחד.</t>
        </is>
      </c>
    </row>
    <row r="10" ht="26" customHeight="1">
      <c r="A10" s="2" t="inlineStr"/>
    </row>
    <row r="11" ht="26" customHeight="1">
      <c r="A11" s="2" t="inlineStr">
        <is>
          <t>טיפים</t>
        </is>
      </c>
    </row>
    <row r="12" ht="32" customHeight="1">
      <c r="A12" s="3" t="inlineStr">
        <is>
          <t>•</t>
        </is>
      </c>
      <c r="B12" s="4" t="inlineStr">
        <is>
          <t>שכחת להזין תאריך? כל הגיליונות יישארו ריקים עד שתבחר אחד.</t>
        </is>
      </c>
    </row>
    <row r="13" ht="32" customHeight="1">
      <c r="A13" s="3" t="inlineStr">
        <is>
          <t>•</t>
        </is>
      </c>
      <c r="B13" s="4" t="inlineStr">
        <is>
          <t>הזמנים בגיליון «זמנים» מחושבים לירושלים ומדויקים לדקה-שתיים. אם הלוח שלך אומר אחרת — פשוט תקן את השורה, או הזן עקיפה ידנית ב«הגדרות».</t>
        </is>
      </c>
    </row>
    <row r="14" ht="32" customHeight="1">
      <c r="A14" s="3" t="inlineStr">
        <is>
          <t>•</t>
        </is>
      </c>
      <c r="B14" s="4" t="inlineStr">
        <is>
          <t>בגיליון «לוז» יש התראה אוטומטית כשנשארת פחות משעה בין החבורה עם איש הצוות לסעודה שלישית — בדיוק המקרה שדורש החלטה.</t>
        </is>
      </c>
    </row>
    <row r="15" ht="32" customHeight="1">
      <c r="A15" s="3" t="inlineStr">
        <is>
          <t>•</t>
        </is>
      </c>
      <c r="B15" s="4" t="inlineStr">
        <is>
          <t>המשימות בכרטיסייה מופיעות בסדר שבו הזנת אותן ב«שיבוץ». כדאי להזין לפי הסדר: שישי, שבת, מוצאי שבת.</t>
        </is>
      </c>
    </row>
    <row r="16" ht="32" customHeight="1">
      <c r="A16" s="3" t="inlineStr">
        <is>
          <t>•</t>
        </is>
      </c>
      <c r="B16" s="4" t="inlineStr">
        <is>
          <t>שינית שם של קבוצה ב«קבוצות»? עדכן אותו גם ב«שיבוץ» (חיפוש והחלפה). עמודת «בדיקה» שם תדליק אזהרה כתומה על כל שורה עם שם קבוצה שאינו קיים.</t>
        </is>
      </c>
    </row>
    <row r="17" ht="32" customHeight="1">
      <c r="A17" s="3" t="inlineStr">
        <is>
          <t>•</t>
        </is>
      </c>
      <c r="B17" s="4" t="inlineStr">
        <is>
          <t>לשמור עותק לכל שבת: קובץ ← שמירה בשם ← «שבת פרשת ___».</t>
        </is>
      </c>
    </row>
  </sheetData>
  <mergeCells count="4">
    <mergeCell ref="A3:B3"/>
    <mergeCell ref="A11:B11"/>
    <mergeCell ref="A10:B10"/>
    <mergeCell ref="A1:B1"/>
  </mergeCells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9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44" customWidth="1" min="3" max="3"/>
  </cols>
  <sheetData>
    <row r="1" ht="36" customHeight="1">
      <c r="A1" s="5" t="inlineStr">
        <is>
          <t>הגדרות השבת — הגיליון היחיד שממלאים כל שבוע</t>
        </is>
      </c>
    </row>
    <row r="3" ht="24" customHeight="1">
      <c r="A3" s="6" t="inlineStr">
        <is>
          <t>1. איזו שבת</t>
        </is>
      </c>
    </row>
    <row r="4" ht="22" customHeight="1">
      <c r="A4" s="7" t="inlineStr">
        <is>
          <t>תאריך השבת</t>
        </is>
      </c>
      <c r="B4" s="8" t="n"/>
      <c r="C4" s="9" t="inlineStr">
        <is>
          <t>בחירה מהרשימה</t>
        </is>
      </c>
    </row>
    <row r="5" ht="22" customHeight="1">
      <c r="A5" s="7" t="inlineStr">
        <is>
          <t>פרשה</t>
        </is>
      </c>
      <c r="B5" s="10">
        <f>IFERROR(VLOOKUP($B$4,'זמנים'!$A$3:$D$400,2,FALSE),"")</f>
        <v/>
      </c>
      <c r="C5" s="9" t="inlineStr"/>
    </row>
    <row r="6" ht="22" customHeight="1">
      <c r="A6" s="7" t="inlineStr">
        <is>
          <t>כניסת שבת (מהלוח)</t>
        </is>
      </c>
      <c r="B6" s="11">
        <f>IFERROR(VLOOKUP($B$4,'זמנים'!$A$3:$D$400,3,FALSE),"")</f>
        <v/>
      </c>
      <c r="C6" s="9" t="inlineStr"/>
    </row>
    <row r="7" ht="22" customHeight="1">
      <c r="A7" s="7" t="inlineStr">
        <is>
          <t>צאת שבת (מהלוח)</t>
        </is>
      </c>
      <c r="B7" s="11">
        <f>IFERROR(VLOOKUP($B$4,'זמנים'!$A$3:$D$400,4,FALSE),"")</f>
        <v/>
      </c>
      <c r="C7" s="9" t="inlineStr"/>
    </row>
    <row r="8" ht="22" customHeight="1">
      <c r="A8" s="7" t="inlineStr">
        <is>
          <t>עקיפה ידנית — כניסת שבת</t>
        </is>
      </c>
      <c r="B8" s="12" t="n"/>
      <c r="C8" s="9" t="inlineStr">
        <is>
          <t>רק אם הלוח שלך אומר אחרת (למשל 18:20)</t>
        </is>
      </c>
    </row>
    <row r="9" ht="22" customHeight="1">
      <c r="A9" s="7" t="inlineStr">
        <is>
          <t>עקיפה ידנית — צאת שבת</t>
        </is>
      </c>
      <c r="B9" s="12" t="n"/>
      <c r="C9" s="9" t="inlineStr">
        <is>
          <t>רק אם הלוח שלך אומר אחרת</t>
        </is>
      </c>
    </row>
    <row r="10" ht="22" customHeight="1">
      <c r="A10" s="7" t="inlineStr">
        <is>
          <t>כניסת שבת בפועל</t>
        </is>
      </c>
      <c r="B10" s="13">
        <f>IF($B$8="",$B$6,$B$8)</f>
        <v/>
      </c>
      <c r="C10" s="9" t="inlineStr"/>
    </row>
    <row r="11" ht="22" customHeight="1">
      <c r="A11" s="7" t="inlineStr">
        <is>
          <t>צאת שבת בפועל</t>
        </is>
      </c>
      <c r="B11" s="13">
        <f>IF($B$9="",$B$7,$B$9)</f>
        <v/>
      </c>
      <c r="C11" s="9" t="inlineStr"/>
    </row>
    <row r="13" ht="24" customHeight="1">
      <c r="A13" s="6" t="inlineStr">
        <is>
          <t>2. מרחבים והחלטות</t>
        </is>
      </c>
    </row>
    <row r="14" ht="22" customHeight="1">
      <c r="A14" s="7" t="inlineStr">
        <is>
          <t>מקום קבלת שבת ישראלית</t>
        </is>
      </c>
      <c r="B14" s="14" t="n"/>
      <c r="C14" s="9" t="inlineStr">
        <is>
          <t>כשעה לפני כניסת השבת</t>
        </is>
      </c>
    </row>
    <row r="15" ht="22" customHeight="1">
      <c r="A15" s="7" t="inlineStr">
        <is>
          <t>מקום הקידוש</t>
        </is>
      </c>
      <c r="B15" s="14" t="n"/>
      <c r="C15" s="9" t="inlineStr">
        <is>
          <t>שבת 11:00</t>
        </is>
      </c>
    </row>
    <row r="16" ht="22" customHeight="1">
      <c r="A16" s="7" t="inlineStr">
        <is>
          <t>מרחבי חבורות חניכים</t>
        </is>
      </c>
      <c r="B16" s="14" t="n"/>
      <c r="C16" s="9" t="inlineStr">
        <is>
          <t>לפי מספר החבורות</t>
        </is>
      </c>
    </row>
    <row r="17" ht="22" customHeight="1">
      <c r="A17" s="7" t="inlineStr">
        <is>
          <t>מקום הטיש</t>
        </is>
      </c>
      <c r="B17" s="14" t="n"/>
      <c r="C17" s="9" t="inlineStr">
        <is>
          <t>כשעה וחצי אחרי תחילת הסעודה</t>
        </is>
      </c>
    </row>
    <row r="18" ht="22" customHeight="1">
      <c r="A18" s="7" t="inlineStr">
        <is>
          <t>מקום החבורה עם איש צוות</t>
        </is>
      </c>
      <c r="B18" s="14" t="inlineStr">
        <is>
          <t>בית מיכאל</t>
        </is>
      </c>
      <c r="C18" s="9" t="inlineStr">
        <is>
          <t>ברירת מחדל: בית מיכאל</t>
        </is>
      </c>
    </row>
    <row r="19" ht="22" customHeight="1">
      <c r="A19" s="7" t="inlineStr">
        <is>
          <t>מקום סעודה שלישית</t>
        </is>
      </c>
      <c r="B19" s="14" t="inlineStr">
        <is>
          <t>חדר אוכל</t>
        </is>
      </c>
      <c r="C19" s="9" t="inlineStr">
        <is>
          <t>חדר אוכל או בית שקד</t>
        </is>
      </c>
    </row>
    <row r="21" ht="24" customHeight="1">
      <c r="A21" s="6" t="inlineStr">
        <is>
          <t>3. אנשי צוות</t>
        </is>
      </c>
    </row>
    <row r="22" ht="22" customHeight="1">
      <c r="A22" s="7" t="inlineStr">
        <is>
          <t>טיש (ליל שבת)</t>
        </is>
      </c>
      <c r="B22" s="14" t="n"/>
      <c r="C22" s="9" t="inlineStr"/>
    </row>
    <row r="23" ht="22" customHeight="1">
      <c r="A23" s="7" t="inlineStr">
        <is>
          <t>חבורה (שבת 15:00)</t>
        </is>
      </c>
      <c r="B23" s="14" t="n"/>
      <c r="C23" s="9" t="inlineStr"/>
    </row>
    <row r="24" ht="22" customHeight="1">
      <c r="A24" s="7" t="inlineStr">
        <is>
          <t>כריכה לכריכה (מוצ"ש)</t>
        </is>
      </c>
      <c r="B24" s="14" t="n"/>
      <c r="C24" s="9" t="inlineStr"/>
    </row>
    <row r="26" ht="24" customHeight="1">
      <c r="A26" s="6" t="inlineStr">
        <is>
          <t>4. כללי</t>
        </is>
      </c>
    </row>
    <row r="27" ht="22" customHeight="1">
      <c r="A27" s="7" t="inlineStr">
        <is>
          <t>מספר משתתפים</t>
        </is>
      </c>
      <c r="B27" s="14" t="n"/>
      <c r="C27" s="9" t="inlineStr"/>
    </row>
    <row r="28" ht="22" customHeight="1">
      <c r="A28" s="7" t="inlineStr">
        <is>
          <t>מספר חבורות חניכים</t>
        </is>
      </c>
      <c r="B28" s="14" t="n"/>
      <c r="C28" s="9" t="inlineStr"/>
    </row>
    <row r="29" ht="22" customHeight="1">
      <c r="A29" s="7" t="inlineStr">
        <is>
          <t>הערות לשבת</t>
        </is>
      </c>
      <c r="B29" s="14" t="n"/>
      <c r="C29" s="9" t="inlineStr"/>
    </row>
  </sheetData>
  <mergeCells count="5">
    <mergeCell ref="A13:C13"/>
    <mergeCell ref="A1:C1"/>
    <mergeCell ref="A3:C3"/>
    <mergeCell ref="A21:C21"/>
    <mergeCell ref="A26:C26"/>
  </mergeCells>
  <dataValidations count="2">
    <dataValidation sqref="B4" showDropDown="0" showInputMessage="0" showErrorMessage="0" allowBlank="1" error="בחר תאריך מרשימת השבתות בגיליון «זמנים»" type="list">
      <formula1>'זמנים'!$A$3:$A$400</formula1>
    </dataValidation>
    <dataValidation sqref="B19" showDropDown="0" showInputMessage="0" showErrorMessage="0" allowBlank="1" type="list">
      <formula1>"חדר אוכל,בית שקד"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4" customWidth="1" min="3" max="3"/>
    <col width="22" customWidth="1" min="4" max="4"/>
    <col width="16" customWidth="1" min="5" max="5"/>
    <col width="40" customWidth="1" min="6" max="6"/>
  </cols>
  <sheetData>
    <row r="1" ht="40" customHeight="1">
      <c r="A1" s="1" t="inlineStr">
        <is>
          <t>לוח זמנים לשבת</t>
        </is>
      </c>
    </row>
    <row r="2" ht="22" customHeight="1">
      <c r="A2" s="15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16" t="inlineStr">
        <is>
          <t>יום</t>
        </is>
      </c>
      <c r="B3" s="16" t="inlineStr">
        <is>
          <t>שעה</t>
        </is>
      </c>
      <c r="C3" s="16" t="inlineStr">
        <is>
          <t>פעילות</t>
        </is>
      </c>
      <c r="D3" s="16" t="inlineStr">
        <is>
          <t>מקום</t>
        </is>
      </c>
      <c r="E3" s="16" t="inlineStr">
        <is>
          <t>איש צוות</t>
        </is>
      </c>
      <c r="F3" s="16" t="inlineStr">
        <is>
          <t>הערות</t>
        </is>
      </c>
    </row>
    <row r="4" ht="26" customHeight="1">
      <c r="A4" s="17" t="inlineStr">
        <is>
          <t>יום שישי</t>
        </is>
      </c>
      <c r="B4" s="18">
        <f>IF('הגדרות'!$B$10="","",'הגדרות'!$B$10-TIME(1,0,0))</f>
        <v/>
      </c>
      <c r="C4" s="19" t="inlineStr">
        <is>
          <t>קבלת שבת ישראלית</t>
        </is>
      </c>
      <c r="D4" s="20">
        <f>'הגדרות'!$B$14&amp;""</f>
        <v/>
      </c>
      <c r="E4" s="20" t="n"/>
      <c r="F4" s="21" t="inlineStr">
        <is>
          <t>כשעה לפני כניסת השבת</t>
        </is>
      </c>
    </row>
    <row r="5" ht="26" customHeight="1">
      <c r="A5" s="17" t="n"/>
      <c r="B5" s="18">
        <f>IF('הגדרות'!$B$10="","",'הגדרות'!$B$10)</f>
        <v/>
      </c>
      <c r="C5" s="19" t="inlineStr">
        <is>
          <t>כניסת שבת</t>
        </is>
      </c>
      <c r="D5" s="20" t="n"/>
      <c r="E5" s="20" t="n"/>
      <c r="F5" s="21" t="inlineStr">
        <is>
          <t>הדלקת נרות</t>
        </is>
      </c>
    </row>
    <row r="6" ht="26" customHeight="1">
      <c r="A6" s="17" t="n"/>
      <c r="B6" s="18">
        <f>IF('הגדרות'!$B$10="","",$B$5+TIME(0,15,0))</f>
        <v/>
      </c>
      <c r="C6" s="19" t="inlineStr">
        <is>
          <t>קבלת שבת וערבית</t>
        </is>
      </c>
      <c r="D6" s="20" t="inlineStr">
        <is>
          <t>בית מיכאל</t>
        </is>
      </c>
      <c r="E6" s="20" t="n"/>
      <c r="F6" s="21" t="inlineStr">
        <is>
          <t>כ-15 דקות אחרי כניסת השבת</t>
        </is>
      </c>
    </row>
    <row r="7" ht="26" customHeight="1">
      <c r="A7" s="17" t="n"/>
      <c r="B7" s="18">
        <f>IF('הגדרות'!$B$10="","",MAX($B$6+TIME(1,30,0),TIME(18,30,0)))</f>
        <v/>
      </c>
      <c r="C7" s="19" t="inlineStr">
        <is>
          <t>סעודת שבת</t>
        </is>
      </c>
      <c r="D7" s="20" t="inlineStr">
        <is>
          <t>חדר אוכל</t>
        </is>
      </c>
      <c r="E7" s="20" t="n"/>
      <c r="F7" s="21" t="inlineStr">
        <is>
          <t>כשעה וחצי אחרי תחילת קבלת שבת, ולא לפני 18:30</t>
        </is>
      </c>
    </row>
    <row r="8" ht="26" customHeight="1">
      <c r="A8" s="17" t="n"/>
      <c r="B8" s="18">
        <f>IF('הגדרות'!$B$10="","",$B$7+TIME(1,30,0))</f>
        <v/>
      </c>
      <c r="C8" s="19" t="inlineStr">
        <is>
          <t>טיש עם איש צוות</t>
        </is>
      </c>
      <c r="D8" s="20">
        <f>'הגדרות'!$B$17&amp;""</f>
        <v/>
      </c>
      <c r="E8" s="20">
        <f>'הגדרות'!$B$22&amp;""</f>
        <v/>
      </c>
      <c r="F8" s="21" t="inlineStr">
        <is>
          <t>כשעה וחצי אחרי תחילת הסעודה</t>
        </is>
      </c>
    </row>
    <row r="9" ht="26" customHeight="1">
      <c r="A9" s="22" t="inlineStr">
        <is>
          <t>יום שבת</t>
        </is>
      </c>
      <c r="B9" s="18" t="n">
        <v>0.4583333333333333</v>
      </c>
      <c r="C9" s="19" t="inlineStr">
        <is>
          <t>קידוש</t>
        </is>
      </c>
      <c r="D9" s="20">
        <f>'הגדרות'!$B$15&amp;""</f>
        <v/>
      </c>
      <c r="E9" s="20" t="n"/>
      <c r="F9" s="21" t="n"/>
    </row>
    <row r="10" ht="26" customHeight="1">
      <c r="A10" s="22" t="n"/>
      <c r="B10" s="18" t="n">
        <v>0.4895833333333333</v>
      </c>
      <c r="C10" s="19" t="inlineStr">
        <is>
          <t>חבורות חניכים</t>
        </is>
      </c>
      <c r="D10" s="20">
        <f>'הגדרות'!$B$16&amp;""</f>
        <v/>
      </c>
      <c r="E10" s="20" t="n"/>
      <c r="F10" s="21" t="inlineStr">
        <is>
          <t>מחולקים לפי מספר החבורות</t>
        </is>
      </c>
    </row>
    <row r="11" ht="26" customHeight="1">
      <c r="A11" s="22" t="n"/>
      <c r="B11" s="18" t="n">
        <v>0.5208333333333334</v>
      </c>
      <c r="C11" s="19" t="inlineStr">
        <is>
          <t>ארוחת צהריים</t>
        </is>
      </c>
      <c r="D11" s="20" t="inlineStr">
        <is>
          <t>חדר אוכל</t>
        </is>
      </c>
      <c r="E11" s="20" t="n"/>
      <c r="F11" s="21" t="n"/>
    </row>
    <row r="12" ht="26" customHeight="1">
      <c r="A12" s="22" t="n"/>
      <c r="B12" s="18" t="n">
        <v>0.625</v>
      </c>
      <c r="C12" s="19" t="inlineStr">
        <is>
          <t>חבורה עם איש צוות</t>
        </is>
      </c>
      <c r="D12" s="20">
        <f>'הגדרות'!$B$18&amp;""</f>
        <v/>
      </c>
      <c r="E12" s="20">
        <f>'הגדרות'!$B$23&amp;""</f>
        <v/>
      </c>
      <c r="F12" s="21">
        <f>IF('הגדרות'!$B$11="","",IF(($B$13-TIME(15,0,0))&lt;TIME(1,0,0),"⚠ פחות משעה עד סעודה שלישית — לשקול שינוי",""))</f>
        <v/>
      </c>
    </row>
    <row r="13" ht="26" customHeight="1">
      <c r="A13" s="22" t="n"/>
      <c r="B13" s="18">
        <f>IF('הגדרות'!$B$11="","",'הגדרות'!$B$11-TIME(1,30,0))</f>
        <v/>
      </c>
      <c r="C13" s="19" t="inlineStr">
        <is>
          <t>סעודה שלישית</t>
        </is>
      </c>
      <c r="D13" s="20">
        <f>'הגדרות'!$B$19&amp;""</f>
        <v/>
      </c>
      <c r="E13" s="20" t="n"/>
      <c r="F13" s="21" t="inlineStr">
        <is>
          <t>כשעה וחצי לפני צאת השבת</t>
        </is>
      </c>
    </row>
    <row r="14" ht="26" customHeight="1">
      <c r="A14" s="22" t="n"/>
      <c r="B14" s="18">
        <f>IF('הגדרות'!$B$11="","",'הגדרות'!$B$11)</f>
        <v/>
      </c>
      <c r="C14" s="19" t="inlineStr">
        <is>
          <t>הבדלה</t>
        </is>
      </c>
      <c r="D14" s="20" t="n"/>
      <c r="E14" s="20" t="n"/>
      <c r="F14" s="21" t="n"/>
    </row>
    <row r="15" ht="26" customHeight="1">
      <c r="A15" s="23" t="inlineStr">
        <is>
          <t>מוצאי שבת</t>
        </is>
      </c>
      <c r="B15" s="18">
        <f>IF('הגדרות'!$B$11="","",'הגדרות'!$B$11+TIME(0,10,0))</f>
        <v/>
      </c>
      <c r="C15" s="19" t="inlineStr">
        <is>
          <t>ניקיונות וארגון הקמפוס</t>
        </is>
      </c>
      <c r="D15" s="20" t="inlineStr">
        <is>
          <t>הקמפוס</t>
        </is>
      </c>
      <c r="E15" s="20" t="n"/>
      <c r="F15" s="21" t="inlineStr">
        <is>
          <t>10 דקות אחרי צאת השבת</t>
        </is>
      </c>
    </row>
    <row r="16" ht="26" customHeight="1">
      <c r="A16" s="23" t="n"/>
      <c r="B16" s="18">
        <f>IF('הגדרות'!$B$11="","",CEILING('הגדרות'!$B$11+TIME(2,0,0),TIME(0,30,0)))</f>
        <v/>
      </c>
      <c r="C16" s="19" t="inlineStr">
        <is>
          <t>כריכה לכריכה — תנ"ך עם איש צוות</t>
        </is>
      </c>
      <c r="D16" s="20" t="n"/>
      <c r="E16" s="20">
        <f>'הגדרות'!$B$24&amp;""</f>
        <v/>
      </c>
      <c r="F16" s="21" t="inlineStr">
        <is>
          <t>כשעתיים אחרי צאת השבת, מעוגל לחצי שעה</t>
        </is>
      </c>
    </row>
    <row r="18">
      <c r="A18" s="9" t="inlineStr">
        <is>
          <t>השעות נגזרות אוטומטית מכניסת/צאת השבת שבגיליון «הגדרות». כדי לשנות — עדכנו שם, לא כאן.</t>
        </is>
      </c>
    </row>
  </sheetData>
  <mergeCells count="3">
    <mergeCell ref="A2:F2"/>
    <mergeCell ref="A1:F1"/>
    <mergeCell ref="A18:F18"/>
  </mergeCells>
  <conditionalFormatting sqref="F4:F16">
    <cfRule type="expression" priority="1" dxfId="0">
      <formula>LEFT($F4,1)="⚠"</formula>
    </cfRule>
  </conditionalFormatting>
  <pageMargins left="0.4" right="0.4" top="0.5" bottom="0.5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31"/>
  <sheetViews>
    <sheetView showGridLines="0" rightToLeft="1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16" customWidth="1" min="3" max="3"/>
    <col width="16" customWidth="1" min="4" max="4"/>
    <col width="15" customWidth="1" min="5" max="5"/>
    <col width="15" customWidth="1" min="6" max="6"/>
    <col hidden="1" width="12" customWidth="1" min="8" max="8"/>
    <col hidden="1" width="12" customWidth="1" min="9" max="9"/>
    <col hidden="1" width="12" customWidth="1" min="10" max="10"/>
  </cols>
  <sheetData>
    <row r="1" ht="42" customHeight="1">
      <c r="A1" s="24">
        <f>IF('קבוצות'!$A$3="","",'קבוצות'!$A$3)</f>
        <v/>
      </c>
    </row>
    <row r="2" ht="54" customHeight="1">
      <c r="A2" s="25">
        <f>IF('קבוצות'!$C$3="","",'קבוצות'!$C$3)</f>
        <v/>
      </c>
    </row>
    <row r="3" ht="20" customHeight="1">
      <c r="A3" s="26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4" ht="22" customHeight="1">
      <c r="A4" s="27" t="inlineStr">
        <is>
          <t>מתי</t>
        </is>
      </c>
      <c r="B4" s="27" t="inlineStr">
        <is>
          <t>משימה</t>
        </is>
      </c>
      <c r="E4" s="27" t="inlineStr">
        <is>
          <t>פרטים וכמויות</t>
        </is>
      </c>
    </row>
    <row r="5" ht="30" customHeight="1">
      <c r="A5" s="28">
        <f>IF($H5="","",IF($H5=$H4,"",$H5))</f>
        <v/>
      </c>
      <c r="B5" s="29">
        <f>$I5</f>
        <v/>
      </c>
      <c r="C5" s="30" t="n"/>
      <c r="D5" s="30" t="n"/>
      <c r="E5" s="31">
        <f>$J5</f>
        <v/>
      </c>
      <c r="F5" s="30" t="n"/>
      <c r="H5">
        <f>IFERROR(INDEX('שיבוץ'!$B$3:$B$152,MATCH('קבוצות'!$A$3&amp;"|"&amp;1,'שיבוץ'!$F$3:$F$152,0))&amp;"","")</f>
        <v/>
      </c>
      <c r="I5">
        <f>IFERROR(INDEX('שיבוץ'!$C$3:$C$152,MATCH('קבוצות'!$A$3&amp;"|"&amp;1,'שיבוץ'!$F$3:$F$152,0))&amp;"","")</f>
        <v/>
      </c>
      <c r="J5">
        <f>IFERROR(INDEX('שיבוץ'!$D$3:$D$152,MATCH('קבוצות'!$A$3&amp;"|"&amp;1,'שיבוץ'!$F$3:$F$152,0))&amp;"","")</f>
        <v/>
      </c>
    </row>
    <row r="6" ht="30" customHeight="1">
      <c r="A6" s="28">
        <f>IF($H6="","",IF($H6=$H5,"",$H6))</f>
        <v/>
      </c>
      <c r="B6" s="29">
        <f>$I6</f>
        <v/>
      </c>
      <c r="C6" s="30" t="n"/>
      <c r="D6" s="30" t="n"/>
      <c r="E6" s="31">
        <f>$J6</f>
        <v/>
      </c>
      <c r="F6" s="30" t="n"/>
      <c r="H6">
        <f>IFERROR(INDEX('שיבוץ'!$B$3:$B$152,MATCH('קבוצות'!$A$3&amp;"|"&amp;2,'שיבוץ'!$F$3:$F$152,0))&amp;"","")</f>
        <v/>
      </c>
      <c r="I6">
        <f>IFERROR(INDEX('שיבוץ'!$C$3:$C$152,MATCH('קבוצות'!$A$3&amp;"|"&amp;2,'שיבוץ'!$F$3:$F$152,0))&amp;"","")</f>
        <v/>
      </c>
      <c r="J6">
        <f>IFERROR(INDEX('שיבוץ'!$D$3:$D$152,MATCH('קבוצות'!$A$3&amp;"|"&amp;2,'שיבוץ'!$F$3:$F$152,0))&amp;"","")</f>
        <v/>
      </c>
    </row>
    <row r="7" ht="30" customHeight="1">
      <c r="A7" s="28">
        <f>IF($H7="","",IF($H7=$H6,"",$H7))</f>
        <v/>
      </c>
      <c r="B7" s="29">
        <f>$I7</f>
        <v/>
      </c>
      <c r="C7" s="30" t="n"/>
      <c r="D7" s="30" t="n"/>
      <c r="E7" s="31">
        <f>$J7</f>
        <v/>
      </c>
      <c r="F7" s="30" t="n"/>
      <c r="H7">
        <f>IFERROR(INDEX('שיבוץ'!$B$3:$B$152,MATCH('קבוצות'!$A$3&amp;"|"&amp;3,'שיבוץ'!$F$3:$F$152,0))&amp;"","")</f>
        <v/>
      </c>
      <c r="I7">
        <f>IFERROR(INDEX('שיבוץ'!$C$3:$C$152,MATCH('קבוצות'!$A$3&amp;"|"&amp;3,'שיבוץ'!$F$3:$F$152,0))&amp;"","")</f>
        <v/>
      </c>
      <c r="J7">
        <f>IFERROR(INDEX('שיבוץ'!$D$3:$D$152,MATCH('קבוצות'!$A$3&amp;"|"&amp;3,'שיבוץ'!$F$3:$F$152,0))&amp;"","")</f>
        <v/>
      </c>
    </row>
    <row r="8" ht="30" customHeight="1">
      <c r="A8" s="28">
        <f>IF($H8="","",IF($H8=$H7,"",$H8))</f>
        <v/>
      </c>
      <c r="B8" s="29">
        <f>$I8</f>
        <v/>
      </c>
      <c r="C8" s="30" t="n"/>
      <c r="D8" s="30" t="n"/>
      <c r="E8" s="31">
        <f>$J8</f>
        <v/>
      </c>
      <c r="F8" s="30" t="n"/>
      <c r="H8">
        <f>IFERROR(INDEX('שיבוץ'!$B$3:$B$152,MATCH('קבוצות'!$A$3&amp;"|"&amp;4,'שיבוץ'!$F$3:$F$152,0))&amp;"","")</f>
        <v/>
      </c>
      <c r="I8">
        <f>IFERROR(INDEX('שיבוץ'!$C$3:$C$152,MATCH('קבוצות'!$A$3&amp;"|"&amp;4,'שיבוץ'!$F$3:$F$152,0))&amp;"","")</f>
        <v/>
      </c>
      <c r="J8">
        <f>IFERROR(INDEX('שיבוץ'!$D$3:$D$152,MATCH('קבוצות'!$A$3&amp;"|"&amp;4,'שיבוץ'!$F$3:$F$152,0))&amp;"","")</f>
        <v/>
      </c>
    </row>
    <row r="9" ht="30" customHeight="1">
      <c r="A9" s="28">
        <f>IF($H9="","",IF($H9=$H8,"",$H9))</f>
        <v/>
      </c>
      <c r="B9" s="29">
        <f>$I9</f>
        <v/>
      </c>
      <c r="C9" s="30" t="n"/>
      <c r="D9" s="30" t="n"/>
      <c r="E9" s="31">
        <f>$J9</f>
        <v/>
      </c>
      <c r="F9" s="30" t="n"/>
      <c r="H9">
        <f>IFERROR(INDEX('שיבוץ'!$B$3:$B$152,MATCH('קבוצות'!$A$3&amp;"|"&amp;5,'שיבוץ'!$F$3:$F$152,0))&amp;"","")</f>
        <v/>
      </c>
      <c r="I9">
        <f>IFERROR(INDEX('שיבוץ'!$C$3:$C$152,MATCH('קבוצות'!$A$3&amp;"|"&amp;5,'שיבוץ'!$F$3:$F$152,0))&amp;"","")</f>
        <v/>
      </c>
      <c r="J9">
        <f>IFERROR(INDEX('שיבוץ'!$D$3:$D$152,MATCH('קבוצות'!$A$3&amp;"|"&amp;5,'שיבוץ'!$F$3:$F$152,0))&amp;"","")</f>
        <v/>
      </c>
    </row>
    <row r="10" ht="30" customHeight="1">
      <c r="A10" s="28">
        <f>IF($H10="","",IF($H10=$H9,"",$H10))</f>
        <v/>
      </c>
      <c r="B10" s="29">
        <f>$I10</f>
        <v/>
      </c>
      <c r="C10" s="30" t="n"/>
      <c r="D10" s="30" t="n"/>
      <c r="E10" s="31">
        <f>$J10</f>
        <v/>
      </c>
      <c r="F10" s="30" t="n"/>
      <c r="H10">
        <f>IFERROR(INDEX('שיבוץ'!$B$3:$B$152,MATCH('קבוצות'!$A$3&amp;"|"&amp;6,'שיבוץ'!$F$3:$F$152,0))&amp;"","")</f>
        <v/>
      </c>
      <c r="I10">
        <f>IFERROR(INDEX('שיבוץ'!$C$3:$C$152,MATCH('קבוצות'!$A$3&amp;"|"&amp;6,'שיבוץ'!$F$3:$F$152,0))&amp;"","")</f>
        <v/>
      </c>
      <c r="J10">
        <f>IFERROR(INDEX('שיבוץ'!$D$3:$D$152,MATCH('קבוצות'!$A$3&amp;"|"&amp;6,'שיבוץ'!$F$3:$F$152,0))&amp;"","")</f>
        <v/>
      </c>
    </row>
    <row r="11" ht="30" customHeight="1">
      <c r="A11" s="28">
        <f>IF($H11="","",IF($H11=$H10,"",$H11))</f>
        <v/>
      </c>
      <c r="B11" s="29">
        <f>$I11</f>
        <v/>
      </c>
      <c r="C11" s="30" t="n"/>
      <c r="D11" s="30" t="n"/>
      <c r="E11" s="31">
        <f>$J11</f>
        <v/>
      </c>
      <c r="F11" s="30" t="n"/>
      <c r="H11">
        <f>IFERROR(INDEX('שיבוץ'!$B$3:$B$152,MATCH('קבוצות'!$A$3&amp;"|"&amp;7,'שיבוץ'!$F$3:$F$152,0))&amp;"","")</f>
        <v/>
      </c>
      <c r="I11">
        <f>IFERROR(INDEX('שיבוץ'!$C$3:$C$152,MATCH('קבוצות'!$A$3&amp;"|"&amp;7,'שיבוץ'!$F$3:$F$152,0))&amp;"","")</f>
        <v/>
      </c>
      <c r="J11">
        <f>IFERROR(INDEX('שיבוץ'!$D$3:$D$152,MATCH('קבוצות'!$A$3&amp;"|"&amp;7,'שיבוץ'!$F$3:$F$152,0))&amp;"","")</f>
        <v/>
      </c>
    </row>
    <row r="12" ht="30" customHeight="1">
      <c r="A12" s="28">
        <f>IF($H12="","",IF($H12=$H11,"",$H12))</f>
        <v/>
      </c>
      <c r="B12" s="29">
        <f>$I12</f>
        <v/>
      </c>
      <c r="C12" s="30" t="n"/>
      <c r="D12" s="30" t="n"/>
      <c r="E12" s="31">
        <f>$J12</f>
        <v/>
      </c>
      <c r="F12" s="30" t="n"/>
      <c r="H12">
        <f>IFERROR(INDEX('שיבוץ'!$B$3:$B$152,MATCH('קבוצות'!$A$3&amp;"|"&amp;8,'שיבוץ'!$F$3:$F$152,0))&amp;"","")</f>
        <v/>
      </c>
      <c r="I12">
        <f>IFERROR(INDEX('שיבוץ'!$C$3:$C$152,MATCH('קבוצות'!$A$3&amp;"|"&amp;8,'שיבוץ'!$F$3:$F$152,0))&amp;"","")</f>
        <v/>
      </c>
      <c r="J12">
        <f>IFERROR(INDEX('שיבוץ'!$D$3:$D$152,MATCH('קבוצות'!$A$3&amp;"|"&amp;8,'שיבוץ'!$F$3:$F$152,0))&amp;"","")</f>
        <v/>
      </c>
    </row>
    <row r="13" ht="30" customHeight="1">
      <c r="A13" s="28">
        <f>IF($H13="","",IF($H13=$H12,"",$H13))</f>
        <v/>
      </c>
      <c r="B13" s="29">
        <f>$I13</f>
        <v/>
      </c>
      <c r="C13" s="30" t="n"/>
      <c r="D13" s="30" t="n"/>
      <c r="E13" s="31">
        <f>$J13</f>
        <v/>
      </c>
      <c r="F13" s="30" t="n"/>
      <c r="H13">
        <f>IFERROR(INDEX('שיבוץ'!$B$3:$B$152,MATCH('קבוצות'!$A$3&amp;"|"&amp;9,'שיבוץ'!$F$3:$F$152,0))&amp;"","")</f>
        <v/>
      </c>
      <c r="I13">
        <f>IFERROR(INDEX('שיבוץ'!$C$3:$C$152,MATCH('קבוצות'!$A$3&amp;"|"&amp;9,'שיבוץ'!$F$3:$F$152,0))&amp;"","")</f>
        <v/>
      </c>
      <c r="J13">
        <f>IFERROR(INDEX('שיבוץ'!$D$3:$D$152,MATCH('קבוצות'!$A$3&amp;"|"&amp;9,'שיבוץ'!$F$3:$F$152,0))&amp;"","")</f>
        <v/>
      </c>
    </row>
    <row r="14" ht="30" customHeight="1">
      <c r="A14" s="28">
        <f>IF($H14="","",IF($H14=$H13,"",$H14))</f>
        <v/>
      </c>
      <c r="B14" s="29">
        <f>$I14</f>
        <v/>
      </c>
      <c r="C14" s="30" t="n"/>
      <c r="D14" s="30" t="n"/>
      <c r="E14" s="31">
        <f>$J14</f>
        <v/>
      </c>
      <c r="F14" s="30" t="n"/>
      <c r="H14">
        <f>IFERROR(INDEX('שיבוץ'!$B$3:$B$152,MATCH('קבוצות'!$A$3&amp;"|"&amp;10,'שיבוץ'!$F$3:$F$152,0))&amp;"","")</f>
        <v/>
      </c>
      <c r="I14">
        <f>IFERROR(INDEX('שיבוץ'!$C$3:$C$152,MATCH('קבוצות'!$A$3&amp;"|"&amp;10,'שיבוץ'!$F$3:$F$152,0))&amp;"","")</f>
        <v/>
      </c>
      <c r="J14">
        <f>IFERROR(INDEX('שיבוץ'!$D$3:$D$152,MATCH('קבוצות'!$A$3&amp;"|"&amp;10,'שיבוץ'!$F$3:$F$152,0))&amp;"","")</f>
        <v/>
      </c>
    </row>
    <row r="15" ht="30" customHeight="1">
      <c r="A15" s="28">
        <f>IF($H15="","",IF($H15=$H14,"",$H15))</f>
        <v/>
      </c>
      <c r="B15" s="29">
        <f>$I15</f>
        <v/>
      </c>
      <c r="C15" s="30" t="n"/>
      <c r="D15" s="30" t="n"/>
      <c r="E15" s="31">
        <f>$J15</f>
        <v/>
      </c>
      <c r="F15" s="30" t="n"/>
      <c r="H15">
        <f>IFERROR(INDEX('שיבוץ'!$B$3:$B$152,MATCH('קבוצות'!$A$3&amp;"|"&amp;11,'שיבוץ'!$F$3:$F$152,0))&amp;"","")</f>
        <v/>
      </c>
      <c r="I15">
        <f>IFERROR(INDEX('שיבוץ'!$C$3:$C$152,MATCH('קבוצות'!$A$3&amp;"|"&amp;11,'שיבוץ'!$F$3:$F$152,0))&amp;"","")</f>
        <v/>
      </c>
      <c r="J15">
        <f>IFERROR(INDEX('שיבוץ'!$D$3:$D$152,MATCH('קבוצות'!$A$3&amp;"|"&amp;11,'שיבוץ'!$F$3:$F$152,0))&amp;"","")</f>
        <v/>
      </c>
    </row>
    <row r="16" ht="30" customHeight="1">
      <c r="A16" s="28">
        <f>IF($H16="","",IF($H16=$H15,"",$H16))</f>
        <v/>
      </c>
      <c r="B16" s="29">
        <f>$I16</f>
        <v/>
      </c>
      <c r="C16" s="30" t="n"/>
      <c r="D16" s="30" t="n"/>
      <c r="E16" s="31">
        <f>$J16</f>
        <v/>
      </c>
      <c r="F16" s="30" t="n"/>
      <c r="H16">
        <f>IFERROR(INDEX('שיבוץ'!$B$3:$B$152,MATCH('קבוצות'!$A$3&amp;"|"&amp;12,'שיבוץ'!$F$3:$F$152,0))&amp;"","")</f>
        <v/>
      </c>
      <c r="I16">
        <f>IFERROR(INDEX('שיבוץ'!$C$3:$C$152,MATCH('קבוצות'!$A$3&amp;"|"&amp;12,'שיבוץ'!$F$3:$F$152,0))&amp;"","")</f>
        <v/>
      </c>
      <c r="J16">
        <f>IFERROR(INDEX('שיבוץ'!$D$3:$D$152,MATCH('קבוצות'!$A$3&amp;"|"&amp;12,'שיבוץ'!$F$3:$F$152,0))&amp;"","")</f>
        <v/>
      </c>
    </row>
    <row r="17" ht="30" customHeight="1">
      <c r="A17" s="28">
        <f>IF($H17="","",IF($H17=$H16,"",$H17))</f>
        <v/>
      </c>
      <c r="B17" s="29">
        <f>$I17</f>
        <v/>
      </c>
      <c r="C17" s="30" t="n"/>
      <c r="D17" s="30" t="n"/>
      <c r="E17" s="31">
        <f>$J17</f>
        <v/>
      </c>
      <c r="F17" s="30" t="n"/>
      <c r="H17">
        <f>IFERROR(INDEX('שיבוץ'!$B$3:$B$152,MATCH('קבוצות'!$A$3&amp;"|"&amp;13,'שיבוץ'!$F$3:$F$152,0))&amp;"","")</f>
        <v/>
      </c>
      <c r="I17">
        <f>IFERROR(INDEX('שיבוץ'!$C$3:$C$152,MATCH('קבוצות'!$A$3&amp;"|"&amp;13,'שיבוץ'!$F$3:$F$152,0))&amp;"","")</f>
        <v/>
      </c>
      <c r="J17">
        <f>IFERROR(INDEX('שיבוץ'!$D$3:$D$152,MATCH('קבוצות'!$A$3&amp;"|"&amp;13,'שיבוץ'!$F$3:$F$152,0))&amp;"","")</f>
        <v/>
      </c>
    </row>
    <row r="18" ht="30" customHeight="1">
      <c r="A18" s="28">
        <f>IF($H18="","",IF($H18=$H17,"",$H18))</f>
        <v/>
      </c>
      <c r="B18" s="29">
        <f>$I18</f>
        <v/>
      </c>
      <c r="C18" s="30" t="n"/>
      <c r="D18" s="30" t="n"/>
      <c r="E18" s="31">
        <f>$J18</f>
        <v/>
      </c>
      <c r="F18" s="30" t="n"/>
      <c r="H18">
        <f>IFERROR(INDEX('שיבוץ'!$B$3:$B$152,MATCH('קבוצות'!$A$3&amp;"|"&amp;14,'שיבוץ'!$F$3:$F$152,0))&amp;"","")</f>
        <v/>
      </c>
      <c r="I18">
        <f>IFERROR(INDEX('שיבוץ'!$C$3:$C$152,MATCH('קבוצות'!$A$3&amp;"|"&amp;14,'שיבוץ'!$F$3:$F$152,0))&amp;"","")</f>
        <v/>
      </c>
      <c r="J18">
        <f>IFERROR(INDEX('שיבוץ'!$D$3:$D$152,MATCH('קבוצות'!$A$3&amp;"|"&amp;14,'שיבוץ'!$F$3:$F$152,0))&amp;"","")</f>
        <v/>
      </c>
    </row>
    <row r="19" ht="30" customHeight="1">
      <c r="A19" s="28">
        <f>IF($H19="","",IF($H19=$H18,"",$H19))</f>
        <v/>
      </c>
      <c r="B19" s="29">
        <f>$I19</f>
        <v/>
      </c>
      <c r="C19" s="30" t="n"/>
      <c r="D19" s="30" t="n"/>
      <c r="E19" s="31">
        <f>$J19</f>
        <v/>
      </c>
      <c r="F19" s="30" t="n"/>
      <c r="H19">
        <f>IFERROR(INDEX('שיבוץ'!$B$3:$B$152,MATCH('קבוצות'!$A$3&amp;"|"&amp;15,'שיבוץ'!$F$3:$F$152,0))&amp;"","")</f>
        <v/>
      </c>
      <c r="I19">
        <f>IFERROR(INDEX('שיבוץ'!$C$3:$C$152,MATCH('קבוצות'!$A$3&amp;"|"&amp;15,'שיבוץ'!$F$3:$F$152,0))&amp;"","")</f>
        <v/>
      </c>
      <c r="J19">
        <f>IFERROR(INDEX('שיבוץ'!$D$3:$D$152,MATCH('קבוצות'!$A$3&amp;"|"&amp;15,'שיבוץ'!$F$3:$F$152,0))&amp;"","")</f>
        <v/>
      </c>
    </row>
    <row r="20" ht="30" customHeight="1">
      <c r="A20" s="28">
        <f>IF($H20="","",IF($H20=$H19,"",$H20))</f>
        <v/>
      </c>
      <c r="B20" s="29">
        <f>$I20</f>
        <v/>
      </c>
      <c r="C20" s="30" t="n"/>
      <c r="D20" s="30" t="n"/>
      <c r="E20" s="31">
        <f>$J20</f>
        <v/>
      </c>
      <c r="F20" s="30" t="n"/>
      <c r="H20">
        <f>IFERROR(INDEX('שיבוץ'!$B$3:$B$152,MATCH('קבוצות'!$A$3&amp;"|"&amp;16,'שיבוץ'!$F$3:$F$152,0))&amp;"","")</f>
        <v/>
      </c>
      <c r="I20">
        <f>IFERROR(INDEX('שיבוץ'!$C$3:$C$152,MATCH('קבוצות'!$A$3&amp;"|"&amp;16,'שיבוץ'!$F$3:$F$152,0))&amp;"","")</f>
        <v/>
      </c>
      <c r="J20">
        <f>IFERROR(INDEX('שיבוץ'!$D$3:$D$152,MATCH('קבוצות'!$A$3&amp;"|"&amp;16,'שיבוץ'!$F$3:$F$152,0))&amp;"","")</f>
        <v/>
      </c>
    </row>
    <row r="21" ht="18" customHeight="1">
      <c r="A21" s="32">
        <f>IF(COUNTIF('שיבוץ'!$A$3:$A$152,'קבוצות'!$A$3)&gt;16,"⚠ לקבוצה יש עוד משימות שלא נכנסו לכרטיסייה — ראו «טופס נקי»","")</f>
        <v/>
      </c>
    </row>
    <row r="23" ht="42" customHeight="1">
      <c r="A23" s="33">
        <f>IF('קבוצות'!$A$4="","",'קבוצות'!$A$4)</f>
        <v/>
      </c>
    </row>
    <row r="24" ht="54" customHeight="1">
      <c r="A24" s="34">
        <f>IF('קבוצות'!$C$4="","",'קבוצות'!$C$4)</f>
        <v/>
      </c>
    </row>
    <row r="25" ht="20" customHeight="1">
      <c r="A25" s="35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6" ht="22" customHeight="1">
      <c r="A26" s="27" t="inlineStr">
        <is>
          <t>מתי</t>
        </is>
      </c>
      <c r="B26" s="27" t="inlineStr">
        <is>
          <t>משימה</t>
        </is>
      </c>
      <c r="E26" s="27" t="inlineStr">
        <is>
          <t>פרטים וכמויות</t>
        </is>
      </c>
    </row>
    <row r="27" ht="30" customHeight="1">
      <c r="A27" s="36">
        <f>IF($H27="","",IF($H27=$H26,"",$H27))</f>
        <v/>
      </c>
      <c r="B27" s="29">
        <f>$I27</f>
        <v/>
      </c>
      <c r="C27" s="30" t="n"/>
      <c r="D27" s="30" t="n"/>
      <c r="E27" s="31">
        <f>$J27</f>
        <v/>
      </c>
      <c r="F27" s="30" t="n"/>
      <c r="H27">
        <f>IFERROR(INDEX('שיבוץ'!$B$3:$B$152,MATCH('קבוצות'!$A$4&amp;"|"&amp;1,'שיבוץ'!$F$3:$F$152,0))&amp;"","")</f>
        <v/>
      </c>
      <c r="I27">
        <f>IFERROR(INDEX('שיבוץ'!$C$3:$C$152,MATCH('קבוצות'!$A$4&amp;"|"&amp;1,'שיבוץ'!$F$3:$F$152,0))&amp;"","")</f>
        <v/>
      </c>
      <c r="J27">
        <f>IFERROR(INDEX('שיבוץ'!$D$3:$D$152,MATCH('קבוצות'!$A$4&amp;"|"&amp;1,'שיבוץ'!$F$3:$F$152,0))&amp;"","")</f>
        <v/>
      </c>
    </row>
    <row r="28" ht="30" customHeight="1">
      <c r="A28" s="36">
        <f>IF($H28="","",IF($H28=$H27,"",$H28))</f>
        <v/>
      </c>
      <c r="B28" s="29">
        <f>$I28</f>
        <v/>
      </c>
      <c r="C28" s="30" t="n"/>
      <c r="D28" s="30" t="n"/>
      <c r="E28" s="31">
        <f>$J28</f>
        <v/>
      </c>
      <c r="F28" s="30" t="n"/>
      <c r="H28">
        <f>IFERROR(INDEX('שיבוץ'!$B$3:$B$152,MATCH('קבוצות'!$A$4&amp;"|"&amp;2,'שיבוץ'!$F$3:$F$152,0))&amp;"","")</f>
        <v/>
      </c>
      <c r="I28">
        <f>IFERROR(INDEX('שיבוץ'!$C$3:$C$152,MATCH('קבוצות'!$A$4&amp;"|"&amp;2,'שיבוץ'!$F$3:$F$152,0))&amp;"","")</f>
        <v/>
      </c>
      <c r="J28">
        <f>IFERROR(INDEX('שיבוץ'!$D$3:$D$152,MATCH('קבוצות'!$A$4&amp;"|"&amp;2,'שיבוץ'!$F$3:$F$152,0))&amp;"","")</f>
        <v/>
      </c>
    </row>
    <row r="29" ht="30" customHeight="1">
      <c r="A29" s="36">
        <f>IF($H29="","",IF($H29=$H28,"",$H29))</f>
        <v/>
      </c>
      <c r="B29" s="29">
        <f>$I29</f>
        <v/>
      </c>
      <c r="C29" s="30" t="n"/>
      <c r="D29" s="30" t="n"/>
      <c r="E29" s="31">
        <f>$J29</f>
        <v/>
      </c>
      <c r="F29" s="30" t="n"/>
      <c r="H29">
        <f>IFERROR(INDEX('שיבוץ'!$B$3:$B$152,MATCH('קבוצות'!$A$4&amp;"|"&amp;3,'שיבוץ'!$F$3:$F$152,0))&amp;"","")</f>
        <v/>
      </c>
      <c r="I29">
        <f>IFERROR(INDEX('שיבוץ'!$C$3:$C$152,MATCH('קבוצות'!$A$4&amp;"|"&amp;3,'שיבוץ'!$F$3:$F$152,0))&amp;"","")</f>
        <v/>
      </c>
      <c r="J29">
        <f>IFERROR(INDEX('שיבוץ'!$D$3:$D$152,MATCH('קבוצות'!$A$4&amp;"|"&amp;3,'שיבוץ'!$F$3:$F$152,0))&amp;"","")</f>
        <v/>
      </c>
    </row>
    <row r="30" ht="30" customHeight="1">
      <c r="A30" s="36">
        <f>IF($H30="","",IF($H30=$H29,"",$H30))</f>
        <v/>
      </c>
      <c r="B30" s="29">
        <f>$I30</f>
        <v/>
      </c>
      <c r="C30" s="30" t="n"/>
      <c r="D30" s="30" t="n"/>
      <c r="E30" s="31">
        <f>$J30</f>
        <v/>
      </c>
      <c r="F30" s="30" t="n"/>
      <c r="H30">
        <f>IFERROR(INDEX('שיבוץ'!$B$3:$B$152,MATCH('קבוצות'!$A$4&amp;"|"&amp;4,'שיבוץ'!$F$3:$F$152,0))&amp;"","")</f>
        <v/>
      </c>
      <c r="I30">
        <f>IFERROR(INDEX('שיבוץ'!$C$3:$C$152,MATCH('קבוצות'!$A$4&amp;"|"&amp;4,'שיבוץ'!$F$3:$F$152,0))&amp;"","")</f>
        <v/>
      </c>
      <c r="J30">
        <f>IFERROR(INDEX('שיבוץ'!$D$3:$D$152,MATCH('קבוצות'!$A$4&amp;"|"&amp;4,'שיבוץ'!$F$3:$F$152,0))&amp;"","")</f>
        <v/>
      </c>
    </row>
    <row r="31" ht="30" customHeight="1">
      <c r="A31" s="36">
        <f>IF($H31="","",IF($H31=$H30,"",$H31))</f>
        <v/>
      </c>
      <c r="B31" s="29">
        <f>$I31</f>
        <v/>
      </c>
      <c r="C31" s="30" t="n"/>
      <c r="D31" s="30" t="n"/>
      <c r="E31" s="31">
        <f>$J31</f>
        <v/>
      </c>
      <c r="F31" s="30" t="n"/>
      <c r="H31">
        <f>IFERROR(INDEX('שיבוץ'!$B$3:$B$152,MATCH('קבוצות'!$A$4&amp;"|"&amp;5,'שיבוץ'!$F$3:$F$152,0))&amp;"","")</f>
        <v/>
      </c>
      <c r="I31">
        <f>IFERROR(INDEX('שיבוץ'!$C$3:$C$152,MATCH('קבוצות'!$A$4&amp;"|"&amp;5,'שיבוץ'!$F$3:$F$152,0))&amp;"","")</f>
        <v/>
      </c>
      <c r="J31">
        <f>IFERROR(INDEX('שיבוץ'!$D$3:$D$152,MATCH('קבוצות'!$A$4&amp;"|"&amp;5,'שיבוץ'!$F$3:$F$152,0))&amp;"","")</f>
        <v/>
      </c>
    </row>
    <row r="32" ht="30" customHeight="1">
      <c r="A32" s="36">
        <f>IF($H32="","",IF($H32=$H31,"",$H32))</f>
        <v/>
      </c>
      <c r="B32" s="29">
        <f>$I32</f>
        <v/>
      </c>
      <c r="C32" s="30" t="n"/>
      <c r="D32" s="30" t="n"/>
      <c r="E32" s="31">
        <f>$J32</f>
        <v/>
      </c>
      <c r="F32" s="30" t="n"/>
      <c r="H32">
        <f>IFERROR(INDEX('שיבוץ'!$B$3:$B$152,MATCH('קבוצות'!$A$4&amp;"|"&amp;6,'שיבוץ'!$F$3:$F$152,0))&amp;"","")</f>
        <v/>
      </c>
      <c r="I32">
        <f>IFERROR(INDEX('שיבוץ'!$C$3:$C$152,MATCH('קבוצות'!$A$4&amp;"|"&amp;6,'שיבוץ'!$F$3:$F$152,0))&amp;"","")</f>
        <v/>
      </c>
      <c r="J32">
        <f>IFERROR(INDEX('שיבוץ'!$D$3:$D$152,MATCH('קבוצות'!$A$4&amp;"|"&amp;6,'שיבוץ'!$F$3:$F$152,0))&amp;"","")</f>
        <v/>
      </c>
    </row>
    <row r="33" ht="30" customHeight="1">
      <c r="A33" s="36">
        <f>IF($H33="","",IF($H33=$H32,"",$H33))</f>
        <v/>
      </c>
      <c r="B33" s="29">
        <f>$I33</f>
        <v/>
      </c>
      <c r="C33" s="30" t="n"/>
      <c r="D33" s="30" t="n"/>
      <c r="E33" s="31">
        <f>$J33</f>
        <v/>
      </c>
      <c r="F33" s="30" t="n"/>
      <c r="H33">
        <f>IFERROR(INDEX('שיבוץ'!$B$3:$B$152,MATCH('קבוצות'!$A$4&amp;"|"&amp;7,'שיבוץ'!$F$3:$F$152,0))&amp;"","")</f>
        <v/>
      </c>
      <c r="I33">
        <f>IFERROR(INDEX('שיבוץ'!$C$3:$C$152,MATCH('קבוצות'!$A$4&amp;"|"&amp;7,'שיבוץ'!$F$3:$F$152,0))&amp;"","")</f>
        <v/>
      </c>
      <c r="J33">
        <f>IFERROR(INDEX('שיבוץ'!$D$3:$D$152,MATCH('קבוצות'!$A$4&amp;"|"&amp;7,'שיבוץ'!$F$3:$F$152,0))&amp;"","")</f>
        <v/>
      </c>
    </row>
    <row r="34" ht="30" customHeight="1">
      <c r="A34" s="36">
        <f>IF($H34="","",IF($H34=$H33,"",$H34))</f>
        <v/>
      </c>
      <c r="B34" s="29">
        <f>$I34</f>
        <v/>
      </c>
      <c r="C34" s="30" t="n"/>
      <c r="D34" s="30" t="n"/>
      <c r="E34" s="31">
        <f>$J34</f>
        <v/>
      </c>
      <c r="F34" s="30" t="n"/>
      <c r="H34">
        <f>IFERROR(INDEX('שיבוץ'!$B$3:$B$152,MATCH('קבוצות'!$A$4&amp;"|"&amp;8,'שיבוץ'!$F$3:$F$152,0))&amp;"","")</f>
        <v/>
      </c>
      <c r="I34">
        <f>IFERROR(INDEX('שיבוץ'!$C$3:$C$152,MATCH('קבוצות'!$A$4&amp;"|"&amp;8,'שיבוץ'!$F$3:$F$152,0))&amp;"","")</f>
        <v/>
      </c>
      <c r="J34">
        <f>IFERROR(INDEX('שיבוץ'!$D$3:$D$152,MATCH('קבוצות'!$A$4&amp;"|"&amp;8,'שיבוץ'!$F$3:$F$152,0))&amp;"","")</f>
        <v/>
      </c>
    </row>
    <row r="35" ht="30" customHeight="1">
      <c r="A35" s="36">
        <f>IF($H35="","",IF($H35=$H34,"",$H35))</f>
        <v/>
      </c>
      <c r="B35" s="29">
        <f>$I35</f>
        <v/>
      </c>
      <c r="C35" s="30" t="n"/>
      <c r="D35" s="30" t="n"/>
      <c r="E35" s="31">
        <f>$J35</f>
        <v/>
      </c>
      <c r="F35" s="30" t="n"/>
      <c r="H35">
        <f>IFERROR(INDEX('שיבוץ'!$B$3:$B$152,MATCH('קבוצות'!$A$4&amp;"|"&amp;9,'שיבוץ'!$F$3:$F$152,0))&amp;"","")</f>
        <v/>
      </c>
      <c r="I35">
        <f>IFERROR(INDEX('שיבוץ'!$C$3:$C$152,MATCH('קבוצות'!$A$4&amp;"|"&amp;9,'שיבוץ'!$F$3:$F$152,0))&amp;"","")</f>
        <v/>
      </c>
      <c r="J35">
        <f>IFERROR(INDEX('שיבוץ'!$D$3:$D$152,MATCH('קבוצות'!$A$4&amp;"|"&amp;9,'שיבוץ'!$F$3:$F$152,0))&amp;"","")</f>
        <v/>
      </c>
    </row>
    <row r="36" ht="30" customHeight="1">
      <c r="A36" s="36">
        <f>IF($H36="","",IF($H36=$H35,"",$H36))</f>
        <v/>
      </c>
      <c r="B36" s="29">
        <f>$I36</f>
        <v/>
      </c>
      <c r="C36" s="30" t="n"/>
      <c r="D36" s="30" t="n"/>
      <c r="E36" s="31">
        <f>$J36</f>
        <v/>
      </c>
      <c r="F36" s="30" t="n"/>
      <c r="H36">
        <f>IFERROR(INDEX('שיבוץ'!$B$3:$B$152,MATCH('קבוצות'!$A$4&amp;"|"&amp;10,'שיבוץ'!$F$3:$F$152,0))&amp;"","")</f>
        <v/>
      </c>
      <c r="I36">
        <f>IFERROR(INDEX('שיבוץ'!$C$3:$C$152,MATCH('קבוצות'!$A$4&amp;"|"&amp;10,'שיבוץ'!$F$3:$F$152,0))&amp;"","")</f>
        <v/>
      </c>
      <c r="J36">
        <f>IFERROR(INDEX('שיבוץ'!$D$3:$D$152,MATCH('קבוצות'!$A$4&amp;"|"&amp;10,'שיבוץ'!$F$3:$F$152,0))&amp;"","")</f>
        <v/>
      </c>
    </row>
    <row r="37" ht="30" customHeight="1">
      <c r="A37" s="36">
        <f>IF($H37="","",IF($H37=$H36,"",$H37))</f>
        <v/>
      </c>
      <c r="B37" s="29">
        <f>$I37</f>
        <v/>
      </c>
      <c r="C37" s="30" t="n"/>
      <c r="D37" s="30" t="n"/>
      <c r="E37" s="31">
        <f>$J37</f>
        <v/>
      </c>
      <c r="F37" s="30" t="n"/>
      <c r="H37">
        <f>IFERROR(INDEX('שיבוץ'!$B$3:$B$152,MATCH('קבוצות'!$A$4&amp;"|"&amp;11,'שיבוץ'!$F$3:$F$152,0))&amp;"","")</f>
        <v/>
      </c>
      <c r="I37">
        <f>IFERROR(INDEX('שיבוץ'!$C$3:$C$152,MATCH('קבוצות'!$A$4&amp;"|"&amp;11,'שיבוץ'!$F$3:$F$152,0))&amp;"","")</f>
        <v/>
      </c>
      <c r="J37">
        <f>IFERROR(INDEX('שיבוץ'!$D$3:$D$152,MATCH('קבוצות'!$A$4&amp;"|"&amp;11,'שיבוץ'!$F$3:$F$152,0))&amp;"","")</f>
        <v/>
      </c>
    </row>
    <row r="38" ht="30" customHeight="1">
      <c r="A38" s="36">
        <f>IF($H38="","",IF($H38=$H37,"",$H38))</f>
        <v/>
      </c>
      <c r="B38" s="29">
        <f>$I38</f>
        <v/>
      </c>
      <c r="C38" s="30" t="n"/>
      <c r="D38" s="30" t="n"/>
      <c r="E38" s="31">
        <f>$J38</f>
        <v/>
      </c>
      <c r="F38" s="30" t="n"/>
      <c r="H38">
        <f>IFERROR(INDEX('שיבוץ'!$B$3:$B$152,MATCH('קבוצות'!$A$4&amp;"|"&amp;12,'שיבוץ'!$F$3:$F$152,0))&amp;"","")</f>
        <v/>
      </c>
      <c r="I38">
        <f>IFERROR(INDEX('שיבוץ'!$C$3:$C$152,MATCH('קבוצות'!$A$4&amp;"|"&amp;12,'שיבוץ'!$F$3:$F$152,0))&amp;"","")</f>
        <v/>
      </c>
      <c r="J38">
        <f>IFERROR(INDEX('שיבוץ'!$D$3:$D$152,MATCH('קבוצות'!$A$4&amp;"|"&amp;12,'שיבוץ'!$F$3:$F$152,0))&amp;"","")</f>
        <v/>
      </c>
    </row>
    <row r="39" ht="30" customHeight="1">
      <c r="A39" s="36">
        <f>IF($H39="","",IF($H39=$H38,"",$H39))</f>
        <v/>
      </c>
      <c r="B39" s="29">
        <f>$I39</f>
        <v/>
      </c>
      <c r="C39" s="30" t="n"/>
      <c r="D39" s="30" t="n"/>
      <c r="E39" s="31">
        <f>$J39</f>
        <v/>
      </c>
      <c r="F39" s="30" t="n"/>
      <c r="H39">
        <f>IFERROR(INDEX('שיבוץ'!$B$3:$B$152,MATCH('קבוצות'!$A$4&amp;"|"&amp;13,'שיבוץ'!$F$3:$F$152,0))&amp;"","")</f>
        <v/>
      </c>
      <c r="I39">
        <f>IFERROR(INDEX('שיבוץ'!$C$3:$C$152,MATCH('קבוצות'!$A$4&amp;"|"&amp;13,'שיבוץ'!$F$3:$F$152,0))&amp;"","")</f>
        <v/>
      </c>
      <c r="J39">
        <f>IFERROR(INDEX('שיבוץ'!$D$3:$D$152,MATCH('קבוצות'!$A$4&amp;"|"&amp;13,'שיבוץ'!$F$3:$F$152,0))&amp;"","")</f>
        <v/>
      </c>
    </row>
    <row r="40" ht="30" customHeight="1">
      <c r="A40" s="36">
        <f>IF($H40="","",IF($H40=$H39,"",$H40))</f>
        <v/>
      </c>
      <c r="B40" s="29">
        <f>$I40</f>
        <v/>
      </c>
      <c r="C40" s="30" t="n"/>
      <c r="D40" s="30" t="n"/>
      <c r="E40" s="31">
        <f>$J40</f>
        <v/>
      </c>
      <c r="F40" s="30" t="n"/>
      <c r="H40">
        <f>IFERROR(INDEX('שיבוץ'!$B$3:$B$152,MATCH('קבוצות'!$A$4&amp;"|"&amp;14,'שיבוץ'!$F$3:$F$152,0))&amp;"","")</f>
        <v/>
      </c>
      <c r="I40">
        <f>IFERROR(INDEX('שיבוץ'!$C$3:$C$152,MATCH('קבוצות'!$A$4&amp;"|"&amp;14,'שיבוץ'!$F$3:$F$152,0))&amp;"","")</f>
        <v/>
      </c>
      <c r="J40">
        <f>IFERROR(INDEX('שיבוץ'!$D$3:$D$152,MATCH('קבוצות'!$A$4&amp;"|"&amp;14,'שיבוץ'!$F$3:$F$152,0))&amp;"","")</f>
        <v/>
      </c>
    </row>
    <row r="41" ht="30" customHeight="1">
      <c r="A41" s="36">
        <f>IF($H41="","",IF($H41=$H40,"",$H41))</f>
        <v/>
      </c>
      <c r="B41" s="29">
        <f>$I41</f>
        <v/>
      </c>
      <c r="C41" s="30" t="n"/>
      <c r="D41" s="30" t="n"/>
      <c r="E41" s="31">
        <f>$J41</f>
        <v/>
      </c>
      <c r="F41" s="30" t="n"/>
      <c r="H41">
        <f>IFERROR(INDEX('שיבוץ'!$B$3:$B$152,MATCH('קבוצות'!$A$4&amp;"|"&amp;15,'שיבוץ'!$F$3:$F$152,0))&amp;"","")</f>
        <v/>
      </c>
      <c r="I41">
        <f>IFERROR(INDEX('שיבוץ'!$C$3:$C$152,MATCH('קבוצות'!$A$4&amp;"|"&amp;15,'שיבוץ'!$F$3:$F$152,0))&amp;"","")</f>
        <v/>
      </c>
      <c r="J41">
        <f>IFERROR(INDEX('שיבוץ'!$D$3:$D$152,MATCH('קבוצות'!$A$4&amp;"|"&amp;15,'שיבוץ'!$F$3:$F$152,0))&amp;"","")</f>
        <v/>
      </c>
    </row>
    <row r="42" ht="30" customHeight="1">
      <c r="A42" s="36">
        <f>IF($H42="","",IF($H42=$H41,"",$H42))</f>
        <v/>
      </c>
      <c r="B42" s="29">
        <f>$I42</f>
        <v/>
      </c>
      <c r="C42" s="30" t="n"/>
      <c r="D42" s="30" t="n"/>
      <c r="E42" s="31">
        <f>$J42</f>
        <v/>
      </c>
      <c r="F42" s="30" t="n"/>
      <c r="H42">
        <f>IFERROR(INDEX('שיבוץ'!$B$3:$B$152,MATCH('קבוצות'!$A$4&amp;"|"&amp;16,'שיבוץ'!$F$3:$F$152,0))&amp;"","")</f>
        <v/>
      </c>
      <c r="I42">
        <f>IFERROR(INDEX('שיבוץ'!$C$3:$C$152,MATCH('קבוצות'!$A$4&amp;"|"&amp;16,'שיבוץ'!$F$3:$F$152,0))&amp;"","")</f>
        <v/>
      </c>
      <c r="J42">
        <f>IFERROR(INDEX('שיבוץ'!$D$3:$D$152,MATCH('קבוצות'!$A$4&amp;"|"&amp;16,'שיבוץ'!$F$3:$F$152,0))&amp;"","")</f>
        <v/>
      </c>
    </row>
    <row r="43" ht="18" customHeight="1">
      <c r="A43" s="32">
        <f>IF(COUNTIF('שיבוץ'!$A$3:$A$152,'קבוצות'!$A$4)&gt;16,"⚠ לקבוצה יש עוד משימות שלא נכנסו לכרטיסייה — ראו «טופס נקי»","")</f>
        <v/>
      </c>
    </row>
    <row r="45" ht="42" customHeight="1">
      <c r="A45" s="37">
        <f>IF('קבוצות'!$A$5="","",'קבוצות'!$A$5)</f>
        <v/>
      </c>
    </row>
    <row r="46" ht="54" customHeight="1">
      <c r="A46" s="38">
        <f>IF('קבוצות'!$C$5="","",'קבוצות'!$C$5)</f>
        <v/>
      </c>
    </row>
    <row r="47" ht="20" customHeight="1">
      <c r="A47" s="39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48" ht="22" customHeight="1">
      <c r="A48" s="27" t="inlineStr">
        <is>
          <t>מתי</t>
        </is>
      </c>
      <c r="B48" s="27" t="inlineStr">
        <is>
          <t>משימה</t>
        </is>
      </c>
      <c r="E48" s="27" t="inlineStr">
        <is>
          <t>פרטים וכמויות</t>
        </is>
      </c>
    </row>
    <row r="49" ht="30" customHeight="1">
      <c r="A49" s="40">
        <f>IF($H49="","",IF($H49=$H48,"",$H49))</f>
        <v/>
      </c>
      <c r="B49" s="29">
        <f>$I49</f>
        <v/>
      </c>
      <c r="C49" s="30" t="n"/>
      <c r="D49" s="30" t="n"/>
      <c r="E49" s="31">
        <f>$J49</f>
        <v/>
      </c>
      <c r="F49" s="30" t="n"/>
      <c r="H49">
        <f>IFERROR(INDEX('שיבוץ'!$B$3:$B$152,MATCH('קבוצות'!$A$5&amp;"|"&amp;1,'שיבוץ'!$F$3:$F$152,0))&amp;"","")</f>
        <v/>
      </c>
      <c r="I49">
        <f>IFERROR(INDEX('שיבוץ'!$C$3:$C$152,MATCH('קבוצות'!$A$5&amp;"|"&amp;1,'שיבוץ'!$F$3:$F$152,0))&amp;"","")</f>
        <v/>
      </c>
      <c r="J49">
        <f>IFERROR(INDEX('שיבוץ'!$D$3:$D$152,MATCH('קבוצות'!$A$5&amp;"|"&amp;1,'שיבוץ'!$F$3:$F$152,0))&amp;"","")</f>
        <v/>
      </c>
    </row>
    <row r="50" ht="30" customHeight="1">
      <c r="A50" s="40">
        <f>IF($H50="","",IF($H50=$H49,"",$H50))</f>
        <v/>
      </c>
      <c r="B50" s="29">
        <f>$I50</f>
        <v/>
      </c>
      <c r="C50" s="30" t="n"/>
      <c r="D50" s="30" t="n"/>
      <c r="E50" s="31">
        <f>$J50</f>
        <v/>
      </c>
      <c r="F50" s="30" t="n"/>
      <c r="H50">
        <f>IFERROR(INDEX('שיבוץ'!$B$3:$B$152,MATCH('קבוצות'!$A$5&amp;"|"&amp;2,'שיבוץ'!$F$3:$F$152,0))&amp;"","")</f>
        <v/>
      </c>
      <c r="I50">
        <f>IFERROR(INDEX('שיבוץ'!$C$3:$C$152,MATCH('קבוצות'!$A$5&amp;"|"&amp;2,'שיבוץ'!$F$3:$F$152,0))&amp;"","")</f>
        <v/>
      </c>
      <c r="J50">
        <f>IFERROR(INDEX('שיבוץ'!$D$3:$D$152,MATCH('קבוצות'!$A$5&amp;"|"&amp;2,'שיבוץ'!$F$3:$F$152,0))&amp;"","")</f>
        <v/>
      </c>
    </row>
    <row r="51" ht="30" customHeight="1">
      <c r="A51" s="40">
        <f>IF($H51="","",IF($H51=$H50,"",$H51))</f>
        <v/>
      </c>
      <c r="B51" s="29">
        <f>$I51</f>
        <v/>
      </c>
      <c r="C51" s="30" t="n"/>
      <c r="D51" s="30" t="n"/>
      <c r="E51" s="31">
        <f>$J51</f>
        <v/>
      </c>
      <c r="F51" s="30" t="n"/>
      <c r="H51">
        <f>IFERROR(INDEX('שיבוץ'!$B$3:$B$152,MATCH('קבוצות'!$A$5&amp;"|"&amp;3,'שיבוץ'!$F$3:$F$152,0))&amp;"","")</f>
        <v/>
      </c>
      <c r="I51">
        <f>IFERROR(INDEX('שיבוץ'!$C$3:$C$152,MATCH('קבוצות'!$A$5&amp;"|"&amp;3,'שיבוץ'!$F$3:$F$152,0))&amp;"","")</f>
        <v/>
      </c>
      <c r="J51">
        <f>IFERROR(INDEX('שיבוץ'!$D$3:$D$152,MATCH('קבוצות'!$A$5&amp;"|"&amp;3,'שיבוץ'!$F$3:$F$152,0))&amp;"","")</f>
        <v/>
      </c>
    </row>
    <row r="52" ht="30" customHeight="1">
      <c r="A52" s="40">
        <f>IF($H52="","",IF($H52=$H51,"",$H52))</f>
        <v/>
      </c>
      <c r="B52" s="29">
        <f>$I52</f>
        <v/>
      </c>
      <c r="C52" s="30" t="n"/>
      <c r="D52" s="30" t="n"/>
      <c r="E52" s="31">
        <f>$J52</f>
        <v/>
      </c>
      <c r="F52" s="30" t="n"/>
      <c r="H52">
        <f>IFERROR(INDEX('שיבוץ'!$B$3:$B$152,MATCH('קבוצות'!$A$5&amp;"|"&amp;4,'שיבוץ'!$F$3:$F$152,0))&amp;"","")</f>
        <v/>
      </c>
      <c r="I52">
        <f>IFERROR(INDEX('שיבוץ'!$C$3:$C$152,MATCH('קבוצות'!$A$5&amp;"|"&amp;4,'שיבוץ'!$F$3:$F$152,0))&amp;"","")</f>
        <v/>
      </c>
      <c r="J52">
        <f>IFERROR(INDEX('שיבוץ'!$D$3:$D$152,MATCH('קבוצות'!$A$5&amp;"|"&amp;4,'שיבוץ'!$F$3:$F$152,0))&amp;"","")</f>
        <v/>
      </c>
    </row>
    <row r="53" ht="30" customHeight="1">
      <c r="A53" s="40">
        <f>IF($H53="","",IF($H53=$H52,"",$H53))</f>
        <v/>
      </c>
      <c r="B53" s="29">
        <f>$I53</f>
        <v/>
      </c>
      <c r="C53" s="30" t="n"/>
      <c r="D53" s="30" t="n"/>
      <c r="E53" s="31">
        <f>$J53</f>
        <v/>
      </c>
      <c r="F53" s="30" t="n"/>
      <c r="H53">
        <f>IFERROR(INDEX('שיבוץ'!$B$3:$B$152,MATCH('קבוצות'!$A$5&amp;"|"&amp;5,'שיבוץ'!$F$3:$F$152,0))&amp;"","")</f>
        <v/>
      </c>
      <c r="I53">
        <f>IFERROR(INDEX('שיבוץ'!$C$3:$C$152,MATCH('קבוצות'!$A$5&amp;"|"&amp;5,'שיבוץ'!$F$3:$F$152,0))&amp;"","")</f>
        <v/>
      </c>
      <c r="J53">
        <f>IFERROR(INDEX('שיבוץ'!$D$3:$D$152,MATCH('קבוצות'!$A$5&amp;"|"&amp;5,'שיבוץ'!$F$3:$F$152,0))&amp;"","")</f>
        <v/>
      </c>
    </row>
    <row r="54" ht="30" customHeight="1">
      <c r="A54" s="40">
        <f>IF($H54="","",IF($H54=$H53,"",$H54))</f>
        <v/>
      </c>
      <c r="B54" s="29">
        <f>$I54</f>
        <v/>
      </c>
      <c r="C54" s="30" t="n"/>
      <c r="D54" s="30" t="n"/>
      <c r="E54" s="31">
        <f>$J54</f>
        <v/>
      </c>
      <c r="F54" s="30" t="n"/>
      <c r="H54">
        <f>IFERROR(INDEX('שיבוץ'!$B$3:$B$152,MATCH('קבוצות'!$A$5&amp;"|"&amp;6,'שיבוץ'!$F$3:$F$152,0))&amp;"","")</f>
        <v/>
      </c>
      <c r="I54">
        <f>IFERROR(INDEX('שיבוץ'!$C$3:$C$152,MATCH('קבוצות'!$A$5&amp;"|"&amp;6,'שיבוץ'!$F$3:$F$152,0))&amp;"","")</f>
        <v/>
      </c>
      <c r="J54">
        <f>IFERROR(INDEX('שיבוץ'!$D$3:$D$152,MATCH('קבוצות'!$A$5&amp;"|"&amp;6,'שיבוץ'!$F$3:$F$152,0))&amp;"","")</f>
        <v/>
      </c>
    </row>
    <row r="55" ht="30" customHeight="1">
      <c r="A55" s="40">
        <f>IF($H55="","",IF($H55=$H54,"",$H55))</f>
        <v/>
      </c>
      <c r="B55" s="29">
        <f>$I55</f>
        <v/>
      </c>
      <c r="C55" s="30" t="n"/>
      <c r="D55" s="30" t="n"/>
      <c r="E55" s="31">
        <f>$J55</f>
        <v/>
      </c>
      <c r="F55" s="30" t="n"/>
      <c r="H55">
        <f>IFERROR(INDEX('שיבוץ'!$B$3:$B$152,MATCH('קבוצות'!$A$5&amp;"|"&amp;7,'שיבוץ'!$F$3:$F$152,0))&amp;"","")</f>
        <v/>
      </c>
      <c r="I55">
        <f>IFERROR(INDEX('שיבוץ'!$C$3:$C$152,MATCH('קבוצות'!$A$5&amp;"|"&amp;7,'שיבוץ'!$F$3:$F$152,0))&amp;"","")</f>
        <v/>
      </c>
      <c r="J55">
        <f>IFERROR(INDEX('שיבוץ'!$D$3:$D$152,MATCH('קבוצות'!$A$5&amp;"|"&amp;7,'שיבוץ'!$F$3:$F$152,0))&amp;"","")</f>
        <v/>
      </c>
    </row>
    <row r="56" ht="30" customHeight="1">
      <c r="A56" s="40">
        <f>IF($H56="","",IF($H56=$H55,"",$H56))</f>
        <v/>
      </c>
      <c r="B56" s="29">
        <f>$I56</f>
        <v/>
      </c>
      <c r="C56" s="30" t="n"/>
      <c r="D56" s="30" t="n"/>
      <c r="E56" s="31">
        <f>$J56</f>
        <v/>
      </c>
      <c r="F56" s="30" t="n"/>
      <c r="H56">
        <f>IFERROR(INDEX('שיבוץ'!$B$3:$B$152,MATCH('קבוצות'!$A$5&amp;"|"&amp;8,'שיבוץ'!$F$3:$F$152,0))&amp;"","")</f>
        <v/>
      </c>
      <c r="I56">
        <f>IFERROR(INDEX('שיבוץ'!$C$3:$C$152,MATCH('קבוצות'!$A$5&amp;"|"&amp;8,'שיבוץ'!$F$3:$F$152,0))&amp;"","")</f>
        <v/>
      </c>
      <c r="J56">
        <f>IFERROR(INDEX('שיבוץ'!$D$3:$D$152,MATCH('קבוצות'!$A$5&amp;"|"&amp;8,'שיבוץ'!$F$3:$F$152,0))&amp;"","")</f>
        <v/>
      </c>
    </row>
    <row r="57" ht="30" customHeight="1">
      <c r="A57" s="40">
        <f>IF($H57="","",IF($H57=$H56,"",$H57))</f>
        <v/>
      </c>
      <c r="B57" s="29">
        <f>$I57</f>
        <v/>
      </c>
      <c r="C57" s="30" t="n"/>
      <c r="D57" s="30" t="n"/>
      <c r="E57" s="31">
        <f>$J57</f>
        <v/>
      </c>
      <c r="F57" s="30" t="n"/>
      <c r="H57">
        <f>IFERROR(INDEX('שיבוץ'!$B$3:$B$152,MATCH('קבוצות'!$A$5&amp;"|"&amp;9,'שיבוץ'!$F$3:$F$152,0))&amp;"","")</f>
        <v/>
      </c>
      <c r="I57">
        <f>IFERROR(INDEX('שיבוץ'!$C$3:$C$152,MATCH('קבוצות'!$A$5&amp;"|"&amp;9,'שיבוץ'!$F$3:$F$152,0))&amp;"","")</f>
        <v/>
      </c>
      <c r="J57">
        <f>IFERROR(INDEX('שיבוץ'!$D$3:$D$152,MATCH('קבוצות'!$A$5&amp;"|"&amp;9,'שיבוץ'!$F$3:$F$152,0))&amp;"","")</f>
        <v/>
      </c>
    </row>
    <row r="58" ht="30" customHeight="1">
      <c r="A58" s="40">
        <f>IF($H58="","",IF($H58=$H57,"",$H58))</f>
        <v/>
      </c>
      <c r="B58" s="29">
        <f>$I58</f>
        <v/>
      </c>
      <c r="C58" s="30" t="n"/>
      <c r="D58" s="30" t="n"/>
      <c r="E58" s="31">
        <f>$J58</f>
        <v/>
      </c>
      <c r="F58" s="30" t="n"/>
      <c r="H58">
        <f>IFERROR(INDEX('שיבוץ'!$B$3:$B$152,MATCH('קבוצות'!$A$5&amp;"|"&amp;10,'שיבוץ'!$F$3:$F$152,0))&amp;"","")</f>
        <v/>
      </c>
      <c r="I58">
        <f>IFERROR(INDEX('שיבוץ'!$C$3:$C$152,MATCH('קבוצות'!$A$5&amp;"|"&amp;10,'שיבוץ'!$F$3:$F$152,0))&amp;"","")</f>
        <v/>
      </c>
      <c r="J58">
        <f>IFERROR(INDEX('שיבוץ'!$D$3:$D$152,MATCH('קבוצות'!$A$5&amp;"|"&amp;10,'שיבוץ'!$F$3:$F$152,0))&amp;"","")</f>
        <v/>
      </c>
    </row>
    <row r="59" ht="30" customHeight="1">
      <c r="A59" s="40">
        <f>IF($H59="","",IF($H59=$H58,"",$H59))</f>
        <v/>
      </c>
      <c r="B59" s="29">
        <f>$I59</f>
        <v/>
      </c>
      <c r="C59" s="30" t="n"/>
      <c r="D59" s="30" t="n"/>
      <c r="E59" s="31">
        <f>$J59</f>
        <v/>
      </c>
      <c r="F59" s="30" t="n"/>
      <c r="H59">
        <f>IFERROR(INDEX('שיבוץ'!$B$3:$B$152,MATCH('קבוצות'!$A$5&amp;"|"&amp;11,'שיבוץ'!$F$3:$F$152,0))&amp;"","")</f>
        <v/>
      </c>
      <c r="I59">
        <f>IFERROR(INDEX('שיבוץ'!$C$3:$C$152,MATCH('קבוצות'!$A$5&amp;"|"&amp;11,'שיבוץ'!$F$3:$F$152,0))&amp;"","")</f>
        <v/>
      </c>
      <c r="J59">
        <f>IFERROR(INDEX('שיבוץ'!$D$3:$D$152,MATCH('קבוצות'!$A$5&amp;"|"&amp;11,'שיבוץ'!$F$3:$F$152,0))&amp;"","")</f>
        <v/>
      </c>
    </row>
    <row r="60" ht="30" customHeight="1">
      <c r="A60" s="40">
        <f>IF($H60="","",IF($H60=$H59,"",$H60))</f>
        <v/>
      </c>
      <c r="B60" s="29">
        <f>$I60</f>
        <v/>
      </c>
      <c r="C60" s="30" t="n"/>
      <c r="D60" s="30" t="n"/>
      <c r="E60" s="31">
        <f>$J60</f>
        <v/>
      </c>
      <c r="F60" s="30" t="n"/>
      <c r="H60">
        <f>IFERROR(INDEX('שיבוץ'!$B$3:$B$152,MATCH('קבוצות'!$A$5&amp;"|"&amp;12,'שיבוץ'!$F$3:$F$152,0))&amp;"","")</f>
        <v/>
      </c>
      <c r="I60">
        <f>IFERROR(INDEX('שיבוץ'!$C$3:$C$152,MATCH('קבוצות'!$A$5&amp;"|"&amp;12,'שיבוץ'!$F$3:$F$152,0))&amp;"","")</f>
        <v/>
      </c>
      <c r="J60">
        <f>IFERROR(INDEX('שיבוץ'!$D$3:$D$152,MATCH('קבוצות'!$A$5&amp;"|"&amp;12,'שיבוץ'!$F$3:$F$152,0))&amp;"","")</f>
        <v/>
      </c>
    </row>
    <row r="61" ht="30" customHeight="1">
      <c r="A61" s="40">
        <f>IF($H61="","",IF($H61=$H60,"",$H61))</f>
        <v/>
      </c>
      <c r="B61" s="29">
        <f>$I61</f>
        <v/>
      </c>
      <c r="C61" s="30" t="n"/>
      <c r="D61" s="30" t="n"/>
      <c r="E61" s="31">
        <f>$J61</f>
        <v/>
      </c>
      <c r="F61" s="30" t="n"/>
      <c r="H61">
        <f>IFERROR(INDEX('שיבוץ'!$B$3:$B$152,MATCH('קבוצות'!$A$5&amp;"|"&amp;13,'שיבוץ'!$F$3:$F$152,0))&amp;"","")</f>
        <v/>
      </c>
      <c r="I61">
        <f>IFERROR(INDEX('שיבוץ'!$C$3:$C$152,MATCH('קבוצות'!$A$5&amp;"|"&amp;13,'שיבוץ'!$F$3:$F$152,0))&amp;"","")</f>
        <v/>
      </c>
      <c r="J61">
        <f>IFERROR(INDEX('שיבוץ'!$D$3:$D$152,MATCH('קבוצות'!$A$5&amp;"|"&amp;13,'שיבוץ'!$F$3:$F$152,0))&amp;"","")</f>
        <v/>
      </c>
    </row>
    <row r="62" ht="30" customHeight="1">
      <c r="A62" s="40">
        <f>IF($H62="","",IF($H62=$H61,"",$H62))</f>
        <v/>
      </c>
      <c r="B62" s="29">
        <f>$I62</f>
        <v/>
      </c>
      <c r="C62" s="30" t="n"/>
      <c r="D62" s="30" t="n"/>
      <c r="E62" s="31">
        <f>$J62</f>
        <v/>
      </c>
      <c r="F62" s="30" t="n"/>
      <c r="H62">
        <f>IFERROR(INDEX('שיבוץ'!$B$3:$B$152,MATCH('קבוצות'!$A$5&amp;"|"&amp;14,'שיבוץ'!$F$3:$F$152,0))&amp;"","")</f>
        <v/>
      </c>
      <c r="I62">
        <f>IFERROR(INDEX('שיבוץ'!$C$3:$C$152,MATCH('קבוצות'!$A$5&amp;"|"&amp;14,'שיבוץ'!$F$3:$F$152,0))&amp;"","")</f>
        <v/>
      </c>
      <c r="J62">
        <f>IFERROR(INDEX('שיבוץ'!$D$3:$D$152,MATCH('קבוצות'!$A$5&amp;"|"&amp;14,'שיבוץ'!$F$3:$F$152,0))&amp;"","")</f>
        <v/>
      </c>
    </row>
    <row r="63" ht="30" customHeight="1">
      <c r="A63" s="40">
        <f>IF($H63="","",IF($H63=$H62,"",$H63))</f>
        <v/>
      </c>
      <c r="B63" s="29">
        <f>$I63</f>
        <v/>
      </c>
      <c r="C63" s="30" t="n"/>
      <c r="D63" s="30" t="n"/>
      <c r="E63" s="31">
        <f>$J63</f>
        <v/>
      </c>
      <c r="F63" s="30" t="n"/>
      <c r="H63">
        <f>IFERROR(INDEX('שיבוץ'!$B$3:$B$152,MATCH('קבוצות'!$A$5&amp;"|"&amp;15,'שיבוץ'!$F$3:$F$152,0))&amp;"","")</f>
        <v/>
      </c>
      <c r="I63">
        <f>IFERROR(INDEX('שיבוץ'!$C$3:$C$152,MATCH('קבוצות'!$A$5&amp;"|"&amp;15,'שיבוץ'!$F$3:$F$152,0))&amp;"","")</f>
        <v/>
      </c>
      <c r="J63">
        <f>IFERROR(INDEX('שיבוץ'!$D$3:$D$152,MATCH('קבוצות'!$A$5&amp;"|"&amp;15,'שיבוץ'!$F$3:$F$152,0))&amp;"","")</f>
        <v/>
      </c>
    </row>
    <row r="64" ht="30" customHeight="1">
      <c r="A64" s="40">
        <f>IF($H64="","",IF($H64=$H63,"",$H64))</f>
        <v/>
      </c>
      <c r="B64" s="29">
        <f>$I64</f>
        <v/>
      </c>
      <c r="C64" s="30" t="n"/>
      <c r="D64" s="30" t="n"/>
      <c r="E64" s="31">
        <f>$J64</f>
        <v/>
      </c>
      <c r="F64" s="30" t="n"/>
      <c r="H64">
        <f>IFERROR(INDEX('שיבוץ'!$B$3:$B$152,MATCH('קבוצות'!$A$5&amp;"|"&amp;16,'שיבוץ'!$F$3:$F$152,0))&amp;"","")</f>
        <v/>
      </c>
      <c r="I64">
        <f>IFERROR(INDEX('שיבוץ'!$C$3:$C$152,MATCH('קבוצות'!$A$5&amp;"|"&amp;16,'שיבוץ'!$F$3:$F$152,0))&amp;"","")</f>
        <v/>
      </c>
      <c r="J64">
        <f>IFERROR(INDEX('שיבוץ'!$D$3:$D$152,MATCH('קבוצות'!$A$5&amp;"|"&amp;16,'שיבוץ'!$F$3:$F$152,0))&amp;"","")</f>
        <v/>
      </c>
    </row>
    <row r="65" ht="18" customHeight="1">
      <c r="A65" s="32">
        <f>IF(COUNTIF('שיבוץ'!$A$3:$A$152,'קבוצות'!$A$5)&gt;16,"⚠ לקבוצה יש עוד משימות שלא נכנסו לכרטיסייה — ראו «טופס נקי»","")</f>
        <v/>
      </c>
    </row>
    <row r="67" ht="42" customHeight="1">
      <c r="A67" s="41">
        <f>IF('קבוצות'!$A$6="","",'קבוצות'!$A$6)</f>
        <v/>
      </c>
    </row>
    <row r="68" ht="54" customHeight="1">
      <c r="A68" s="42">
        <f>IF('קבוצות'!$C$6="","",'קבוצות'!$C$6)</f>
        <v/>
      </c>
    </row>
    <row r="69" ht="20" customHeight="1">
      <c r="A69" s="43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70" ht="22" customHeight="1">
      <c r="A70" s="27" t="inlineStr">
        <is>
          <t>מתי</t>
        </is>
      </c>
      <c r="B70" s="27" t="inlineStr">
        <is>
          <t>משימה</t>
        </is>
      </c>
      <c r="E70" s="27" t="inlineStr">
        <is>
          <t>פרטים וכמויות</t>
        </is>
      </c>
    </row>
    <row r="71" ht="30" customHeight="1">
      <c r="A71" s="44">
        <f>IF($H71="","",IF($H71=$H70,"",$H71))</f>
        <v/>
      </c>
      <c r="B71" s="29">
        <f>$I71</f>
        <v/>
      </c>
      <c r="C71" s="30" t="n"/>
      <c r="D71" s="30" t="n"/>
      <c r="E71" s="31">
        <f>$J71</f>
        <v/>
      </c>
      <c r="F71" s="30" t="n"/>
      <c r="H71">
        <f>IFERROR(INDEX('שיבוץ'!$B$3:$B$152,MATCH('קבוצות'!$A$6&amp;"|"&amp;1,'שיבוץ'!$F$3:$F$152,0))&amp;"","")</f>
        <v/>
      </c>
      <c r="I71">
        <f>IFERROR(INDEX('שיבוץ'!$C$3:$C$152,MATCH('קבוצות'!$A$6&amp;"|"&amp;1,'שיבוץ'!$F$3:$F$152,0))&amp;"","")</f>
        <v/>
      </c>
      <c r="J71">
        <f>IFERROR(INDEX('שיבוץ'!$D$3:$D$152,MATCH('קבוצות'!$A$6&amp;"|"&amp;1,'שיבוץ'!$F$3:$F$152,0))&amp;"","")</f>
        <v/>
      </c>
    </row>
    <row r="72" ht="30" customHeight="1">
      <c r="A72" s="44">
        <f>IF($H72="","",IF($H72=$H71,"",$H72))</f>
        <v/>
      </c>
      <c r="B72" s="29">
        <f>$I72</f>
        <v/>
      </c>
      <c r="C72" s="30" t="n"/>
      <c r="D72" s="30" t="n"/>
      <c r="E72" s="31">
        <f>$J72</f>
        <v/>
      </c>
      <c r="F72" s="30" t="n"/>
      <c r="H72">
        <f>IFERROR(INDEX('שיבוץ'!$B$3:$B$152,MATCH('קבוצות'!$A$6&amp;"|"&amp;2,'שיבוץ'!$F$3:$F$152,0))&amp;"","")</f>
        <v/>
      </c>
      <c r="I72">
        <f>IFERROR(INDEX('שיבוץ'!$C$3:$C$152,MATCH('קבוצות'!$A$6&amp;"|"&amp;2,'שיבוץ'!$F$3:$F$152,0))&amp;"","")</f>
        <v/>
      </c>
      <c r="J72">
        <f>IFERROR(INDEX('שיבוץ'!$D$3:$D$152,MATCH('קבוצות'!$A$6&amp;"|"&amp;2,'שיבוץ'!$F$3:$F$152,0))&amp;"","")</f>
        <v/>
      </c>
    </row>
    <row r="73" ht="30" customHeight="1">
      <c r="A73" s="44">
        <f>IF($H73="","",IF($H73=$H72,"",$H73))</f>
        <v/>
      </c>
      <c r="B73" s="29">
        <f>$I73</f>
        <v/>
      </c>
      <c r="C73" s="30" t="n"/>
      <c r="D73" s="30" t="n"/>
      <c r="E73" s="31">
        <f>$J73</f>
        <v/>
      </c>
      <c r="F73" s="30" t="n"/>
      <c r="H73">
        <f>IFERROR(INDEX('שיבוץ'!$B$3:$B$152,MATCH('קבוצות'!$A$6&amp;"|"&amp;3,'שיבוץ'!$F$3:$F$152,0))&amp;"","")</f>
        <v/>
      </c>
      <c r="I73">
        <f>IFERROR(INDEX('שיבוץ'!$C$3:$C$152,MATCH('קבוצות'!$A$6&amp;"|"&amp;3,'שיבוץ'!$F$3:$F$152,0))&amp;"","")</f>
        <v/>
      </c>
      <c r="J73">
        <f>IFERROR(INDEX('שיבוץ'!$D$3:$D$152,MATCH('קבוצות'!$A$6&amp;"|"&amp;3,'שיבוץ'!$F$3:$F$152,0))&amp;"","")</f>
        <v/>
      </c>
    </row>
    <row r="74" ht="30" customHeight="1">
      <c r="A74" s="44">
        <f>IF($H74="","",IF($H74=$H73,"",$H74))</f>
        <v/>
      </c>
      <c r="B74" s="29">
        <f>$I74</f>
        <v/>
      </c>
      <c r="C74" s="30" t="n"/>
      <c r="D74" s="30" t="n"/>
      <c r="E74" s="31">
        <f>$J74</f>
        <v/>
      </c>
      <c r="F74" s="30" t="n"/>
      <c r="H74">
        <f>IFERROR(INDEX('שיבוץ'!$B$3:$B$152,MATCH('קבוצות'!$A$6&amp;"|"&amp;4,'שיבוץ'!$F$3:$F$152,0))&amp;"","")</f>
        <v/>
      </c>
      <c r="I74">
        <f>IFERROR(INDEX('שיבוץ'!$C$3:$C$152,MATCH('קבוצות'!$A$6&amp;"|"&amp;4,'שיבוץ'!$F$3:$F$152,0))&amp;"","")</f>
        <v/>
      </c>
      <c r="J74">
        <f>IFERROR(INDEX('שיבוץ'!$D$3:$D$152,MATCH('קבוצות'!$A$6&amp;"|"&amp;4,'שיבוץ'!$F$3:$F$152,0))&amp;"","")</f>
        <v/>
      </c>
    </row>
    <row r="75" ht="30" customHeight="1">
      <c r="A75" s="44">
        <f>IF($H75="","",IF($H75=$H74,"",$H75))</f>
        <v/>
      </c>
      <c r="B75" s="29">
        <f>$I75</f>
        <v/>
      </c>
      <c r="C75" s="30" t="n"/>
      <c r="D75" s="30" t="n"/>
      <c r="E75" s="31">
        <f>$J75</f>
        <v/>
      </c>
      <c r="F75" s="30" t="n"/>
      <c r="H75">
        <f>IFERROR(INDEX('שיבוץ'!$B$3:$B$152,MATCH('קבוצות'!$A$6&amp;"|"&amp;5,'שיבוץ'!$F$3:$F$152,0))&amp;"","")</f>
        <v/>
      </c>
      <c r="I75">
        <f>IFERROR(INDEX('שיבוץ'!$C$3:$C$152,MATCH('קבוצות'!$A$6&amp;"|"&amp;5,'שיבוץ'!$F$3:$F$152,0))&amp;"","")</f>
        <v/>
      </c>
      <c r="J75">
        <f>IFERROR(INDEX('שיבוץ'!$D$3:$D$152,MATCH('קבוצות'!$A$6&amp;"|"&amp;5,'שיבוץ'!$F$3:$F$152,0))&amp;"","")</f>
        <v/>
      </c>
    </row>
    <row r="76" ht="30" customHeight="1">
      <c r="A76" s="44">
        <f>IF($H76="","",IF($H76=$H75,"",$H76))</f>
        <v/>
      </c>
      <c r="B76" s="29">
        <f>$I76</f>
        <v/>
      </c>
      <c r="C76" s="30" t="n"/>
      <c r="D76" s="30" t="n"/>
      <c r="E76" s="31">
        <f>$J76</f>
        <v/>
      </c>
      <c r="F76" s="30" t="n"/>
      <c r="H76">
        <f>IFERROR(INDEX('שיבוץ'!$B$3:$B$152,MATCH('קבוצות'!$A$6&amp;"|"&amp;6,'שיבוץ'!$F$3:$F$152,0))&amp;"","")</f>
        <v/>
      </c>
      <c r="I76">
        <f>IFERROR(INDEX('שיבוץ'!$C$3:$C$152,MATCH('קבוצות'!$A$6&amp;"|"&amp;6,'שיבוץ'!$F$3:$F$152,0))&amp;"","")</f>
        <v/>
      </c>
      <c r="J76">
        <f>IFERROR(INDEX('שיבוץ'!$D$3:$D$152,MATCH('קבוצות'!$A$6&amp;"|"&amp;6,'שיבוץ'!$F$3:$F$152,0))&amp;"","")</f>
        <v/>
      </c>
    </row>
    <row r="77" ht="30" customHeight="1">
      <c r="A77" s="44">
        <f>IF($H77="","",IF($H77=$H76,"",$H77))</f>
        <v/>
      </c>
      <c r="B77" s="29">
        <f>$I77</f>
        <v/>
      </c>
      <c r="C77" s="30" t="n"/>
      <c r="D77" s="30" t="n"/>
      <c r="E77" s="31">
        <f>$J77</f>
        <v/>
      </c>
      <c r="F77" s="30" t="n"/>
      <c r="H77">
        <f>IFERROR(INDEX('שיבוץ'!$B$3:$B$152,MATCH('קבוצות'!$A$6&amp;"|"&amp;7,'שיבוץ'!$F$3:$F$152,0))&amp;"","")</f>
        <v/>
      </c>
      <c r="I77">
        <f>IFERROR(INDEX('שיבוץ'!$C$3:$C$152,MATCH('קבוצות'!$A$6&amp;"|"&amp;7,'שיבוץ'!$F$3:$F$152,0))&amp;"","")</f>
        <v/>
      </c>
      <c r="J77">
        <f>IFERROR(INDEX('שיבוץ'!$D$3:$D$152,MATCH('קבוצות'!$A$6&amp;"|"&amp;7,'שיבוץ'!$F$3:$F$152,0))&amp;"","")</f>
        <v/>
      </c>
    </row>
    <row r="78" ht="30" customHeight="1">
      <c r="A78" s="44">
        <f>IF($H78="","",IF($H78=$H77,"",$H78))</f>
        <v/>
      </c>
      <c r="B78" s="29">
        <f>$I78</f>
        <v/>
      </c>
      <c r="C78" s="30" t="n"/>
      <c r="D78" s="30" t="n"/>
      <c r="E78" s="31">
        <f>$J78</f>
        <v/>
      </c>
      <c r="F78" s="30" t="n"/>
      <c r="H78">
        <f>IFERROR(INDEX('שיבוץ'!$B$3:$B$152,MATCH('קבוצות'!$A$6&amp;"|"&amp;8,'שיבוץ'!$F$3:$F$152,0))&amp;"","")</f>
        <v/>
      </c>
      <c r="I78">
        <f>IFERROR(INDEX('שיבוץ'!$C$3:$C$152,MATCH('קבוצות'!$A$6&amp;"|"&amp;8,'שיבוץ'!$F$3:$F$152,0))&amp;"","")</f>
        <v/>
      </c>
      <c r="J78">
        <f>IFERROR(INDEX('שיבוץ'!$D$3:$D$152,MATCH('קבוצות'!$A$6&amp;"|"&amp;8,'שיבוץ'!$F$3:$F$152,0))&amp;"","")</f>
        <v/>
      </c>
    </row>
    <row r="79" ht="30" customHeight="1">
      <c r="A79" s="44">
        <f>IF($H79="","",IF($H79=$H78,"",$H79))</f>
        <v/>
      </c>
      <c r="B79" s="29">
        <f>$I79</f>
        <v/>
      </c>
      <c r="C79" s="30" t="n"/>
      <c r="D79" s="30" t="n"/>
      <c r="E79" s="31">
        <f>$J79</f>
        <v/>
      </c>
      <c r="F79" s="30" t="n"/>
      <c r="H79">
        <f>IFERROR(INDEX('שיבוץ'!$B$3:$B$152,MATCH('קבוצות'!$A$6&amp;"|"&amp;9,'שיבוץ'!$F$3:$F$152,0))&amp;"","")</f>
        <v/>
      </c>
      <c r="I79">
        <f>IFERROR(INDEX('שיבוץ'!$C$3:$C$152,MATCH('קבוצות'!$A$6&amp;"|"&amp;9,'שיבוץ'!$F$3:$F$152,0))&amp;"","")</f>
        <v/>
      </c>
      <c r="J79">
        <f>IFERROR(INDEX('שיבוץ'!$D$3:$D$152,MATCH('קבוצות'!$A$6&amp;"|"&amp;9,'שיבוץ'!$F$3:$F$152,0))&amp;"","")</f>
        <v/>
      </c>
    </row>
    <row r="80" ht="30" customHeight="1">
      <c r="A80" s="44">
        <f>IF($H80="","",IF($H80=$H79,"",$H80))</f>
        <v/>
      </c>
      <c r="B80" s="29">
        <f>$I80</f>
        <v/>
      </c>
      <c r="C80" s="30" t="n"/>
      <c r="D80" s="30" t="n"/>
      <c r="E80" s="31">
        <f>$J80</f>
        <v/>
      </c>
      <c r="F80" s="30" t="n"/>
      <c r="H80">
        <f>IFERROR(INDEX('שיבוץ'!$B$3:$B$152,MATCH('קבוצות'!$A$6&amp;"|"&amp;10,'שיבוץ'!$F$3:$F$152,0))&amp;"","")</f>
        <v/>
      </c>
      <c r="I80">
        <f>IFERROR(INDEX('שיבוץ'!$C$3:$C$152,MATCH('קבוצות'!$A$6&amp;"|"&amp;10,'שיבוץ'!$F$3:$F$152,0))&amp;"","")</f>
        <v/>
      </c>
      <c r="J80">
        <f>IFERROR(INDEX('שיבוץ'!$D$3:$D$152,MATCH('קבוצות'!$A$6&amp;"|"&amp;10,'שיבוץ'!$F$3:$F$152,0))&amp;"","")</f>
        <v/>
      </c>
    </row>
    <row r="81" ht="30" customHeight="1">
      <c r="A81" s="44">
        <f>IF($H81="","",IF($H81=$H80,"",$H81))</f>
        <v/>
      </c>
      <c r="B81" s="29">
        <f>$I81</f>
        <v/>
      </c>
      <c r="C81" s="30" t="n"/>
      <c r="D81" s="30" t="n"/>
      <c r="E81" s="31">
        <f>$J81</f>
        <v/>
      </c>
      <c r="F81" s="30" t="n"/>
      <c r="H81">
        <f>IFERROR(INDEX('שיבוץ'!$B$3:$B$152,MATCH('קבוצות'!$A$6&amp;"|"&amp;11,'שיבוץ'!$F$3:$F$152,0))&amp;"","")</f>
        <v/>
      </c>
      <c r="I81">
        <f>IFERROR(INDEX('שיבוץ'!$C$3:$C$152,MATCH('קבוצות'!$A$6&amp;"|"&amp;11,'שיבוץ'!$F$3:$F$152,0))&amp;"","")</f>
        <v/>
      </c>
      <c r="J81">
        <f>IFERROR(INDEX('שיבוץ'!$D$3:$D$152,MATCH('קבוצות'!$A$6&amp;"|"&amp;11,'שיבוץ'!$F$3:$F$152,0))&amp;"","")</f>
        <v/>
      </c>
    </row>
    <row r="82" ht="30" customHeight="1">
      <c r="A82" s="44">
        <f>IF($H82="","",IF($H82=$H81,"",$H82))</f>
        <v/>
      </c>
      <c r="B82" s="29">
        <f>$I82</f>
        <v/>
      </c>
      <c r="C82" s="30" t="n"/>
      <c r="D82" s="30" t="n"/>
      <c r="E82" s="31">
        <f>$J82</f>
        <v/>
      </c>
      <c r="F82" s="30" t="n"/>
      <c r="H82">
        <f>IFERROR(INDEX('שיבוץ'!$B$3:$B$152,MATCH('קבוצות'!$A$6&amp;"|"&amp;12,'שיבוץ'!$F$3:$F$152,0))&amp;"","")</f>
        <v/>
      </c>
      <c r="I82">
        <f>IFERROR(INDEX('שיבוץ'!$C$3:$C$152,MATCH('קבוצות'!$A$6&amp;"|"&amp;12,'שיבוץ'!$F$3:$F$152,0))&amp;"","")</f>
        <v/>
      </c>
      <c r="J82">
        <f>IFERROR(INDEX('שיבוץ'!$D$3:$D$152,MATCH('קבוצות'!$A$6&amp;"|"&amp;12,'שיבוץ'!$F$3:$F$152,0))&amp;"","")</f>
        <v/>
      </c>
    </row>
    <row r="83" ht="30" customHeight="1">
      <c r="A83" s="44">
        <f>IF($H83="","",IF($H83=$H82,"",$H83))</f>
        <v/>
      </c>
      <c r="B83" s="29">
        <f>$I83</f>
        <v/>
      </c>
      <c r="C83" s="30" t="n"/>
      <c r="D83" s="30" t="n"/>
      <c r="E83" s="31">
        <f>$J83</f>
        <v/>
      </c>
      <c r="F83" s="30" t="n"/>
      <c r="H83">
        <f>IFERROR(INDEX('שיבוץ'!$B$3:$B$152,MATCH('קבוצות'!$A$6&amp;"|"&amp;13,'שיבוץ'!$F$3:$F$152,0))&amp;"","")</f>
        <v/>
      </c>
      <c r="I83">
        <f>IFERROR(INDEX('שיבוץ'!$C$3:$C$152,MATCH('קבוצות'!$A$6&amp;"|"&amp;13,'שיבוץ'!$F$3:$F$152,0))&amp;"","")</f>
        <v/>
      </c>
      <c r="J83">
        <f>IFERROR(INDEX('שיבוץ'!$D$3:$D$152,MATCH('קבוצות'!$A$6&amp;"|"&amp;13,'שיבוץ'!$F$3:$F$152,0))&amp;"","")</f>
        <v/>
      </c>
    </row>
    <row r="84" ht="30" customHeight="1">
      <c r="A84" s="44">
        <f>IF($H84="","",IF($H84=$H83,"",$H84))</f>
        <v/>
      </c>
      <c r="B84" s="29">
        <f>$I84</f>
        <v/>
      </c>
      <c r="C84" s="30" t="n"/>
      <c r="D84" s="30" t="n"/>
      <c r="E84" s="31">
        <f>$J84</f>
        <v/>
      </c>
      <c r="F84" s="30" t="n"/>
      <c r="H84">
        <f>IFERROR(INDEX('שיבוץ'!$B$3:$B$152,MATCH('קבוצות'!$A$6&amp;"|"&amp;14,'שיבוץ'!$F$3:$F$152,0))&amp;"","")</f>
        <v/>
      </c>
      <c r="I84">
        <f>IFERROR(INDEX('שיבוץ'!$C$3:$C$152,MATCH('קבוצות'!$A$6&amp;"|"&amp;14,'שיבוץ'!$F$3:$F$152,0))&amp;"","")</f>
        <v/>
      </c>
      <c r="J84">
        <f>IFERROR(INDEX('שיבוץ'!$D$3:$D$152,MATCH('קבוצות'!$A$6&amp;"|"&amp;14,'שיבוץ'!$F$3:$F$152,0))&amp;"","")</f>
        <v/>
      </c>
    </row>
    <row r="85" ht="30" customHeight="1">
      <c r="A85" s="44">
        <f>IF($H85="","",IF($H85=$H84,"",$H85))</f>
        <v/>
      </c>
      <c r="B85" s="29">
        <f>$I85</f>
        <v/>
      </c>
      <c r="C85" s="30" t="n"/>
      <c r="D85" s="30" t="n"/>
      <c r="E85" s="31">
        <f>$J85</f>
        <v/>
      </c>
      <c r="F85" s="30" t="n"/>
      <c r="H85">
        <f>IFERROR(INDEX('שיבוץ'!$B$3:$B$152,MATCH('קבוצות'!$A$6&amp;"|"&amp;15,'שיבוץ'!$F$3:$F$152,0))&amp;"","")</f>
        <v/>
      </c>
      <c r="I85">
        <f>IFERROR(INDEX('שיבוץ'!$C$3:$C$152,MATCH('קבוצות'!$A$6&amp;"|"&amp;15,'שיבוץ'!$F$3:$F$152,0))&amp;"","")</f>
        <v/>
      </c>
      <c r="J85">
        <f>IFERROR(INDEX('שיבוץ'!$D$3:$D$152,MATCH('קבוצות'!$A$6&amp;"|"&amp;15,'שיבוץ'!$F$3:$F$152,0))&amp;"","")</f>
        <v/>
      </c>
    </row>
    <row r="86" ht="30" customHeight="1">
      <c r="A86" s="44">
        <f>IF($H86="","",IF($H86=$H85,"",$H86))</f>
        <v/>
      </c>
      <c r="B86" s="29">
        <f>$I86</f>
        <v/>
      </c>
      <c r="C86" s="30" t="n"/>
      <c r="D86" s="30" t="n"/>
      <c r="E86" s="31">
        <f>$J86</f>
        <v/>
      </c>
      <c r="F86" s="30" t="n"/>
      <c r="H86">
        <f>IFERROR(INDEX('שיבוץ'!$B$3:$B$152,MATCH('קבוצות'!$A$6&amp;"|"&amp;16,'שיבוץ'!$F$3:$F$152,0))&amp;"","")</f>
        <v/>
      </c>
      <c r="I86">
        <f>IFERROR(INDEX('שיבוץ'!$C$3:$C$152,MATCH('קבוצות'!$A$6&amp;"|"&amp;16,'שיבוץ'!$F$3:$F$152,0))&amp;"","")</f>
        <v/>
      </c>
      <c r="J86">
        <f>IFERROR(INDEX('שיבוץ'!$D$3:$D$152,MATCH('קבוצות'!$A$6&amp;"|"&amp;16,'שיבוץ'!$F$3:$F$152,0))&amp;"","")</f>
        <v/>
      </c>
    </row>
    <row r="87" ht="18" customHeight="1">
      <c r="A87" s="32">
        <f>IF(COUNTIF('שיבוץ'!$A$3:$A$152,'קבוצות'!$A$6)&gt;16,"⚠ לקבוצה יש עוד משימות שלא נכנסו לכרטיסייה — ראו «טופס נקי»","")</f>
        <v/>
      </c>
    </row>
    <row r="89" ht="42" customHeight="1">
      <c r="A89" s="45">
        <f>IF('קבוצות'!$A$7="","",'קבוצות'!$A$7)</f>
        <v/>
      </c>
    </row>
    <row r="90" ht="54" customHeight="1">
      <c r="A90" s="46">
        <f>IF('קבוצות'!$C$7="","",'קבוצות'!$C$7)</f>
        <v/>
      </c>
    </row>
    <row r="91" ht="20" customHeight="1">
      <c r="A91" s="47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92" ht="22" customHeight="1">
      <c r="A92" s="27" t="inlineStr">
        <is>
          <t>מתי</t>
        </is>
      </c>
      <c r="B92" s="27" t="inlineStr">
        <is>
          <t>משימה</t>
        </is>
      </c>
      <c r="E92" s="27" t="inlineStr">
        <is>
          <t>פרטים וכמויות</t>
        </is>
      </c>
    </row>
    <row r="93" ht="30" customHeight="1">
      <c r="A93" s="48">
        <f>IF($H93="","",IF($H93=$H92,"",$H93))</f>
        <v/>
      </c>
      <c r="B93" s="29">
        <f>$I93</f>
        <v/>
      </c>
      <c r="C93" s="30" t="n"/>
      <c r="D93" s="30" t="n"/>
      <c r="E93" s="31">
        <f>$J93</f>
        <v/>
      </c>
      <c r="F93" s="30" t="n"/>
      <c r="H93">
        <f>IFERROR(INDEX('שיבוץ'!$B$3:$B$152,MATCH('קבוצות'!$A$7&amp;"|"&amp;1,'שיבוץ'!$F$3:$F$152,0))&amp;"","")</f>
        <v/>
      </c>
      <c r="I93">
        <f>IFERROR(INDEX('שיבוץ'!$C$3:$C$152,MATCH('קבוצות'!$A$7&amp;"|"&amp;1,'שיבוץ'!$F$3:$F$152,0))&amp;"","")</f>
        <v/>
      </c>
      <c r="J93">
        <f>IFERROR(INDEX('שיבוץ'!$D$3:$D$152,MATCH('קבוצות'!$A$7&amp;"|"&amp;1,'שיבוץ'!$F$3:$F$152,0))&amp;"","")</f>
        <v/>
      </c>
    </row>
    <row r="94" ht="30" customHeight="1">
      <c r="A94" s="48">
        <f>IF($H94="","",IF($H94=$H93,"",$H94))</f>
        <v/>
      </c>
      <c r="B94" s="29">
        <f>$I94</f>
        <v/>
      </c>
      <c r="C94" s="30" t="n"/>
      <c r="D94" s="30" t="n"/>
      <c r="E94" s="31">
        <f>$J94</f>
        <v/>
      </c>
      <c r="F94" s="30" t="n"/>
      <c r="H94">
        <f>IFERROR(INDEX('שיבוץ'!$B$3:$B$152,MATCH('קבוצות'!$A$7&amp;"|"&amp;2,'שיבוץ'!$F$3:$F$152,0))&amp;"","")</f>
        <v/>
      </c>
      <c r="I94">
        <f>IFERROR(INDEX('שיבוץ'!$C$3:$C$152,MATCH('קבוצות'!$A$7&amp;"|"&amp;2,'שיבוץ'!$F$3:$F$152,0))&amp;"","")</f>
        <v/>
      </c>
      <c r="J94">
        <f>IFERROR(INDEX('שיבוץ'!$D$3:$D$152,MATCH('קבוצות'!$A$7&amp;"|"&amp;2,'שיבוץ'!$F$3:$F$152,0))&amp;"","")</f>
        <v/>
      </c>
    </row>
    <row r="95" ht="30" customHeight="1">
      <c r="A95" s="48">
        <f>IF($H95="","",IF($H95=$H94,"",$H95))</f>
        <v/>
      </c>
      <c r="B95" s="29">
        <f>$I95</f>
        <v/>
      </c>
      <c r="C95" s="30" t="n"/>
      <c r="D95" s="30" t="n"/>
      <c r="E95" s="31">
        <f>$J95</f>
        <v/>
      </c>
      <c r="F95" s="30" t="n"/>
      <c r="H95">
        <f>IFERROR(INDEX('שיבוץ'!$B$3:$B$152,MATCH('קבוצות'!$A$7&amp;"|"&amp;3,'שיבוץ'!$F$3:$F$152,0))&amp;"","")</f>
        <v/>
      </c>
      <c r="I95">
        <f>IFERROR(INDEX('שיבוץ'!$C$3:$C$152,MATCH('קבוצות'!$A$7&amp;"|"&amp;3,'שיבוץ'!$F$3:$F$152,0))&amp;"","")</f>
        <v/>
      </c>
      <c r="J95">
        <f>IFERROR(INDEX('שיבוץ'!$D$3:$D$152,MATCH('קבוצות'!$A$7&amp;"|"&amp;3,'שיבוץ'!$F$3:$F$152,0))&amp;"","")</f>
        <v/>
      </c>
    </row>
    <row r="96" ht="30" customHeight="1">
      <c r="A96" s="48">
        <f>IF($H96="","",IF($H96=$H95,"",$H96))</f>
        <v/>
      </c>
      <c r="B96" s="29">
        <f>$I96</f>
        <v/>
      </c>
      <c r="C96" s="30" t="n"/>
      <c r="D96" s="30" t="n"/>
      <c r="E96" s="31">
        <f>$J96</f>
        <v/>
      </c>
      <c r="F96" s="30" t="n"/>
      <c r="H96">
        <f>IFERROR(INDEX('שיבוץ'!$B$3:$B$152,MATCH('קבוצות'!$A$7&amp;"|"&amp;4,'שיבוץ'!$F$3:$F$152,0))&amp;"","")</f>
        <v/>
      </c>
      <c r="I96">
        <f>IFERROR(INDEX('שיבוץ'!$C$3:$C$152,MATCH('קבוצות'!$A$7&amp;"|"&amp;4,'שיבוץ'!$F$3:$F$152,0))&amp;"","")</f>
        <v/>
      </c>
      <c r="J96">
        <f>IFERROR(INDEX('שיבוץ'!$D$3:$D$152,MATCH('קבוצות'!$A$7&amp;"|"&amp;4,'שיבוץ'!$F$3:$F$152,0))&amp;"","")</f>
        <v/>
      </c>
    </row>
    <row r="97" ht="30" customHeight="1">
      <c r="A97" s="48">
        <f>IF($H97="","",IF($H97=$H96,"",$H97))</f>
        <v/>
      </c>
      <c r="B97" s="29">
        <f>$I97</f>
        <v/>
      </c>
      <c r="C97" s="30" t="n"/>
      <c r="D97" s="30" t="n"/>
      <c r="E97" s="31">
        <f>$J97</f>
        <v/>
      </c>
      <c r="F97" s="30" t="n"/>
      <c r="H97">
        <f>IFERROR(INDEX('שיבוץ'!$B$3:$B$152,MATCH('קבוצות'!$A$7&amp;"|"&amp;5,'שיבוץ'!$F$3:$F$152,0))&amp;"","")</f>
        <v/>
      </c>
      <c r="I97">
        <f>IFERROR(INDEX('שיבוץ'!$C$3:$C$152,MATCH('קבוצות'!$A$7&amp;"|"&amp;5,'שיבוץ'!$F$3:$F$152,0))&amp;"","")</f>
        <v/>
      </c>
      <c r="J97">
        <f>IFERROR(INDEX('שיבוץ'!$D$3:$D$152,MATCH('קבוצות'!$A$7&amp;"|"&amp;5,'שיבוץ'!$F$3:$F$152,0))&amp;"","")</f>
        <v/>
      </c>
    </row>
    <row r="98" ht="30" customHeight="1">
      <c r="A98" s="48">
        <f>IF($H98="","",IF($H98=$H97,"",$H98))</f>
        <v/>
      </c>
      <c r="B98" s="29">
        <f>$I98</f>
        <v/>
      </c>
      <c r="C98" s="30" t="n"/>
      <c r="D98" s="30" t="n"/>
      <c r="E98" s="31">
        <f>$J98</f>
        <v/>
      </c>
      <c r="F98" s="30" t="n"/>
      <c r="H98">
        <f>IFERROR(INDEX('שיבוץ'!$B$3:$B$152,MATCH('קבוצות'!$A$7&amp;"|"&amp;6,'שיבוץ'!$F$3:$F$152,0))&amp;"","")</f>
        <v/>
      </c>
      <c r="I98">
        <f>IFERROR(INDEX('שיבוץ'!$C$3:$C$152,MATCH('קבוצות'!$A$7&amp;"|"&amp;6,'שיבוץ'!$F$3:$F$152,0))&amp;"","")</f>
        <v/>
      </c>
      <c r="J98">
        <f>IFERROR(INDEX('שיבוץ'!$D$3:$D$152,MATCH('קבוצות'!$A$7&amp;"|"&amp;6,'שיבוץ'!$F$3:$F$152,0))&amp;"","")</f>
        <v/>
      </c>
    </row>
    <row r="99" ht="30" customHeight="1">
      <c r="A99" s="48">
        <f>IF($H99="","",IF($H99=$H98,"",$H99))</f>
        <v/>
      </c>
      <c r="B99" s="29">
        <f>$I99</f>
        <v/>
      </c>
      <c r="C99" s="30" t="n"/>
      <c r="D99" s="30" t="n"/>
      <c r="E99" s="31">
        <f>$J99</f>
        <v/>
      </c>
      <c r="F99" s="30" t="n"/>
      <c r="H99">
        <f>IFERROR(INDEX('שיבוץ'!$B$3:$B$152,MATCH('קבוצות'!$A$7&amp;"|"&amp;7,'שיבוץ'!$F$3:$F$152,0))&amp;"","")</f>
        <v/>
      </c>
      <c r="I99">
        <f>IFERROR(INDEX('שיבוץ'!$C$3:$C$152,MATCH('קבוצות'!$A$7&amp;"|"&amp;7,'שיבוץ'!$F$3:$F$152,0))&amp;"","")</f>
        <v/>
      </c>
      <c r="J99">
        <f>IFERROR(INDEX('שיבוץ'!$D$3:$D$152,MATCH('קבוצות'!$A$7&amp;"|"&amp;7,'שיבוץ'!$F$3:$F$152,0))&amp;"","")</f>
        <v/>
      </c>
    </row>
    <row r="100" ht="30" customHeight="1">
      <c r="A100" s="48">
        <f>IF($H100="","",IF($H100=$H99,"",$H100))</f>
        <v/>
      </c>
      <c r="B100" s="29">
        <f>$I100</f>
        <v/>
      </c>
      <c r="C100" s="30" t="n"/>
      <c r="D100" s="30" t="n"/>
      <c r="E100" s="31">
        <f>$J100</f>
        <v/>
      </c>
      <c r="F100" s="30" t="n"/>
      <c r="H100">
        <f>IFERROR(INDEX('שיבוץ'!$B$3:$B$152,MATCH('קבוצות'!$A$7&amp;"|"&amp;8,'שיבוץ'!$F$3:$F$152,0))&amp;"","")</f>
        <v/>
      </c>
      <c r="I100">
        <f>IFERROR(INDEX('שיבוץ'!$C$3:$C$152,MATCH('קבוצות'!$A$7&amp;"|"&amp;8,'שיבוץ'!$F$3:$F$152,0))&amp;"","")</f>
        <v/>
      </c>
      <c r="J100">
        <f>IFERROR(INDEX('שיבוץ'!$D$3:$D$152,MATCH('קבוצות'!$A$7&amp;"|"&amp;8,'שיבוץ'!$F$3:$F$152,0))&amp;"","")</f>
        <v/>
      </c>
    </row>
    <row r="101" ht="30" customHeight="1">
      <c r="A101" s="48">
        <f>IF($H101="","",IF($H101=$H100,"",$H101))</f>
        <v/>
      </c>
      <c r="B101" s="29">
        <f>$I101</f>
        <v/>
      </c>
      <c r="C101" s="30" t="n"/>
      <c r="D101" s="30" t="n"/>
      <c r="E101" s="31">
        <f>$J101</f>
        <v/>
      </c>
      <c r="F101" s="30" t="n"/>
      <c r="H101">
        <f>IFERROR(INDEX('שיבוץ'!$B$3:$B$152,MATCH('קבוצות'!$A$7&amp;"|"&amp;9,'שיבוץ'!$F$3:$F$152,0))&amp;"","")</f>
        <v/>
      </c>
      <c r="I101">
        <f>IFERROR(INDEX('שיבוץ'!$C$3:$C$152,MATCH('קבוצות'!$A$7&amp;"|"&amp;9,'שיבוץ'!$F$3:$F$152,0))&amp;"","")</f>
        <v/>
      </c>
      <c r="J101">
        <f>IFERROR(INDEX('שיבוץ'!$D$3:$D$152,MATCH('קבוצות'!$A$7&amp;"|"&amp;9,'שיבוץ'!$F$3:$F$152,0))&amp;"","")</f>
        <v/>
      </c>
    </row>
    <row r="102" ht="30" customHeight="1">
      <c r="A102" s="48">
        <f>IF($H102="","",IF($H102=$H101,"",$H102))</f>
        <v/>
      </c>
      <c r="B102" s="29">
        <f>$I102</f>
        <v/>
      </c>
      <c r="C102" s="30" t="n"/>
      <c r="D102" s="30" t="n"/>
      <c r="E102" s="31">
        <f>$J102</f>
        <v/>
      </c>
      <c r="F102" s="30" t="n"/>
      <c r="H102">
        <f>IFERROR(INDEX('שיבוץ'!$B$3:$B$152,MATCH('קבוצות'!$A$7&amp;"|"&amp;10,'שיבוץ'!$F$3:$F$152,0))&amp;"","")</f>
        <v/>
      </c>
      <c r="I102">
        <f>IFERROR(INDEX('שיבוץ'!$C$3:$C$152,MATCH('קבוצות'!$A$7&amp;"|"&amp;10,'שיבוץ'!$F$3:$F$152,0))&amp;"","")</f>
        <v/>
      </c>
      <c r="J102">
        <f>IFERROR(INDEX('שיבוץ'!$D$3:$D$152,MATCH('קבוצות'!$A$7&amp;"|"&amp;10,'שיבוץ'!$F$3:$F$152,0))&amp;"","")</f>
        <v/>
      </c>
    </row>
    <row r="103" ht="30" customHeight="1">
      <c r="A103" s="48">
        <f>IF($H103="","",IF($H103=$H102,"",$H103))</f>
        <v/>
      </c>
      <c r="B103" s="29">
        <f>$I103</f>
        <v/>
      </c>
      <c r="C103" s="30" t="n"/>
      <c r="D103" s="30" t="n"/>
      <c r="E103" s="31">
        <f>$J103</f>
        <v/>
      </c>
      <c r="F103" s="30" t="n"/>
      <c r="H103">
        <f>IFERROR(INDEX('שיבוץ'!$B$3:$B$152,MATCH('קבוצות'!$A$7&amp;"|"&amp;11,'שיבוץ'!$F$3:$F$152,0))&amp;"","")</f>
        <v/>
      </c>
      <c r="I103">
        <f>IFERROR(INDEX('שיבוץ'!$C$3:$C$152,MATCH('קבוצות'!$A$7&amp;"|"&amp;11,'שיבוץ'!$F$3:$F$152,0))&amp;"","")</f>
        <v/>
      </c>
      <c r="J103">
        <f>IFERROR(INDEX('שיבוץ'!$D$3:$D$152,MATCH('קבוצות'!$A$7&amp;"|"&amp;11,'שיבוץ'!$F$3:$F$152,0))&amp;"","")</f>
        <v/>
      </c>
    </row>
    <row r="104" ht="30" customHeight="1">
      <c r="A104" s="48">
        <f>IF($H104="","",IF($H104=$H103,"",$H104))</f>
        <v/>
      </c>
      <c r="B104" s="29">
        <f>$I104</f>
        <v/>
      </c>
      <c r="C104" s="30" t="n"/>
      <c r="D104" s="30" t="n"/>
      <c r="E104" s="31">
        <f>$J104</f>
        <v/>
      </c>
      <c r="F104" s="30" t="n"/>
      <c r="H104">
        <f>IFERROR(INDEX('שיבוץ'!$B$3:$B$152,MATCH('קבוצות'!$A$7&amp;"|"&amp;12,'שיבוץ'!$F$3:$F$152,0))&amp;"","")</f>
        <v/>
      </c>
      <c r="I104">
        <f>IFERROR(INDEX('שיבוץ'!$C$3:$C$152,MATCH('קבוצות'!$A$7&amp;"|"&amp;12,'שיבוץ'!$F$3:$F$152,0))&amp;"","")</f>
        <v/>
      </c>
      <c r="J104">
        <f>IFERROR(INDEX('שיבוץ'!$D$3:$D$152,MATCH('קבוצות'!$A$7&amp;"|"&amp;12,'שיבוץ'!$F$3:$F$152,0))&amp;"","")</f>
        <v/>
      </c>
    </row>
    <row r="105" ht="30" customHeight="1">
      <c r="A105" s="48">
        <f>IF($H105="","",IF($H105=$H104,"",$H105))</f>
        <v/>
      </c>
      <c r="B105" s="29">
        <f>$I105</f>
        <v/>
      </c>
      <c r="C105" s="30" t="n"/>
      <c r="D105" s="30" t="n"/>
      <c r="E105" s="31">
        <f>$J105</f>
        <v/>
      </c>
      <c r="F105" s="30" t="n"/>
      <c r="H105">
        <f>IFERROR(INDEX('שיבוץ'!$B$3:$B$152,MATCH('קבוצות'!$A$7&amp;"|"&amp;13,'שיבוץ'!$F$3:$F$152,0))&amp;"","")</f>
        <v/>
      </c>
      <c r="I105">
        <f>IFERROR(INDEX('שיבוץ'!$C$3:$C$152,MATCH('קבוצות'!$A$7&amp;"|"&amp;13,'שיבוץ'!$F$3:$F$152,0))&amp;"","")</f>
        <v/>
      </c>
      <c r="J105">
        <f>IFERROR(INDEX('שיבוץ'!$D$3:$D$152,MATCH('קבוצות'!$A$7&amp;"|"&amp;13,'שיבוץ'!$F$3:$F$152,0))&amp;"","")</f>
        <v/>
      </c>
    </row>
    <row r="106" ht="30" customHeight="1">
      <c r="A106" s="48">
        <f>IF($H106="","",IF($H106=$H105,"",$H106))</f>
        <v/>
      </c>
      <c r="B106" s="29">
        <f>$I106</f>
        <v/>
      </c>
      <c r="C106" s="30" t="n"/>
      <c r="D106" s="30" t="n"/>
      <c r="E106" s="31">
        <f>$J106</f>
        <v/>
      </c>
      <c r="F106" s="30" t="n"/>
      <c r="H106">
        <f>IFERROR(INDEX('שיבוץ'!$B$3:$B$152,MATCH('קבוצות'!$A$7&amp;"|"&amp;14,'שיבוץ'!$F$3:$F$152,0))&amp;"","")</f>
        <v/>
      </c>
      <c r="I106">
        <f>IFERROR(INDEX('שיבוץ'!$C$3:$C$152,MATCH('קבוצות'!$A$7&amp;"|"&amp;14,'שיבוץ'!$F$3:$F$152,0))&amp;"","")</f>
        <v/>
      </c>
      <c r="J106">
        <f>IFERROR(INDEX('שיבוץ'!$D$3:$D$152,MATCH('קבוצות'!$A$7&amp;"|"&amp;14,'שיבוץ'!$F$3:$F$152,0))&amp;"","")</f>
        <v/>
      </c>
    </row>
    <row r="107" ht="30" customHeight="1">
      <c r="A107" s="48">
        <f>IF($H107="","",IF($H107=$H106,"",$H107))</f>
        <v/>
      </c>
      <c r="B107" s="29">
        <f>$I107</f>
        <v/>
      </c>
      <c r="C107" s="30" t="n"/>
      <c r="D107" s="30" t="n"/>
      <c r="E107" s="31">
        <f>$J107</f>
        <v/>
      </c>
      <c r="F107" s="30" t="n"/>
      <c r="H107">
        <f>IFERROR(INDEX('שיבוץ'!$B$3:$B$152,MATCH('קבוצות'!$A$7&amp;"|"&amp;15,'שיבוץ'!$F$3:$F$152,0))&amp;"","")</f>
        <v/>
      </c>
      <c r="I107">
        <f>IFERROR(INDEX('שיבוץ'!$C$3:$C$152,MATCH('קבוצות'!$A$7&amp;"|"&amp;15,'שיבוץ'!$F$3:$F$152,0))&amp;"","")</f>
        <v/>
      </c>
      <c r="J107">
        <f>IFERROR(INDEX('שיבוץ'!$D$3:$D$152,MATCH('קבוצות'!$A$7&amp;"|"&amp;15,'שיבוץ'!$F$3:$F$152,0))&amp;"","")</f>
        <v/>
      </c>
    </row>
    <row r="108" ht="30" customHeight="1">
      <c r="A108" s="48">
        <f>IF($H108="","",IF($H108=$H107,"",$H108))</f>
        <v/>
      </c>
      <c r="B108" s="29">
        <f>$I108</f>
        <v/>
      </c>
      <c r="C108" s="30" t="n"/>
      <c r="D108" s="30" t="n"/>
      <c r="E108" s="31">
        <f>$J108</f>
        <v/>
      </c>
      <c r="F108" s="30" t="n"/>
      <c r="H108">
        <f>IFERROR(INDEX('שיבוץ'!$B$3:$B$152,MATCH('קבוצות'!$A$7&amp;"|"&amp;16,'שיבוץ'!$F$3:$F$152,0))&amp;"","")</f>
        <v/>
      </c>
      <c r="I108">
        <f>IFERROR(INDEX('שיבוץ'!$C$3:$C$152,MATCH('קבוצות'!$A$7&amp;"|"&amp;16,'שיבוץ'!$F$3:$F$152,0))&amp;"","")</f>
        <v/>
      </c>
      <c r="J108">
        <f>IFERROR(INDEX('שיבוץ'!$D$3:$D$152,MATCH('קבוצות'!$A$7&amp;"|"&amp;16,'שיבוץ'!$F$3:$F$152,0))&amp;"","")</f>
        <v/>
      </c>
    </row>
    <row r="109" ht="18" customHeight="1">
      <c r="A109" s="32">
        <f>IF(COUNTIF('שיבוץ'!$A$3:$A$152,'קבוצות'!$A$7)&gt;16,"⚠ לקבוצה יש עוד משימות שלא נכנסו לכרטיסייה — ראו «טופס נקי»","")</f>
        <v/>
      </c>
    </row>
    <row r="111" ht="42" customHeight="1">
      <c r="A111" s="49">
        <f>IF('קבוצות'!$A$8="","",'קבוצות'!$A$8)</f>
        <v/>
      </c>
    </row>
    <row r="112" ht="54" customHeight="1">
      <c r="A112" s="50">
        <f>IF('קבוצות'!$C$8="","",'קבוצות'!$C$8)</f>
        <v/>
      </c>
    </row>
    <row r="113" ht="20" customHeight="1">
      <c r="A113" s="51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14" ht="22" customHeight="1">
      <c r="A114" s="27" t="inlineStr">
        <is>
          <t>מתי</t>
        </is>
      </c>
      <c r="B114" s="27" t="inlineStr">
        <is>
          <t>משימה</t>
        </is>
      </c>
      <c r="E114" s="27" t="inlineStr">
        <is>
          <t>פרטים וכמויות</t>
        </is>
      </c>
    </row>
    <row r="115" ht="30" customHeight="1">
      <c r="A115" s="52">
        <f>IF($H115="","",IF($H115=$H114,"",$H115))</f>
        <v/>
      </c>
      <c r="B115" s="29">
        <f>$I115</f>
        <v/>
      </c>
      <c r="C115" s="30" t="n"/>
      <c r="D115" s="30" t="n"/>
      <c r="E115" s="31">
        <f>$J115</f>
        <v/>
      </c>
      <c r="F115" s="30" t="n"/>
      <c r="H115">
        <f>IFERROR(INDEX('שיבוץ'!$B$3:$B$152,MATCH('קבוצות'!$A$8&amp;"|"&amp;1,'שיבוץ'!$F$3:$F$152,0))&amp;"","")</f>
        <v/>
      </c>
      <c r="I115">
        <f>IFERROR(INDEX('שיבוץ'!$C$3:$C$152,MATCH('קבוצות'!$A$8&amp;"|"&amp;1,'שיבוץ'!$F$3:$F$152,0))&amp;"","")</f>
        <v/>
      </c>
      <c r="J115">
        <f>IFERROR(INDEX('שיבוץ'!$D$3:$D$152,MATCH('קבוצות'!$A$8&amp;"|"&amp;1,'שיבוץ'!$F$3:$F$152,0))&amp;"","")</f>
        <v/>
      </c>
    </row>
    <row r="116" ht="30" customHeight="1">
      <c r="A116" s="52">
        <f>IF($H116="","",IF($H116=$H115,"",$H116))</f>
        <v/>
      </c>
      <c r="B116" s="29">
        <f>$I116</f>
        <v/>
      </c>
      <c r="C116" s="30" t="n"/>
      <c r="D116" s="30" t="n"/>
      <c r="E116" s="31">
        <f>$J116</f>
        <v/>
      </c>
      <c r="F116" s="30" t="n"/>
      <c r="H116">
        <f>IFERROR(INDEX('שיבוץ'!$B$3:$B$152,MATCH('קבוצות'!$A$8&amp;"|"&amp;2,'שיבוץ'!$F$3:$F$152,0))&amp;"","")</f>
        <v/>
      </c>
      <c r="I116">
        <f>IFERROR(INDEX('שיבוץ'!$C$3:$C$152,MATCH('קבוצות'!$A$8&amp;"|"&amp;2,'שיבוץ'!$F$3:$F$152,0))&amp;"","")</f>
        <v/>
      </c>
      <c r="J116">
        <f>IFERROR(INDEX('שיבוץ'!$D$3:$D$152,MATCH('קבוצות'!$A$8&amp;"|"&amp;2,'שיבוץ'!$F$3:$F$152,0))&amp;"","")</f>
        <v/>
      </c>
    </row>
    <row r="117" ht="30" customHeight="1">
      <c r="A117" s="52">
        <f>IF($H117="","",IF($H117=$H116,"",$H117))</f>
        <v/>
      </c>
      <c r="B117" s="29">
        <f>$I117</f>
        <v/>
      </c>
      <c r="C117" s="30" t="n"/>
      <c r="D117" s="30" t="n"/>
      <c r="E117" s="31">
        <f>$J117</f>
        <v/>
      </c>
      <c r="F117" s="30" t="n"/>
      <c r="H117">
        <f>IFERROR(INDEX('שיבוץ'!$B$3:$B$152,MATCH('קבוצות'!$A$8&amp;"|"&amp;3,'שיבוץ'!$F$3:$F$152,0))&amp;"","")</f>
        <v/>
      </c>
      <c r="I117">
        <f>IFERROR(INDEX('שיבוץ'!$C$3:$C$152,MATCH('קבוצות'!$A$8&amp;"|"&amp;3,'שיבוץ'!$F$3:$F$152,0))&amp;"","")</f>
        <v/>
      </c>
      <c r="J117">
        <f>IFERROR(INDEX('שיבוץ'!$D$3:$D$152,MATCH('קבוצות'!$A$8&amp;"|"&amp;3,'שיבוץ'!$F$3:$F$152,0))&amp;"","")</f>
        <v/>
      </c>
    </row>
    <row r="118" ht="30" customHeight="1">
      <c r="A118" s="52">
        <f>IF($H118="","",IF($H118=$H117,"",$H118))</f>
        <v/>
      </c>
      <c r="B118" s="29">
        <f>$I118</f>
        <v/>
      </c>
      <c r="C118" s="30" t="n"/>
      <c r="D118" s="30" t="n"/>
      <c r="E118" s="31">
        <f>$J118</f>
        <v/>
      </c>
      <c r="F118" s="30" t="n"/>
      <c r="H118">
        <f>IFERROR(INDEX('שיבוץ'!$B$3:$B$152,MATCH('קבוצות'!$A$8&amp;"|"&amp;4,'שיבוץ'!$F$3:$F$152,0))&amp;"","")</f>
        <v/>
      </c>
      <c r="I118">
        <f>IFERROR(INDEX('שיבוץ'!$C$3:$C$152,MATCH('קבוצות'!$A$8&amp;"|"&amp;4,'שיבוץ'!$F$3:$F$152,0))&amp;"","")</f>
        <v/>
      </c>
      <c r="J118">
        <f>IFERROR(INDEX('שיבוץ'!$D$3:$D$152,MATCH('קבוצות'!$A$8&amp;"|"&amp;4,'שיבוץ'!$F$3:$F$152,0))&amp;"","")</f>
        <v/>
      </c>
    </row>
    <row r="119" ht="30" customHeight="1">
      <c r="A119" s="52">
        <f>IF($H119="","",IF($H119=$H118,"",$H119))</f>
        <v/>
      </c>
      <c r="B119" s="29">
        <f>$I119</f>
        <v/>
      </c>
      <c r="C119" s="30" t="n"/>
      <c r="D119" s="30" t="n"/>
      <c r="E119" s="31">
        <f>$J119</f>
        <v/>
      </c>
      <c r="F119" s="30" t="n"/>
      <c r="H119">
        <f>IFERROR(INDEX('שיבוץ'!$B$3:$B$152,MATCH('קבוצות'!$A$8&amp;"|"&amp;5,'שיבוץ'!$F$3:$F$152,0))&amp;"","")</f>
        <v/>
      </c>
      <c r="I119">
        <f>IFERROR(INDEX('שיבוץ'!$C$3:$C$152,MATCH('קבוצות'!$A$8&amp;"|"&amp;5,'שיבוץ'!$F$3:$F$152,0))&amp;"","")</f>
        <v/>
      </c>
      <c r="J119">
        <f>IFERROR(INDEX('שיבוץ'!$D$3:$D$152,MATCH('קבוצות'!$A$8&amp;"|"&amp;5,'שיבוץ'!$F$3:$F$152,0))&amp;"","")</f>
        <v/>
      </c>
    </row>
    <row r="120" ht="30" customHeight="1">
      <c r="A120" s="52">
        <f>IF($H120="","",IF($H120=$H119,"",$H120))</f>
        <v/>
      </c>
      <c r="B120" s="29">
        <f>$I120</f>
        <v/>
      </c>
      <c r="C120" s="30" t="n"/>
      <c r="D120" s="30" t="n"/>
      <c r="E120" s="31">
        <f>$J120</f>
        <v/>
      </c>
      <c r="F120" s="30" t="n"/>
      <c r="H120">
        <f>IFERROR(INDEX('שיבוץ'!$B$3:$B$152,MATCH('קבוצות'!$A$8&amp;"|"&amp;6,'שיבוץ'!$F$3:$F$152,0))&amp;"","")</f>
        <v/>
      </c>
      <c r="I120">
        <f>IFERROR(INDEX('שיבוץ'!$C$3:$C$152,MATCH('קבוצות'!$A$8&amp;"|"&amp;6,'שיבוץ'!$F$3:$F$152,0))&amp;"","")</f>
        <v/>
      </c>
      <c r="J120">
        <f>IFERROR(INDEX('שיבוץ'!$D$3:$D$152,MATCH('קבוצות'!$A$8&amp;"|"&amp;6,'שיבוץ'!$F$3:$F$152,0))&amp;"","")</f>
        <v/>
      </c>
    </row>
    <row r="121" ht="30" customHeight="1">
      <c r="A121" s="52">
        <f>IF($H121="","",IF($H121=$H120,"",$H121))</f>
        <v/>
      </c>
      <c r="B121" s="29">
        <f>$I121</f>
        <v/>
      </c>
      <c r="C121" s="30" t="n"/>
      <c r="D121" s="30" t="n"/>
      <c r="E121" s="31">
        <f>$J121</f>
        <v/>
      </c>
      <c r="F121" s="30" t="n"/>
      <c r="H121">
        <f>IFERROR(INDEX('שיבוץ'!$B$3:$B$152,MATCH('קבוצות'!$A$8&amp;"|"&amp;7,'שיבוץ'!$F$3:$F$152,0))&amp;"","")</f>
        <v/>
      </c>
      <c r="I121">
        <f>IFERROR(INDEX('שיבוץ'!$C$3:$C$152,MATCH('קבוצות'!$A$8&amp;"|"&amp;7,'שיבוץ'!$F$3:$F$152,0))&amp;"","")</f>
        <v/>
      </c>
      <c r="J121">
        <f>IFERROR(INDEX('שיבוץ'!$D$3:$D$152,MATCH('קבוצות'!$A$8&amp;"|"&amp;7,'שיבוץ'!$F$3:$F$152,0))&amp;"","")</f>
        <v/>
      </c>
    </row>
    <row r="122" ht="30" customHeight="1">
      <c r="A122" s="52">
        <f>IF($H122="","",IF($H122=$H121,"",$H122))</f>
        <v/>
      </c>
      <c r="B122" s="29">
        <f>$I122</f>
        <v/>
      </c>
      <c r="C122" s="30" t="n"/>
      <c r="D122" s="30" t="n"/>
      <c r="E122" s="31">
        <f>$J122</f>
        <v/>
      </c>
      <c r="F122" s="30" t="n"/>
      <c r="H122">
        <f>IFERROR(INDEX('שיבוץ'!$B$3:$B$152,MATCH('קבוצות'!$A$8&amp;"|"&amp;8,'שיבוץ'!$F$3:$F$152,0))&amp;"","")</f>
        <v/>
      </c>
      <c r="I122">
        <f>IFERROR(INDEX('שיבוץ'!$C$3:$C$152,MATCH('קבוצות'!$A$8&amp;"|"&amp;8,'שיבוץ'!$F$3:$F$152,0))&amp;"","")</f>
        <v/>
      </c>
      <c r="J122">
        <f>IFERROR(INDEX('שיבוץ'!$D$3:$D$152,MATCH('קבוצות'!$A$8&amp;"|"&amp;8,'שיבוץ'!$F$3:$F$152,0))&amp;"","")</f>
        <v/>
      </c>
    </row>
    <row r="123" ht="30" customHeight="1">
      <c r="A123" s="52">
        <f>IF($H123="","",IF($H123=$H122,"",$H123))</f>
        <v/>
      </c>
      <c r="B123" s="29">
        <f>$I123</f>
        <v/>
      </c>
      <c r="C123" s="30" t="n"/>
      <c r="D123" s="30" t="n"/>
      <c r="E123" s="31">
        <f>$J123</f>
        <v/>
      </c>
      <c r="F123" s="30" t="n"/>
      <c r="H123">
        <f>IFERROR(INDEX('שיבוץ'!$B$3:$B$152,MATCH('קבוצות'!$A$8&amp;"|"&amp;9,'שיבוץ'!$F$3:$F$152,0))&amp;"","")</f>
        <v/>
      </c>
      <c r="I123">
        <f>IFERROR(INDEX('שיבוץ'!$C$3:$C$152,MATCH('קבוצות'!$A$8&amp;"|"&amp;9,'שיבוץ'!$F$3:$F$152,0))&amp;"","")</f>
        <v/>
      </c>
      <c r="J123">
        <f>IFERROR(INDEX('שיבוץ'!$D$3:$D$152,MATCH('קבוצות'!$A$8&amp;"|"&amp;9,'שיבוץ'!$F$3:$F$152,0))&amp;"","")</f>
        <v/>
      </c>
    </row>
    <row r="124" ht="30" customHeight="1">
      <c r="A124" s="52">
        <f>IF($H124="","",IF($H124=$H123,"",$H124))</f>
        <v/>
      </c>
      <c r="B124" s="29">
        <f>$I124</f>
        <v/>
      </c>
      <c r="C124" s="30" t="n"/>
      <c r="D124" s="30" t="n"/>
      <c r="E124" s="31">
        <f>$J124</f>
        <v/>
      </c>
      <c r="F124" s="30" t="n"/>
      <c r="H124">
        <f>IFERROR(INDEX('שיבוץ'!$B$3:$B$152,MATCH('קבוצות'!$A$8&amp;"|"&amp;10,'שיבוץ'!$F$3:$F$152,0))&amp;"","")</f>
        <v/>
      </c>
      <c r="I124">
        <f>IFERROR(INDEX('שיבוץ'!$C$3:$C$152,MATCH('קבוצות'!$A$8&amp;"|"&amp;10,'שיבוץ'!$F$3:$F$152,0))&amp;"","")</f>
        <v/>
      </c>
      <c r="J124">
        <f>IFERROR(INDEX('שיבוץ'!$D$3:$D$152,MATCH('קבוצות'!$A$8&amp;"|"&amp;10,'שיבוץ'!$F$3:$F$152,0))&amp;"","")</f>
        <v/>
      </c>
    </row>
    <row r="125" ht="30" customHeight="1">
      <c r="A125" s="52">
        <f>IF($H125="","",IF($H125=$H124,"",$H125))</f>
        <v/>
      </c>
      <c r="B125" s="29">
        <f>$I125</f>
        <v/>
      </c>
      <c r="C125" s="30" t="n"/>
      <c r="D125" s="30" t="n"/>
      <c r="E125" s="31">
        <f>$J125</f>
        <v/>
      </c>
      <c r="F125" s="30" t="n"/>
      <c r="H125">
        <f>IFERROR(INDEX('שיבוץ'!$B$3:$B$152,MATCH('קבוצות'!$A$8&amp;"|"&amp;11,'שיבוץ'!$F$3:$F$152,0))&amp;"","")</f>
        <v/>
      </c>
      <c r="I125">
        <f>IFERROR(INDEX('שיבוץ'!$C$3:$C$152,MATCH('קבוצות'!$A$8&amp;"|"&amp;11,'שיבוץ'!$F$3:$F$152,0))&amp;"","")</f>
        <v/>
      </c>
      <c r="J125">
        <f>IFERROR(INDEX('שיבוץ'!$D$3:$D$152,MATCH('קבוצות'!$A$8&amp;"|"&amp;11,'שיבוץ'!$F$3:$F$152,0))&amp;"","")</f>
        <v/>
      </c>
    </row>
    <row r="126" ht="30" customHeight="1">
      <c r="A126" s="52">
        <f>IF($H126="","",IF($H126=$H125,"",$H126))</f>
        <v/>
      </c>
      <c r="B126" s="29">
        <f>$I126</f>
        <v/>
      </c>
      <c r="C126" s="30" t="n"/>
      <c r="D126" s="30" t="n"/>
      <c r="E126" s="31">
        <f>$J126</f>
        <v/>
      </c>
      <c r="F126" s="30" t="n"/>
      <c r="H126">
        <f>IFERROR(INDEX('שיבוץ'!$B$3:$B$152,MATCH('קבוצות'!$A$8&amp;"|"&amp;12,'שיבוץ'!$F$3:$F$152,0))&amp;"","")</f>
        <v/>
      </c>
      <c r="I126">
        <f>IFERROR(INDEX('שיבוץ'!$C$3:$C$152,MATCH('קבוצות'!$A$8&amp;"|"&amp;12,'שיבוץ'!$F$3:$F$152,0))&amp;"","")</f>
        <v/>
      </c>
      <c r="J126">
        <f>IFERROR(INDEX('שיבוץ'!$D$3:$D$152,MATCH('קבוצות'!$A$8&amp;"|"&amp;12,'שיבוץ'!$F$3:$F$152,0))&amp;"","")</f>
        <v/>
      </c>
    </row>
    <row r="127" ht="30" customHeight="1">
      <c r="A127" s="52">
        <f>IF($H127="","",IF($H127=$H126,"",$H127))</f>
        <v/>
      </c>
      <c r="B127" s="29">
        <f>$I127</f>
        <v/>
      </c>
      <c r="C127" s="30" t="n"/>
      <c r="D127" s="30" t="n"/>
      <c r="E127" s="31">
        <f>$J127</f>
        <v/>
      </c>
      <c r="F127" s="30" t="n"/>
      <c r="H127">
        <f>IFERROR(INDEX('שיבוץ'!$B$3:$B$152,MATCH('קבוצות'!$A$8&amp;"|"&amp;13,'שיבוץ'!$F$3:$F$152,0))&amp;"","")</f>
        <v/>
      </c>
      <c r="I127">
        <f>IFERROR(INDEX('שיבוץ'!$C$3:$C$152,MATCH('קבוצות'!$A$8&amp;"|"&amp;13,'שיבוץ'!$F$3:$F$152,0))&amp;"","")</f>
        <v/>
      </c>
      <c r="J127">
        <f>IFERROR(INDEX('שיבוץ'!$D$3:$D$152,MATCH('קבוצות'!$A$8&amp;"|"&amp;13,'שיבוץ'!$F$3:$F$152,0))&amp;"","")</f>
        <v/>
      </c>
    </row>
    <row r="128" ht="30" customHeight="1">
      <c r="A128" s="52">
        <f>IF($H128="","",IF($H128=$H127,"",$H128))</f>
        <v/>
      </c>
      <c r="B128" s="29">
        <f>$I128</f>
        <v/>
      </c>
      <c r="C128" s="30" t="n"/>
      <c r="D128" s="30" t="n"/>
      <c r="E128" s="31">
        <f>$J128</f>
        <v/>
      </c>
      <c r="F128" s="30" t="n"/>
      <c r="H128">
        <f>IFERROR(INDEX('שיבוץ'!$B$3:$B$152,MATCH('קבוצות'!$A$8&amp;"|"&amp;14,'שיבוץ'!$F$3:$F$152,0))&amp;"","")</f>
        <v/>
      </c>
      <c r="I128">
        <f>IFERROR(INDEX('שיבוץ'!$C$3:$C$152,MATCH('קבוצות'!$A$8&amp;"|"&amp;14,'שיבוץ'!$F$3:$F$152,0))&amp;"","")</f>
        <v/>
      </c>
      <c r="J128">
        <f>IFERROR(INDEX('שיבוץ'!$D$3:$D$152,MATCH('קבוצות'!$A$8&amp;"|"&amp;14,'שיבוץ'!$F$3:$F$152,0))&amp;"","")</f>
        <v/>
      </c>
    </row>
    <row r="129" ht="30" customHeight="1">
      <c r="A129" s="52">
        <f>IF($H129="","",IF($H129=$H128,"",$H129))</f>
        <v/>
      </c>
      <c r="B129" s="29">
        <f>$I129</f>
        <v/>
      </c>
      <c r="C129" s="30" t="n"/>
      <c r="D129" s="30" t="n"/>
      <c r="E129" s="31">
        <f>$J129</f>
        <v/>
      </c>
      <c r="F129" s="30" t="n"/>
      <c r="H129">
        <f>IFERROR(INDEX('שיבוץ'!$B$3:$B$152,MATCH('קבוצות'!$A$8&amp;"|"&amp;15,'שיבוץ'!$F$3:$F$152,0))&amp;"","")</f>
        <v/>
      </c>
      <c r="I129">
        <f>IFERROR(INDEX('שיבוץ'!$C$3:$C$152,MATCH('קבוצות'!$A$8&amp;"|"&amp;15,'שיבוץ'!$F$3:$F$152,0))&amp;"","")</f>
        <v/>
      </c>
      <c r="J129">
        <f>IFERROR(INDEX('שיבוץ'!$D$3:$D$152,MATCH('קבוצות'!$A$8&amp;"|"&amp;15,'שיבוץ'!$F$3:$F$152,0))&amp;"","")</f>
        <v/>
      </c>
    </row>
    <row r="130" ht="30" customHeight="1">
      <c r="A130" s="52">
        <f>IF($H130="","",IF($H130=$H129,"",$H130))</f>
        <v/>
      </c>
      <c r="B130" s="29">
        <f>$I130</f>
        <v/>
      </c>
      <c r="C130" s="30" t="n"/>
      <c r="D130" s="30" t="n"/>
      <c r="E130" s="31">
        <f>$J130</f>
        <v/>
      </c>
      <c r="F130" s="30" t="n"/>
      <c r="H130">
        <f>IFERROR(INDEX('שיבוץ'!$B$3:$B$152,MATCH('קבוצות'!$A$8&amp;"|"&amp;16,'שיבוץ'!$F$3:$F$152,0))&amp;"","")</f>
        <v/>
      </c>
      <c r="I130">
        <f>IFERROR(INDEX('שיבוץ'!$C$3:$C$152,MATCH('קבוצות'!$A$8&amp;"|"&amp;16,'שיבוץ'!$F$3:$F$152,0))&amp;"","")</f>
        <v/>
      </c>
      <c r="J130">
        <f>IFERROR(INDEX('שיבוץ'!$D$3:$D$152,MATCH('קבוצות'!$A$8&amp;"|"&amp;16,'שיבוץ'!$F$3:$F$152,0))&amp;"","")</f>
        <v/>
      </c>
    </row>
    <row r="131" ht="18" customHeight="1">
      <c r="A131" s="32">
        <f>IF(COUNTIF('שיבוץ'!$A$3:$A$152,'קבוצות'!$A$8)&gt;16,"⚠ לקבוצה יש עוד משימות שלא נכנסו לכרטיסייה — ראו «טופס נקי»","")</f>
        <v/>
      </c>
    </row>
  </sheetData>
  <mergeCells count="228">
    <mergeCell ref="B11:D11"/>
    <mergeCell ref="B42:D42"/>
    <mergeCell ref="B60:D60"/>
    <mergeCell ref="E62:F62"/>
    <mergeCell ref="B57:D57"/>
    <mergeCell ref="E71:F71"/>
    <mergeCell ref="E129:F129"/>
    <mergeCell ref="B53:D53"/>
    <mergeCell ref="A3:F3"/>
    <mergeCell ref="E8:F8"/>
    <mergeCell ref="E64:F64"/>
    <mergeCell ref="B34:D34"/>
    <mergeCell ref="E79:F79"/>
    <mergeCell ref="B28:D28"/>
    <mergeCell ref="E73:F73"/>
    <mergeCell ref="E51:F51"/>
    <mergeCell ref="A47:F47"/>
    <mergeCell ref="B37:D37"/>
    <mergeCell ref="B108:D108"/>
    <mergeCell ref="B84:D84"/>
    <mergeCell ref="E63:F63"/>
    <mergeCell ref="E128:F128"/>
    <mergeCell ref="B92:D92"/>
    <mergeCell ref="B30:D30"/>
    <mergeCell ref="B6:D6"/>
    <mergeCell ref="B20:D20"/>
    <mergeCell ref="E34:F34"/>
    <mergeCell ref="E105:F105"/>
    <mergeCell ref="B80:D80"/>
    <mergeCell ref="E99:F99"/>
    <mergeCell ref="B94:D94"/>
    <mergeCell ref="B4:D4"/>
    <mergeCell ref="E49:F49"/>
    <mergeCell ref="E27:F27"/>
    <mergeCell ref="E36:F36"/>
    <mergeCell ref="B62:D62"/>
    <mergeCell ref="E119:F119"/>
    <mergeCell ref="E101:F101"/>
    <mergeCell ref="E116:F116"/>
    <mergeCell ref="B54:D54"/>
    <mergeCell ref="B125:D125"/>
    <mergeCell ref="A24:F24"/>
    <mergeCell ref="B72:D72"/>
    <mergeCell ref="E85:F85"/>
    <mergeCell ref="E100:F100"/>
    <mergeCell ref="B56:D56"/>
    <mergeCell ref="E75:F75"/>
    <mergeCell ref="B96:D96"/>
    <mergeCell ref="E53:F53"/>
    <mergeCell ref="B70:D70"/>
    <mergeCell ref="E93:F93"/>
    <mergeCell ref="B105:D105"/>
    <mergeCell ref="E115:F115"/>
    <mergeCell ref="E102:F102"/>
    <mergeCell ref="E12:F12"/>
    <mergeCell ref="B120:D120"/>
    <mergeCell ref="B98:D98"/>
    <mergeCell ref="E117:F117"/>
    <mergeCell ref="E55:F55"/>
    <mergeCell ref="B107:D107"/>
    <mergeCell ref="B8:D8"/>
    <mergeCell ref="E122:F122"/>
    <mergeCell ref="B17:D17"/>
    <mergeCell ref="E5:F5"/>
    <mergeCell ref="B73:D73"/>
    <mergeCell ref="E14:F14"/>
    <mergeCell ref="B82:D82"/>
    <mergeCell ref="E127:F127"/>
    <mergeCell ref="E48:F48"/>
    <mergeCell ref="B10:D10"/>
    <mergeCell ref="A2:F2"/>
    <mergeCell ref="E4:F4"/>
    <mergeCell ref="B19:D19"/>
    <mergeCell ref="E38:F38"/>
    <mergeCell ref="B99:D99"/>
    <mergeCell ref="B9:D9"/>
    <mergeCell ref="B74:D74"/>
    <mergeCell ref="B83:D83"/>
    <mergeCell ref="E40:F40"/>
    <mergeCell ref="B124:D124"/>
    <mergeCell ref="B5:D5"/>
    <mergeCell ref="B36:D36"/>
    <mergeCell ref="B76:D76"/>
    <mergeCell ref="A112:F112"/>
    <mergeCell ref="B85:D85"/>
    <mergeCell ref="E104:F104"/>
    <mergeCell ref="B126:D126"/>
    <mergeCell ref="B100:D100"/>
    <mergeCell ref="B75:D75"/>
    <mergeCell ref="E26:F26"/>
    <mergeCell ref="E124:F124"/>
    <mergeCell ref="E120:F120"/>
    <mergeCell ref="B59:D59"/>
    <mergeCell ref="E16:F16"/>
    <mergeCell ref="B31:D31"/>
    <mergeCell ref="E76:F76"/>
    <mergeCell ref="B102:D102"/>
    <mergeCell ref="B39:D39"/>
    <mergeCell ref="E18:F18"/>
    <mergeCell ref="E58:F58"/>
    <mergeCell ref="B48:D48"/>
    <mergeCell ref="E50:F50"/>
    <mergeCell ref="E121:F121"/>
    <mergeCell ref="B14:D14"/>
    <mergeCell ref="A46:F46"/>
    <mergeCell ref="A90:F90"/>
    <mergeCell ref="E130:F130"/>
    <mergeCell ref="B13:D13"/>
    <mergeCell ref="E52:F52"/>
    <mergeCell ref="E83:F83"/>
    <mergeCell ref="B78:D78"/>
    <mergeCell ref="E123:F123"/>
    <mergeCell ref="E92:F92"/>
    <mergeCell ref="E39:F39"/>
    <mergeCell ref="E107:F107"/>
    <mergeCell ref="E20:F20"/>
    <mergeCell ref="B128:D128"/>
    <mergeCell ref="E29:F29"/>
    <mergeCell ref="B49:D49"/>
    <mergeCell ref="E94:F94"/>
    <mergeCell ref="E103:F103"/>
    <mergeCell ref="E13:F13"/>
    <mergeCell ref="A131:F131"/>
    <mergeCell ref="E84:F84"/>
    <mergeCell ref="E78:F78"/>
    <mergeCell ref="A109:F109"/>
    <mergeCell ref="E31:F31"/>
    <mergeCell ref="B51:D51"/>
    <mergeCell ref="E118:F118"/>
    <mergeCell ref="E114:F114"/>
    <mergeCell ref="E59:F59"/>
    <mergeCell ref="E6:F6"/>
    <mergeCell ref="E77:F77"/>
    <mergeCell ref="B114:D114"/>
    <mergeCell ref="E15:F15"/>
    <mergeCell ref="B63:D63"/>
    <mergeCell ref="B41:D41"/>
    <mergeCell ref="A68:F68"/>
    <mergeCell ref="E86:F86"/>
    <mergeCell ref="B35:D35"/>
    <mergeCell ref="B50:D50"/>
    <mergeCell ref="E80:F80"/>
    <mergeCell ref="E95:F95"/>
    <mergeCell ref="E108:F108"/>
    <mergeCell ref="A111:F111"/>
    <mergeCell ref="B123:D123"/>
    <mergeCell ref="E61:F61"/>
    <mergeCell ref="E70:F70"/>
    <mergeCell ref="E57:F57"/>
    <mergeCell ref="E54:F54"/>
    <mergeCell ref="E32:F32"/>
    <mergeCell ref="E7:F7"/>
    <mergeCell ref="E72:F72"/>
    <mergeCell ref="B115:D115"/>
    <mergeCell ref="A1:F1"/>
    <mergeCell ref="E41:F41"/>
    <mergeCell ref="A45:F45"/>
    <mergeCell ref="E81:F81"/>
    <mergeCell ref="B93:D93"/>
    <mergeCell ref="E125:F125"/>
    <mergeCell ref="B130:D130"/>
    <mergeCell ref="B12:D12"/>
    <mergeCell ref="B77:D77"/>
    <mergeCell ref="E56:F56"/>
    <mergeCell ref="E96:F96"/>
    <mergeCell ref="A87:F87"/>
    <mergeCell ref="B86:D86"/>
    <mergeCell ref="A65:F65"/>
    <mergeCell ref="B117:D117"/>
    <mergeCell ref="B61:D61"/>
    <mergeCell ref="E106:F106"/>
    <mergeCell ref="B101:D101"/>
    <mergeCell ref="E33:F33"/>
    <mergeCell ref="E98:F98"/>
    <mergeCell ref="A89:F89"/>
    <mergeCell ref="E42:F42"/>
    <mergeCell ref="B119:D119"/>
    <mergeCell ref="B116:D116"/>
    <mergeCell ref="B29:D29"/>
    <mergeCell ref="E17:F17"/>
    <mergeCell ref="A21:F21"/>
    <mergeCell ref="E126:F126"/>
    <mergeCell ref="B38:D38"/>
    <mergeCell ref="B103:D103"/>
    <mergeCell ref="E82:F82"/>
    <mergeCell ref="A113:F113"/>
    <mergeCell ref="E35:F35"/>
    <mergeCell ref="E10:F10"/>
    <mergeCell ref="B118:D118"/>
    <mergeCell ref="E19:F19"/>
    <mergeCell ref="A23:F23"/>
    <mergeCell ref="B127:D127"/>
    <mergeCell ref="B40:D40"/>
    <mergeCell ref="E28:F28"/>
    <mergeCell ref="B15:D15"/>
    <mergeCell ref="E60:F60"/>
    <mergeCell ref="E9:F9"/>
    <mergeCell ref="B55:D55"/>
    <mergeCell ref="E74:F74"/>
    <mergeCell ref="A91:F91"/>
    <mergeCell ref="B64:D64"/>
    <mergeCell ref="A43:F43"/>
    <mergeCell ref="B33:D33"/>
    <mergeCell ref="B95:D95"/>
    <mergeCell ref="B104:D104"/>
    <mergeCell ref="E30:F30"/>
    <mergeCell ref="B79:D79"/>
    <mergeCell ref="B32:D32"/>
    <mergeCell ref="E11:F11"/>
    <mergeCell ref="A67:F67"/>
    <mergeCell ref="B26:D26"/>
    <mergeCell ref="B97:D97"/>
    <mergeCell ref="B106:D106"/>
    <mergeCell ref="B7:D7"/>
    <mergeCell ref="B129:D129"/>
    <mergeCell ref="B16:D16"/>
    <mergeCell ref="B81:D81"/>
    <mergeCell ref="B121:D121"/>
    <mergeCell ref="B122:D122"/>
    <mergeCell ref="B71:D71"/>
    <mergeCell ref="B18:D18"/>
    <mergeCell ref="B27:D27"/>
    <mergeCell ref="E37:F37"/>
    <mergeCell ref="B52:D52"/>
    <mergeCell ref="B58:D58"/>
    <mergeCell ref="E97:F97"/>
    <mergeCell ref="A69:F69"/>
    <mergeCell ref="A25:F25"/>
  </mergeCells>
  <conditionalFormatting sqref="A2:F3">
    <cfRule type="expression" priority="1" dxfId="1" stopIfTrue="0">
      <formula>'קבוצות'!$D$3="ורוד"</formula>
    </cfRule>
    <cfRule type="expression" priority="3" dxfId="2" stopIfTrue="0">
      <formula>'קבוצות'!$D$3="ים"</formula>
    </cfRule>
    <cfRule type="expression" priority="5" dxfId="3" stopIfTrue="0">
      <formula>'קבוצות'!$D$3="ספארי"</formula>
    </cfRule>
    <cfRule type="expression" priority="7" dxfId="4" stopIfTrue="0">
      <formula>'קבוצות'!$D$3="שדה"</formula>
    </cfRule>
    <cfRule type="expression" priority="9" dxfId="5" stopIfTrue="0">
      <formula>'קבוצות'!$D$3="סגול"</formula>
    </cfRule>
    <cfRule type="expression" priority="11" dxfId="6" stopIfTrue="0">
      <formula>'קבוצות'!$D$3="ירוק"</formula>
    </cfRule>
  </conditionalFormatting>
  <conditionalFormatting sqref="A5:A20">
    <cfRule type="expression" priority="2" dxfId="1">
      <formula>'קבוצות'!$D$3="ורוד"</formula>
    </cfRule>
    <cfRule type="expression" priority="4" dxfId="2">
      <formula>'קבוצות'!$D$3="ים"</formula>
    </cfRule>
    <cfRule type="expression" priority="6" dxfId="3">
      <formula>'קבוצות'!$D$3="ספארי"</formula>
    </cfRule>
    <cfRule type="expression" priority="8" dxfId="4">
      <formula>'קבוצות'!$D$3="שדה"</formula>
    </cfRule>
    <cfRule type="expression" priority="10" dxfId="5">
      <formula>'קבוצות'!$D$3="סגול"</formula>
    </cfRule>
    <cfRule type="expression" priority="12" dxfId="6">
      <formula>'קבוצות'!$D$3="ירוק"</formula>
    </cfRule>
  </conditionalFormatting>
  <conditionalFormatting sqref="A1:F1">
    <cfRule type="expression" priority="13" dxfId="7">
      <formula>'קבוצות'!$D$3="ורוד"</formula>
    </cfRule>
    <cfRule type="expression" priority="14" dxfId="8">
      <formula>'קבוצות'!$D$3="ים"</formula>
    </cfRule>
    <cfRule type="expression" priority="15" dxfId="9">
      <formula>'קבוצות'!$D$3="ספארי"</formula>
    </cfRule>
    <cfRule type="expression" priority="16" dxfId="10">
      <formula>'קבוצות'!$D$3="שדה"</formula>
    </cfRule>
    <cfRule type="expression" priority="17" dxfId="11">
      <formula>'קבוצות'!$D$3="סגול"</formula>
    </cfRule>
    <cfRule type="expression" priority="18" dxfId="12">
      <formula>'קבוצות'!$D$3="ירוק"</formula>
    </cfRule>
  </conditionalFormatting>
  <conditionalFormatting sqref="A24:F25">
    <cfRule type="expression" priority="19" dxfId="1" stopIfTrue="0">
      <formula>'קבוצות'!$D$4="ורוד"</formula>
    </cfRule>
    <cfRule type="expression" priority="21" dxfId="2" stopIfTrue="0">
      <formula>'קבוצות'!$D$4="ים"</formula>
    </cfRule>
    <cfRule type="expression" priority="23" dxfId="3" stopIfTrue="0">
      <formula>'קבוצות'!$D$4="ספארי"</formula>
    </cfRule>
    <cfRule type="expression" priority="25" dxfId="4" stopIfTrue="0">
      <formula>'קבוצות'!$D$4="שדה"</formula>
    </cfRule>
    <cfRule type="expression" priority="27" dxfId="5" stopIfTrue="0">
      <formula>'קבוצות'!$D$4="סגול"</formula>
    </cfRule>
    <cfRule type="expression" priority="29" dxfId="6" stopIfTrue="0">
      <formula>'קבוצות'!$D$4="ירוק"</formula>
    </cfRule>
  </conditionalFormatting>
  <conditionalFormatting sqref="A27:A42">
    <cfRule type="expression" priority="20" dxfId="1">
      <formula>'קבוצות'!$D$4="ורוד"</formula>
    </cfRule>
    <cfRule type="expression" priority="22" dxfId="2">
      <formula>'קבוצות'!$D$4="ים"</formula>
    </cfRule>
    <cfRule type="expression" priority="24" dxfId="3">
      <formula>'קבוצות'!$D$4="ספארי"</formula>
    </cfRule>
    <cfRule type="expression" priority="26" dxfId="4">
      <formula>'קבוצות'!$D$4="שדה"</formula>
    </cfRule>
    <cfRule type="expression" priority="28" dxfId="5">
      <formula>'קבוצות'!$D$4="סגול"</formula>
    </cfRule>
    <cfRule type="expression" priority="30" dxfId="6">
      <formula>'קבוצות'!$D$4="ירוק"</formula>
    </cfRule>
  </conditionalFormatting>
  <conditionalFormatting sqref="A23:F23">
    <cfRule type="expression" priority="31" dxfId="7">
      <formula>'קבוצות'!$D$4="ורוד"</formula>
    </cfRule>
    <cfRule type="expression" priority="32" dxfId="8">
      <formula>'קבוצות'!$D$4="ים"</formula>
    </cfRule>
    <cfRule type="expression" priority="33" dxfId="9">
      <formula>'קבוצות'!$D$4="ספארי"</formula>
    </cfRule>
    <cfRule type="expression" priority="34" dxfId="10">
      <formula>'קבוצות'!$D$4="שדה"</formula>
    </cfRule>
    <cfRule type="expression" priority="35" dxfId="11">
      <formula>'קבוצות'!$D$4="סגול"</formula>
    </cfRule>
    <cfRule type="expression" priority="36" dxfId="12">
      <formula>'קבוצות'!$D$4="ירוק"</formula>
    </cfRule>
  </conditionalFormatting>
  <conditionalFormatting sqref="A46:F47">
    <cfRule type="expression" priority="37" dxfId="1" stopIfTrue="0">
      <formula>'קבוצות'!$D$5="ורוד"</formula>
    </cfRule>
    <cfRule type="expression" priority="39" dxfId="2" stopIfTrue="0">
      <formula>'קבוצות'!$D$5="ים"</formula>
    </cfRule>
    <cfRule type="expression" priority="41" dxfId="3" stopIfTrue="0">
      <formula>'קבוצות'!$D$5="ספארי"</formula>
    </cfRule>
    <cfRule type="expression" priority="43" dxfId="4" stopIfTrue="0">
      <formula>'קבוצות'!$D$5="שדה"</formula>
    </cfRule>
    <cfRule type="expression" priority="45" dxfId="5" stopIfTrue="0">
      <formula>'קבוצות'!$D$5="סגול"</formula>
    </cfRule>
    <cfRule type="expression" priority="47" dxfId="6" stopIfTrue="0">
      <formula>'קבוצות'!$D$5="ירוק"</formula>
    </cfRule>
  </conditionalFormatting>
  <conditionalFormatting sqref="A49:A64">
    <cfRule type="expression" priority="38" dxfId="1">
      <formula>'קבוצות'!$D$5="ורוד"</formula>
    </cfRule>
    <cfRule type="expression" priority="40" dxfId="2">
      <formula>'קבוצות'!$D$5="ים"</formula>
    </cfRule>
    <cfRule type="expression" priority="42" dxfId="3">
      <formula>'קבוצות'!$D$5="ספארי"</formula>
    </cfRule>
    <cfRule type="expression" priority="44" dxfId="4">
      <formula>'קבוצות'!$D$5="שדה"</formula>
    </cfRule>
    <cfRule type="expression" priority="46" dxfId="5">
      <formula>'קבוצות'!$D$5="סגול"</formula>
    </cfRule>
    <cfRule type="expression" priority="48" dxfId="6">
      <formula>'קבוצות'!$D$5="ירוק"</formula>
    </cfRule>
  </conditionalFormatting>
  <conditionalFormatting sqref="A45:F45">
    <cfRule type="expression" priority="49" dxfId="7">
      <formula>'קבוצות'!$D$5="ורוד"</formula>
    </cfRule>
    <cfRule type="expression" priority="50" dxfId="8">
      <formula>'קבוצות'!$D$5="ים"</formula>
    </cfRule>
    <cfRule type="expression" priority="51" dxfId="9">
      <formula>'קבוצות'!$D$5="ספארי"</formula>
    </cfRule>
    <cfRule type="expression" priority="52" dxfId="10">
      <formula>'קבוצות'!$D$5="שדה"</formula>
    </cfRule>
    <cfRule type="expression" priority="53" dxfId="11">
      <formula>'קבוצות'!$D$5="סגול"</formula>
    </cfRule>
    <cfRule type="expression" priority="54" dxfId="12">
      <formula>'קבוצות'!$D$5="ירוק"</formula>
    </cfRule>
  </conditionalFormatting>
  <conditionalFormatting sqref="A68:F69">
    <cfRule type="expression" priority="55" dxfId="1" stopIfTrue="0">
      <formula>'קבוצות'!$D$6="ורוד"</formula>
    </cfRule>
    <cfRule type="expression" priority="57" dxfId="2" stopIfTrue="0">
      <formula>'קבוצות'!$D$6="ים"</formula>
    </cfRule>
    <cfRule type="expression" priority="59" dxfId="3" stopIfTrue="0">
      <formula>'קבוצות'!$D$6="ספארי"</formula>
    </cfRule>
    <cfRule type="expression" priority="61" dxfId="4" stopIfTrue="0">
      <formula>'קבוצות'!$D$6="שדה"</formula>
    </cfRule>
    <cfRule type="expression" priority="63" dxfId="5" stopIfTrue="0">
      <formula>'קבוצות'!$D$6="סגול"</formula>
    </cfRule>
    <cfRule type="expression" priority="65" dxfId="6" stopIfTrue="0">
      <formula>'קבוצות'!$D$6="ירוק"</formula>
    </cfRule>
  </conditionalFormatting>
  <conditionalFormatting sqref="A71:A86">
    <cfRule type="expression" priority="56" dxfId="1">
      <formula>'קבוצות'!$D$6="ורוד"</formula>
    </cfRule>
    <cfRule type="expression" priority="58" dxfId="2">
      <formula>'קבוצות'!$D$6="ים"</formula>
    </cfRule>
    <cfRule type="expression" priority="60" dxfId="3">
      <formula>'קבוצות'!$D$6="ספארי"</formula>
    </cfRule>
    <cfRule type="expression" priority="62" dxfId="4">
      <formula>'קבוצות'!$D$6="שדה"</formula>
    </cfRule>
    <cfRule type="expression" priority="64" dxfId="5">
      <formula>'קבוצות'!$D$6="סגול"</formula>
    </cfRule>
    <cfRule type="expression" priority="66" dxfId="6">
      <formula>'קבוצות'!$D$6="ירוק"</formula>
    </cfRule>
  </conditionalFormatting>
  <conditionalFormatting sqref="A67:F67">
    <cfRule type="expression" priority="67" dxfId="7">
      <formula>'קבוצות'!$D$6="ורוד"</formula>
    </cfRule>
    <cfRule type="expression" priority="68" dxfId="8">
      <formula>'קבוצות'!$D$6="ים"</formula>
    </cfRule>
    <cfRule type="expression" priority="69" dxfId="9">
      <formula>'קבוצות'!$D$6="ספארי"</formula>
    </cfRule>
    <cfRule type="expression" priority="70" dxfId="10">
      <formula>'קבוצות'!$D$6="שדה"</formula>
    </cfRule>
    <cfRule type="expression" priority="71" dxfId="11">
      <formula>'קבוצות'!$D$6="סגול"</formula>
    </cfRule>
    <cfRule type="expression" priority="72" dxfId="12">
      <formula>'קבוצות'!$D$6="ירוק"</formula>
    </cfRule>
  </conditionalFormatting>
  <conditionalFormatting sqref="A90:F91">
    <cfRule type="expression" priority="73" dxfId="1" stopIfTrue="0">
      <formula>'קבוצות'!$D$7="ורוד"</formula>
    </cfRule>
    <cfRule type="expression" priority="75" dxfId="2" stopIfTrue="0">
      <formula>'קבוצות'!$D$7="ים"</formula>
    </cfRule>
    <cfRule type="expression" priority="77" dxfId="3" stopIfTrue="0">
      <formula>'קבוצות'!$D$7="ספארי"</formula>
    </cfRule>
    <cfRule type="expression" priority="79" dxfId="4" stopIfTrue="0">
      <formula>'קבוצות'!$D$7="שדה"</formula>
    </cfRule>
    <cfRule type="expression" priority="81" dxfId="5" stopIfTrue="0">
      <formula>'קבוצות'!$D$7="סגול"</formula>
    </cfRule>
    <cfRule type="expression" priority="83" dxfId="6" stopIfTrue="0">
      <formula>'קבוצות'!$D$7="ירוק"</formula>
    </cfRule>
  </conditionalFormatting>
  <conditionalFormatting sqref="A93:A108">
    <cfRule type="expression" priority="74" dxfId="1">
      <formula>'קבוצות'!$D$7="ורוד"</formula>
    </cfRule>
    <cfRule type="expression" priority="76" dxfId="2">
      <formula>'קבוצות'!$D$7="ים"</formula>
    </cfRule>
    <cfRule type="expression" priority="78" dxfId="3">
      <formula>'קבוצות'!$D$7="ספארי"</formula>
    </cfRule>
    <cfRule type="expression" priority="80" dxfId="4">
      <formula>'קבוצות'!$D$7="שדה"</formula>
    </cfRule>
    <cfRule type="expression" priority="82" dxfId="5">
      <formula>'קבוצות'!$D$7="סגול"</formula>
    </cfRule>
    <cfRule type="expression" priority="84" dxfId="6">
      <formula>'קבוצות'!$D$7="ירוק"</formula>
    </cfRule>
  </conditionalFormatting>
  <conditionalFormatting sqref="A89:F89">
    <cfRule type="expression" priority="85" dxfId="7">
      <formula>'קבוצות'!$D$7="ורוד"</formula>
    </cfRule>
    <cfRule type="expression" priority="86" dxfId="8">
      <formula>'קבוצות'!$D$7="ים"</formula>
    </cfRule>
    <cfRule type="expression" priority="87" dxfId="9">
      <formula>'קבוצות'!$D$7="ספארי"</formula>
    </cfRule>
    <cfRule type="expression" priority="88" dxfId="10">
      <formula>'קבוצות'!$D$7="שדה"</formula>
    </cfRule>
    <cfRule type="expression" priority="89" dxfId="11">
      <formula>'קבוצות'!$D$7="סגול"</formula>
    </cfRule>
    <cfRule type="expression" priority="90" dxfId="12">
      <formula>'קבוצות'!$D$7="ירוק"</formula>
    </cfRule>
  </conditionalFormatting>
  <conditionalFormatting sqref="A112:F113">
    <cfRule type="expression" priority="91" dxfId="1" stopIfTrue="0">
      <formula>'קבוצות'!$D$8="ורוד"</formula>
    </cfRule>
    <cfRule type="expression" priority="93" dxfId="2" stopIfTrue="0">
      <formula>'קבוצות'!$D$8="ים"</formula>
    </cfRule>
    <cfRule type="expression" priority="95" dxfId="3" stopIfTrue="0">
      <formula>'קבוצות'!$D$8="ספארי"</formula>
    </cfRule>
    <cfRule type="expression" priority="97" dxfId="4" stopIfTrue="0">
      <formula>'קבוצות'!$D$8="שדה"</formula>
    </cfRule>
    <cfRule type="expression" priority="99" dxfId="5" stopIfTrue="0">
      <formula>'קבוצות'!$D$8="סגול"</formula>
    </cfRule>
    <cfRule type="expression" priority="101" dxfId="6" stopIfTrue="0">
      <formula>'קבוצות'!$D$8="ירוק"</formula>
    </cfRule>
  </conditionalFormatting>
  <conditionalFormatting sqref="A115:A130">
    <cfRule type="expression" priority="92" dxfId="1">
      <formula>'קבוצות'!$D$8="ורוד"</formula>
    </cfRule>
    <cfRule type="expression" priority="94" dxfId="2">
      <formula>'קבוצות'!$D$8="ים"</formula>
    </cfRule>
    <cfRule type="expression" priority="96" dxfId="3">
      <formula>'קבוצות'!$D$8="ספארי"</formula>
    </cfRule>
    <cfRule type="expression" priority="98" dxfId="4">
      <formula>'קבוצות'!$D$8="שדה"</formula>
    </cfRule>
    <cfRule type="expression" priority="100" dxfId="5">
      <formula>'קבוצות'!$D$8="סגול"</formula>
    </cfRule>
    <cfRule type="expression" priority="102" dxfId="6">
      <formula>'קבוצות'!$D$8="ירוק"</formula>
    </cfRule>
  </conditionalFormatting>
  <conditionalFormatting sqref="A111:F111">
    <cfRule type="expression" priority="103" dxfId="7">
      <formula>'קבוצות'!$D$8="ורוד"</formula>
    </cfRule>
    <cfRule type="expression" priority="104" dxfId="8">
      <formula>'קבוצות'!$D$8="ים"</formula>
    </cfRule>
    <cfRule type="expression" priority="105" dxfId="9">
      <formula>'קבוצות'!$D$8="ספארי"</formula>
    </cfRule>
    <cfRule type="expression" priority="106" dxfId="10">
      <formula>'קבוצות'!$D$8="שדה"</formula>
    </cfRule>
    <cfRule type="expression" priority="107" dxfId="11">
      <formula>'קבוצות'!$D$8="סגול"</formula>
    </cfRule>
    <cfRule type="expression" priority="108" dxfId="12">
      <formula>'קבוצות'!$D$8="ירוק"</formula>
    </cfRule>
  </conditionalFormatting>
  <pageMargins left="0.4" right="0.4" top="0.5" bottom="0.5" header="0.5" footer="0.5"/>
  <pageSetup orientation="portrait" paperSize="9" fitToHeight="0" fitToWidth="1"/>
  <rowBreaks count="5" manualBreakCount="5">
    <brk id="22" min="0" max="16383" man="1"/>
    <brk id="44" min="0" max="16383" man="1"/>
    <brk id="66" min="0" max="16383" man="1"/>
    <brk id="88" min="0" max="16383" man="1"/>
    <brk id="110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5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40" customWidth="1" min="3" max="3"/>
    <col width="52" customWidth="1" min="4" max="4"/>
  </cols>
  <sheetData>
    <row r="1" ht="36" customHeight="1">
      <c r="A1" s="5" t="inlineStr">
        <is>
          <t>תורנויות שבת — טופס להדפסה</t>
        </is>
      </c>
    </row>
    <row r="2">
      <c r="A2" s="53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54" t="inlineStr">
        <is>
          <t>קבוצה</t>
        </is>
      </c>
      <c r="B3" s="54" t="inlineStr">
        <is>
          <t>מתי</t>
        </is>
      </c>
      <c r="C3" s="54" t="inlineStr">
        <is>
          <t>משימה</t>
        </is>
      </c>
      <c r="D3" s="54" t="inlineStr">
        <is>
          <t>פרטים וכמויות</t>
        </is>
      </c>
    </row>
    <row r="4" ht="26" customHeight="1">
      <c r="A4" s="55">
        <f>IF('שיבוץ'!$A3="","",IF('שיבוץ'!$A3='שיבוץ'!$A2,"",'שיבוץ'!$A3))</f>
        <v/>
      </c>
      <c r="B4" s="56">
        <f>IF('שיבוץ'!$A3="","",'שיבוץ'!$B3&amp;"")</f>
        <v/>
      </c>
      <c r="C4" s="57">
        <f>IF('שיבוץ'!$A3="","",'שיבוץ'!$C3&amp;"")</f>
        <v/>
      </c>
      <c r="D4" s="57">
        <f>IF('שיבוץ'!$A3="","",'שיבוץ'!$D3&amp;"")</f>
        <v/>
      </c>
    </row>
    <row r="5" ht="26" customHeight="1">
      <c r="A5" s="55">
        <f>IF('שיבוץ'!$A4="","",IF('שיבוץ'!$A4='שיבוץ'!$A3,"",'שיבוץ'!$A4))</f>
        <v/>
      </c>
      <c r="B5" s="56">
        <f>IF('שיבוץ'!$A4="","",'שיבוץ'!$B4&amp;"")</f>
        <v/>
      </c>
      <c r="C5" s="57">
        <f>IF('שיבוץ'!$A4="","",'שיבוץ'!$C4&amp;"")</f>
        <v/>
      </c>
      <c r="D5" s="57">
        <f>IF('שיבוץ'!$A4="","",'שיבוץ'!$D4&amp;"")</f>
        <v/>
      </c>
    </row>
    <row r="6" ht="26" customHeight="1">
      <c r="A6" s="55">
        <f>IF('שיבוץ'!$A5="","",IF('שיבוץ'!$A5='שיבוץ'!$A4,"",'שיבוץ'!$A5))</f>
        <v/>
      </c>
      <c r="B6" s="56">
        <f>IF('שיבוץ'!$A5="","",'שיבוץ'!$B5&amp;"")</f>
        <v/>
      </c>
      <c r="C6" s="57">
        <f>IF('שיבוץ'!$A5="","",'שיבוץ'!$C5&amp;"")</f>
        <v/>
      </c>
      <c r="D6" s="57">
        <f>IF('שיבוץ'!$A5="","",'שיבוץ'!$D5&amp;"")</f>
        <v/>
      </c>
    </row>
    <row r="7" ht="26" customHeight="1">
      <c r="A7" s="55">
        <f>IF('שיבוץ'!$A6="","",IF('שיבוץ'!$A6='שיבוץ'!$A5,"",'שיבוץ'!$A6))</f>
        <v/>
      </c>
      <c r="B7" s="56">
        <f>IF('שיבוץ'!$A6="","",'שיבוץ'!$B6&amp;"")</f>
        <v/>
      </c>
      <c r="C7" s="57">
        <f>IF('שיבוץ'!$A6="","",'שיבוץ'!$C6&amp;"")</f>
        <v/>
      </c>
      <c r="D7" s="57">
        <f>IF('שיבוץ'!$A6="","",'שיבוץ'!$D6&amp;"")</f>
        <v/>
      </c>
    </row>
    <row r="8" ht="26" customHeight="1">
      <c r="A8" s="55">
        <f>IF('שיבוץ'!$A7="","",IF('שיבוץ'!$A7='שיבוץ'!$A6,"",'שיבוץ'!$A7))</f>
        <v/>
      </c>
      <c r="B8" s="56">
        <f>IF('שיבוץ'!$A7="","",'שיבוץ'!$B7&amp;"")</f>
        <v/>
      </c>
      <c r="C8" s="57">
        <f>IF('שיבוץ'!$A7="","",'שיבוץ'!$C7&amp;"")</f>
        <v/>
      </c>
      <c r="D8" s="57">
        <f>IF('שיבוץ'!$A7="","",'שיבוץ'!$D7&amp;"")</f>
        <v/>
      </c>
    </row>
    <row r="9" ht="26" customHeight="1">
      <c r="A9" s="55">
        <f>IF('שיבוץ'!$A8="","",IF('שיבוץ'!$A8='שיבוץ'!$A7,"",'שיבוץ'!$A8))</f>
        <v/>
      </c>
      <c r="B9" s="56">
        <f>IF('שיבוץ'!$A8="","",'שיבוץ'!$B8&amp;"")</f>
        <v/>
      </c>
      <c r="C9" s="57">
        <f>IF('שיבוץ'!$A8="","",'שיבוץ'!$C8&amp;"")</f>
        <v/>
      </c>
      <c r="D9" s="57">
        <f>IF('שיבוץ'!$A8="","",'שיבוץ'!$D8&amp;"")</f>
        <v/>
      </c>
    </row>
    <row r="10" ht="26" customHeight="1">
      <c r="A10" s="55">
        <f>IF('שיבוץ'!$A9="","",IF('שיבוץ'!$A9='שיבוץ'!$A8,"",'שיבוץ'!$A9))</f>
        <v/>
      </c>
      <c r="B10" s="56">
        <f>IF('שיבוץ'!$A9="","",'שיבוץ'!$B9&amp;"")</f>
        <v/>
      </c>
      <c r="C10" s="57">
        <f>IF('שיבוץ'!$A9="","",'שיבוץ'!$C9&amp;"")</f>
        <v/>
      </c>
      <c r="D10" s="57">
        <f>IF('שיבוץ'!$A9="","",'שיבוץ'!$D9&amp;"")</f>
        <v/>
      </c>
    </row>
    <row r="11" ht="26" customHeight="1">
      <c r="A11" s="55">
        <f>IF('שיבוץ'!$A10="","",IF('שיבוץ'!$A10='שיבוץ'!$A9,"",'שיבוץ'!$A10))</f>
        <v/>
      </c>
      <c r="B11" s="56">
        <f>IF('שיבוץ'!$A10="","",'שיבוץ'!$B10&amp;"")</f>
        <v/>
      </c>
      <c r="C11" s="57">
        <f>IF('שיבוץ'!$A10="","",'שיבוץ'!$C10&amp;"")</f>
        <v/>
      </c>
      <c r="D11" s="57">
        <f>IF('שיבוץ'!$A10="","",'שיבוץ'!$D10&amp;"")</f>
        <v/>
      </c>
    </row>
    <row r="12" ht="26" customHeight="1">
      <c r="A12" s="55">
        <f>IF('שיבוץ'!$A11="","",IF('שיבוץ'!$A11='שיבוץ'!$A10,"",'שיבוץ'!$A11))</f>
        <v/>
      </c>
      <c r="B12" s="56">
        <f>IF('שיבוץ'!$A11="","",'שיבוץ'!$B11&amp;"")</f>
        <v/>
      </c>
      <c r="C12" s="57">
        <f>IF('שיבוץ'!$A11="","",'שיבוץ'!$C11&amp;"")</f>
        <v/>
      </c>
      <c r="D12" s="57">
        <f>IF('שיבוץ'!$A11="","",'שיבוץ'!$D11&amp;"")</f>
        <v/>
      </c>
    </row>
    <row r="13" ht="26" customHeight="1">
      <c r="A13" s="55">
        <f>IF('שיבוץ'!$A12="","",IF('שיבוץ'!$A12='שיבוץ'!$A11,"",'שיבוץ'!$A12))</f>
        <v/>
      </c>
      <c r="B13" s="56">
        <f>IF('שיבוץ'!$A12="","",'שיבוץ'!$B12&amp;"")</f>
        <v/>
      </c>
      <c r="C13" s="57">
        <f>IF('שיבוץ'!$A12="","",'שיבוץ'!$C12&amp;"")</f>
        <v/>
      </c>
      <c r="D13" s="57">
        <f>IF('שיבוץ'!$A12="","",'שיבוץ'!$D12&amp;"")</f>
        <v/>
      </c>
    </row>
    <row r="14" ht="26" customHeight="1">
      <c r="A14" s="55">
        <f>IF('שיבוץ'!$A13="","",IF('שיבוץ'!$A13='שיבוץ'!$A12,"",'שיבוץ'!$A13))</f>
        <v/>
      </c>
      <c r="B14" s="56">
        <f>IF('שיבוץ'!$A13="","",'שיבוץ'!$B13&amp;"")</f>
        <v/>
      </c>
      <c r="C14" s="57">
        <f>IF('שיבוץ'!$A13="","",'שיבוץ'!$C13&amp;"")</f>
        <v/>
      </c>
      <c r="D14" s="57">
        <f>IF('שיבוץ'!$A13="","",'שיבוץ'!$D13&amp;"")</f>
        <v/>
      </c>
    </row>
    <row r="15" ht="26" customHeight="1">
      <c r="A15" s="55">
        <f>IF('שיבוץ'!$A14="","",IF('שיבוץ'!$A14='שיבוץ'!$A13,"",'שיבוץ'!$A14))</f>
        <v/>
      </c>
      <c r="B15" s="56">
        <f>IF('שיבוץ'!$A14="","",'שיבוץ'!$B14&amp;"")</f>
        <v/>
      </c>
      <c r="C15" s="57">
        <f>IF('שיבוץ'!$A14="","",'שיבוץ'!$C14&amp;"")</f>
        <v/>
      </c>
      <c r="D15" s="57">
        <f>IF('שיבוץ'!$A14="","",'שיבוץ'!$D14&amp;"")</f>
        <v/>
      </c>
    </row>
    <row r="16" ht="26" customHeight="1">
      <c r="A16" s="55">
        <f>IF('שיבוץ'!$A15="","",IF('שיבוץ'!$A15='שיבוץ'!$A14,"",'שיבוץ'!$A15))</f>
        <v/>
      </c>
      <c r="B16" s="56">
        <f>IF('שיבוץ'!$A15="","",'שיבוץ'!$B15&amp;"")</f>
        <v/>
      </c>
      <c r="C16" s="57">
        <f>IF('שיבוץ'!$A15="","",'שיבוץ'!$C15&amp;"")</f>
        <v/>
      </c>
      <c r="D16" s="57">
        <f>IF('שיבוץ'!$A15="","",'שיבוץ'!$D15&amp;"")</f>
        <v/>
      </c>
    </row>
    <row r="17" ht="26" customHeight="1">
      <c r="A17" s="55">
        <f>IF('שיבוץ'!$A16="","",IF('שיבוץ'!$A16='שיבוץ'!$A15,"",'שיבוץ'!$A16))</f>
        <v/>
      </c>
      <c r="B17" s="56">
        <f>IF('שיבוץ'!$A16="","",'שיבוץ'!$B16&amp;"")</f>
        <v/>
      </c>
      <c r="C17" s="57">
        <f>IF('שיבוץ'!$A16="","",'שיבוץ'!$C16&amp;"")</f>
        <v/>
      </c>
      <c r="D17" s="57">
        <f>IF('שיבוץ'!$A16="","",'שיבוץ'!$D16&amp;"")</f>
        <v/>
      </c>
    </row>
    <row r="18" ht="26" customHeight="1">
      <c r="A18" s="55">
        <f>IF('שיבוץ'!$A17="","",IF('שיבוץ'!$A17='שיבוץ'!$A16,"",'שיבוץ'!$A17))</f>
        <v/>
      </c>
      <c r="B18" s="56">
        <f>IF('שיבוץ'!$A17="","",'שיבוץ'!$B17&amp;"")</f>
        <v/>
      </c>
      <c r="C18" s="57">
        <f>IF('שיבוץ'!$A17="","",'שיבוץ'!$C17&amp;"")</f>
        <v/>
      </c>
      <c r="D18" s="57">
        <f>IF('שיבוץ'!$A17="","",'שיבוץ'!$D17&amp;"")</f>
        <v/>
      </c>
    </row>
    <row r="19" ht="26" customHeight="1">
      <c r="A19" s="55">
        <f>IF('שיבוץ'!$A18="","",IF('שיבוץ'!$A18='שיבוץ'!$A17,"",'שיבוץ'!$A18))</f>
        <v/>
      </c>
      <c r="B19" s="56">
        <f>IF('שיבוץ'!$A18="","",'שיבוץ'!$B18&amp;"")</f>
        <v/>
      </c>
      <c r="C19" s="57">
        <f>IF('שיבוץ'!$A18="","",'שיבוץ'!$C18&amp;"")</f>
        <v/>
      </c>
      <c r="D19" s="57">
        <f>IF('שיבוץ'!$A18="","",'שיבוץ'!$D18&amp;"")</f>
        <v/>
      </c>
    </row>
    <row r="20" ht="26" customHeight="1">
      <c r="A20" s="55">
        <f>IF('שיבוץ'!$A19="","",IF('שיבוץ'!$A19='שיבוץ'!$A18,"",'שיבוץ'!$A19))</f>
        <v/>
      </c>
      <c r="B20" s="56">
        <f>IF('שיבוץ'!$A19="","",'שיבוץ'!$B19&amp;"")</f>
        <v/>
      </c>
      <c r="C20" s="57">
        <f>IF('שיבוץ'!$A19="","",'שיבוץ'!$C19&amp;"")</f>
        <v/>
      </c>
      <c r="D20" s="57">
        <f>IF('שיבוץ'!$A19="","",'שיבוץ'!$D19&amp;"")</f>
        <v/>
      </c>
    </row>
    <row r="21" ht="26" customHeight="1">
      <c r="A21" s="55">
        <f>IF('שיבוץ'!$A20="","",IF('שיבוץ'!$A20='שיבוץ'!$A19,"",'שיבוץ'!$A20))</f>
        <v/>
      </c>
      <c r="B21" s="56">
        <f>IF('שיבוץ'!$A20="","",'שיבוץ'!$B20&amp;"")</f>
        <v/>
      </c>
      <c r="C21" s="57">
        <f>IF('שיבוץ'!$A20="","",'שיבוץ'!$C20&amp;"")</f>
        <v/>
      </c>
      <c r="D21" s="57">
        <f>IF('שיבוץ'!$A20="","",'שיבוץ'!$D20&amp;"")</f>
        <v/>
      </c>
    </row>
    <row r="22" ht="26" customHeight="1">
      <c r="A22" s="55">
        <f>IF('שיבוץ'!$A21="","",IF('שיבוץ'!$A21='שיבוץ'!$A20,"",'שיבוץ'!$A21))</f>
        <v/>
      </c>
      <c r="B22" s="56">
        <f>IF('שיבוץ'!$A21="","",'שיבוץ'!$B21&amp;"")</f>
        <v/>
      </c>
      <c r="C22" s="57">
        <f>IF('שיבוץ'!$A21="","",'שיבוץ'!$C21&amp;"")</f>
        <v/>
      </c>
      <c r="D22" s="57">
        <f>IF('שיבוץ'!$A21="","",'שיבוץ'!$D21&amp;"")</f>
        <v/>
      </c>
    </row>
    <row r="23" ht="26" customHeight="1">
      <c r="A23" s="55">
        <f>IF('שיבוץ'!$A22="","",IF('שיבוץ'!$A22='שיבוץ'!$A21,"",'שיבוץ'!$A22))</f>
        <v/>
      </c>
      <c r="B23" s="56">
        <f>IF('שיבוץ'!$A22="","",'שיבוץ'!$B22&amp;"")</f>
        <v/>
      </c>
      <c r="C23" s="57">
        <f>IF('שיבוץ'!$A22="","",'שיבוץ'!$C22&amp;"")</f>
        <v/>
      </c>
      <c r="D23" s="57">
        <f>IF('שיבוץ'!$A22="","",'שיבוץ'!$D22&amp;"")</f>
        <v/>
      </c>
    </row>
    <row r="24" ht="26" customHeight="1">
      <c r="A24" s="55">
        <f>IF('שיבוץ'!$A23="","",IF('שיבוץ'!$A23='שיבוץ'!$A22,"",'שיבוץ'!$A23))</f>
        <v/>
      </c>
      <c r="B24" s="56">
        <f>IF('שיבוץ'!$A23="","",'שיבוץ'!$B23&amp;"")</f>
        <v/>
      </c>
      <c r="C24" s="57">
        <f>IF('שיבוץ'!$A23="","",'שיבוץ'!$C23&amp;"")</f>
        <v/>
      </c>
      <c r="D24" s="57">
        <f>IF('שיבוץ'!$A23="","",'שיבוץ'!$D23&amp;"")</f>
        <v/>
      </c>
    </row>
    <row r="25" ht="26" customHeight="1">
      <c r="A25" s="55">
        <f>IF('שיבוץ'!$A24="","",IF('שיבוץ'!$A24='שיבוץ'!$A23,"",'שיבוץ'!$A24))</f>
        <v/>
      </c>
      <c r="B25" s="56">
        <f>IF('שיבוץ'!$A24="","",'שיבוץ'!$B24&amp;"")</f>
        <v/>
      </c>
      <c r="C25" s="57">
        <f>IF('שיבוץ'!$A24="","",'שיבוץ'!$C24&amp;"")</f>
        <v/>
      </c>
      <c r="D25" s="57">
        <f>IF('שיבוץ'!$A24="","",'שיבוץ'!$D24&amp;"")</f>
        <v/>
      </c>
    </row>
    <row r="26" ht="26" customHeight="1">
      <c r="A26" s="55">
        <f>IF('שיבוץ'!$A25="","",IF('שיבוץ'!$A25='שיבוץ'!$A24,"",'שיבוץ'!$A25))</f>
        <v/>
      </c>
      <c r="B26" s="56">
        <f>IF('שיבוץ'!$A25="","",'שיבוץ'!$B25&amp;"")</f>
        <v/>
      </c>
      <c r="C26" s="57">
        <f>IF('שיבוץ'!$A25="","",'שיבוץ'!$C25&amp;"")</f>
        <v/>
      </c>
      <c r="D26" s="57">
        <f>IF('שיבוץ'!$A25="","",'שיבוץ'!$D25&amp;"")</f>
        <v/>
      </c>
    </row>
    <row r="27" ht="26" customHeight="1">
      <c r="A27" s="55">
        <f>IF('שיבוץ'!$A26="","",IF('שיבוץ'!$A26='שיבוץ'!$A25,"",'שיבוץ'!$A26))</f>
        <v/>
      </c>
      <c r="B27" s="56">
        <f>IF('שיבוץ'!$A26="","",'שיבוץ'!$B26&amp;"")</f>
        <v/>
      </c>
      <c r="C27" s="57">
        <f>IF('שיבוץ'!$A26="","",'שיבוץ'!$C26&amp;"")</f>
        <v/>
      </c>
      <c r="D27" s="57">
        <f>IF('שיבוץ'!$A26="","",'שיבוץ'!$D26&amp;"")</f>
        <v/>
      </c>
    </row>
    <row r="28" ht="26" customHeight="1">
      <c r="A28" s="55">
        <f>IF('שיבוץ'!$A27="","",IF('שיבוץ'!$A27='שיבוץ'!$A26,"",'שיבוץ'!$A27))</f>
        <v/>
      </c>
      <c r="B28" s="56">
        <f>IF('שיבוץ'!$A27="","",'שיבוץ'!$B27&amp;"")</f>
        <v/>
      </c>
      <c r="C28" s="57">
        <f>IF('שיבוץ'!$A27="","",'שיבוץ'!$C27&amp;"")</f>
        <v/>
      </c>
      <c r="D28" s="57">
        <f>IF('שיבוץ'!$A27="","",'שיבוץ'!$D27&amp;"")</f>
        <v/>
      </c>
    </row>
    <row r="29" ht="26" customHeight="1">
      <c r="A29" s="55">
        <f>IF('שיבוץ'!$A28="","",IF('שיבוץ'!$A28='שיבוץ'!$A27,"",'שיבוץ'!$A28))</f>
        <v/>
      </c>
      <c r="B29" s="56">
        <f>IF('שיבוץ'!$A28="","",'שיבוץ'!$B28&amp;"")</f>
        <v/>
      </c>
      <c r="C29" s="57">
        <f>IF('שיבוץ'!$A28="","",'שיבוץ'!$C28&amp;"")</f>
        <v/>
      </c>
      <c r="D29" s="57">
        <f>IF('שיבוץ'!$A28="","",'שיבוץ'!$D28&amp;"")</f>
        <v/>
      </c>
    </row>
    <row r="30" ht="26" customHeight="1">
      <c r="A30" s="55">
        <f>IF('שיבוץ'!$A29="","",IF('שיבוץ'!$A29='שיבוץ'!$A28,"",'שיבוץ'!$A29))</f>
        <v/>
      </c>
      <c r="B30" s="56">
        <f>IF('שיבוץ'!$A29="","",'שיבוץ'!$B29&amp;"")</f>
        <v/>
      </c>
      <c r="C30" s="57">
        <f>IF('שיבוץ'!$A29="","",'שיבוץ'!$C29&amp;"")</f>
        <v/>
      </c>
      <c r="D30" s="57">
        <f>IF('שיבוץ'!$A29="","",'שיבוץ'!$D29&amp;"")</f>
        <v/>
      </c>
    </row>
    <row r="31" ht="26" customHeight="1">
      <c r="A31" s="55">
        <f>IF('שיבוץ'!$A30="","",IF('שיבוץ'!$A30='שיבוץ'!$A29,"",'שיבוץ'!$A30))</f>
        <v/>
      </c>
      <c r="B31" s="56">
        <f>IF('שיבוץ'!$A30="","",'שיבוץ'!$B30&amp;"")</f>
        <v/>
      </c>
      <c r="C31" s="57">
        <f>IF('שיבוץ'!$A30="","",'שיבוץ'!$C30&amp;"")</f>
        <v/>
      </c>
      <c r="D31" s="57">
        <f>IF('שיבוץ'!$A30="","",'שיבוץ'!$D30&amp;"")</f>
        <v/>
      </c>
    </row>
    <row r="32" ht="26" customHeight="1">
      <c r="A32" s="55">
        <f>IF('שיבוץ'!$A31="","",IF('שיבוץ'!$A31='שיבוץ'!$A30,"",'שיבוץ'!$A31))</f>
        <v/>
      </c>
      <c r="B32" s="56">
        <f>IF('שיבוץ'!$A31="","",'שיבוץ'!$B31&amp;"")</f>
        <v/>
      </c>
      <c r="C32" s="57">
        <f>IF('שיבוץ'!$A31="","",'שיבוץ'!$C31&amp;"")</f>
        <v/>
      </c>
      <c r="D32" s="57">
        <f>IF('שיבוץ'!$A31="","",'שיבוץ'!$D31&amp;"")</f>
        <v/>
      </c>
    </row>
    <row r="33" ht="26" customHeight="1">
      <c r="A33" s="55">
        <f>IF('שיבוץ'!$A32="","",IF('שיבוץ'!$A32='שיבוץ'!$A31,"",'שיבוץ'!$A32))</f>
        <v/>
      </c>
      <c r="B33" s="56">
        <f>IF('שיבוץ'!$A32="","",'שיבוץ'!$B32&amp;"")</f>
        <v/>
      </c>
      <c r="C33" s="57">
        <f>IF('שיבוץ'!$A32="","",'שיבוץ'!$C32&amp;"")</f>
        <v/>
      </c>
      <c r="D33" s="57">
        <f>IF('שיבוץ'!$A32="","",'שיבוץ'!$D32&amp;"")</f>
        <v/>
      </c>
    </row>
    <row r="34" ht="26" customHeight="1">
      <c r="A34" s="55">
        <f>IF('שיבוץ'!$A33="","",IF('שיבוץ'!$A33='שיבוץ'!$A32,"",'שיבוץ'!$A33))</f>
        <v/>
      </c>
      <c r="B34" s="56">
        <f>IF('שיבוץ'!$A33="","",'שיבוץ'!$B33&amp;"")</f>
        <v/>
      </c>
      <c r="C34" s="57">
        <f>IF('שיבוץ'!$A33="","",'שיבוץ'!$C33&amp;"")</f>
        <v/>
      </c>
      <c r="D34" s="57">
        <f>IF('שיבוץ'!$A33="","",'שיבוץ'!$D33&amp;"")</f>
        <v/>
      </c>
    </row>
    <row r="35" ht="26" customHeight="1">
      <c r="A35" s="55">
        <f>IF('שיבוץ'!$A34="","",IF('שיבוץ'!$A34='שיבוץ'!$A33,"",'שיבוץ'!$A34))</f>
        <v/>
      </c>
      <c r="B35" s="56">
        <f>IF('שיבוץ'!$A34="","",'שיבוץ'!$B34&amp;"")</f>
        <v/>
      </c>
      <c r="C35" s="57">
        <f>IF('שיבוץ'!$A34="","",'שיבוץ'!$C34&amp;"")</f>
        <v/>
      </c>
      <c r="D35" s="57">
        <f>IF('שיבוץ'!$A34="","",'שיבוץ'!$D34&amp;"")</f>
        <v/>
      </c>
    </row>
    <row r="36" ht="26" customHeight="1">
      <c r="A36" s="55">
        <f>IF('שיבוץ'!$A35="","",IF('שיבוץ'!$A35='שיבוץ'!$A34,"",'שיבוץ'!$A35))</f>
        <v/>
      </c>
      <c r="B36" s="56">
        <f>IF('שיבוץ'!$A35="","",'שיבוץ'!$B35&amp;"")</f>
        <v/>
      </c>
      <c r="C36" s="57">
        <f>IF('שיבוץ'!$A35="","",'שיבוץ'!$C35&amp;"")</f>
        <v/>
      </c>
      <c r="D36" s="57">
        <f>IF('שיבוץ'!$A35="","",'שיבוץ'!$D35&amp;"")</f>
        <v/>
      </c>
    </row>
    <row r="37" ht="26" customHeight="1">
      <c r="A37" s="55">
        <f>IF('שיבוץ'!$A36="","",IF('שיבוץ'!$A36='שיבוץ'!$A35,"",'שיבוץ'!$A36))</f>
        <v/>
      </c>
      <c r="B37" s="56">
        <f>IF('שיבוץ'!$A36="","",'שיבוץ'!$B36&amp;"")</f>
        <v/>
      </c>
      <c r="C37" s="57">
        <f>IF('שיבוץ'!$A36="","",'שיבוץ'!$C36&amp;"")</f>
        <v/>
      </c>
      <c r="D37" s="57">
        <f>IF('שיבוץ'!$A36="","",'שיבוץ'!$D36&amp;"")</f>
        <v/>
      </c>
    </row>
    <row r="38" ht="26" customHeight="1">
      <c r="A38" s="55">
        <f>IF('שיבוץ'!$A37="","",IF('שיבוץ'!$A37='שיבוץ'!$A36,"",'שיבוץ'!$A37))</f>
        <v/>
      </c>
      <c r="B38" s="56">
        <f>IF('שיבוץ'!$A37="","",'שיבוץ'!$B37&amp;"")</f>
        <v/>
      </c>
      <c r="C38" s="57">
        <f>IF('שיבוץ'!$A37="","",'שיבוץ'!$C37&amp;"")</f>
        <v/>
      </c>
      <c r="D38" s="57">
        <f>IF('שיבוץ'!$A37="","",'שיבוץ'!$D37&amp;"")</f>
        <v/>
      </c>
    </row>
    <row r="39" ht="26" customHeight="1">
      <c r="A39" s="55">
        <f>IF('שיבוץ'!$A38="","",IF('שיבוץ'!$A38='שיבוץ'!$A37,"",'שיבוץ'!$A38))</f>
        <v/>
      </c>
      <c r="B39" s="56">
        <f>IF('שיבוץ'!$A38="","",'שיבוץ'!$B38&amp;"")</f>
        <v/>
      </c>
      <c r="C39" s="57">
        <f>IF('שיבוץ'!$A38="","",'שיבוץ'!$C38&amp;"")</f>
        <v/>
      </c>
      <c r="D39" s="57">
        <f>IF('שיבוץ'!$A38="","",'שיבוץ'!$D38&amp;"")</f>
        <v/>
      </c>
    </row>
    <row r="40" ht="26" customHeight="1">
      <c r="A40" s="55">
        <f>IF('שיבוץ'!$A39="","",IF('שיבוץ'!$A39='שיבוץ'!$A38,"",'שיבוץ'!$A39))</f>
        <v/>
      </c>
      <c r="B40" s="56">
        <f>IF('שיבוץ'!$A39="","",'שיבוץ'!$B39&amp;"")</f>
        <v/>
      </c>
      <c r="C40" s="57">
        <f>IF('שיבוץ'!$A39="","",'שיבוץ'!$C39&amp;"")</f>
        <v/>
      </c>
      <c r="D40" s="57">
        <f>IF('שיבוץ'!$A39="","",'שיבוץ'!$D39&amp;"")</f>
        <v/>
      </c>
    </row>
    <row r="41" ht="26" customHeight="1">
      <c r="A41" s="55">
        <f>IF('שיבוץ'!$A40="","",IF('שיבוץ'!$A40='שיבוץ'!$A39,"",'שיבוץ'!$A40))</f>
        <v/>
      </c>
      <c r="B41" s="56">
        <f>IF('שיבוץ'!$A40="","",'שיבוץ'!$B40&amp;"")</f>
        <v/>
      </c>
      <c r="C41" s="57">
        <f>IF('שיבוץ'!$A40="","",'שיבוץ'!$C40&amp;"")</f>
        <v/>
      </c>
      <c r="D41" s="57">
        <f>IF('שיבוץ'!$A40="","",'שיבוץ'!$D40&amp;"")</f>
        <v/>
      </c>
    </row>
    <row r="42" ht="26" customHeight="1">
      <c r="A42" s="55">
        <f>IF('שיבוץ'!$A41="","",IF('שיבוץ'!$A41='שיבוץ'!$A40,"",'שיבוץ'!$A41))</f>
        <v/>
      </c>
      <c r="B42" s="56">
        <f>IF('שיבוץ'!$A41="","",'שיבוץ'!$B41&amp;"")</f>
        <v/>
      </c>
      <c r="C42" s="57">
        <f>IF('שיבוץ'!$A41="","",'שיבוץ'!$C41&amp;"")</f>
        <v/>
      </c>
      <c r="D42" s="57">
        <f>IF('שיבוץ'!$A41="","",'שיבוץ'!$D41&amp;"")</f>
        <v/>
      </c>
    </row>
    <row r="43" ht="26" customHeight="1">
      <c r="A43" s="55">
        <f>IF('שיבוץ'!$A42="","",IF('שיבוץ'!$A42='שיבוץ'!$A41,"",'שיבוץ'!$A42))</f>
        <v/>
      </c>
      <c r="B43" s="56">
        <f>IF('שיבוץ'!$A42="","",'שיבוץ'!$B42&amp;"")</f>
        <v/>
      </c>
      <c r="C43" s="57">
        <f>IF('שיבוץ'!$A42="","",'שיבוץ'!$C42&amp;"")</f>
        <v/>
      </c>
      <c r="D43" s="57">
        <f>IF('שיבוץ'!$A42="","",'שיבוץ'!$D42&amp;"")</f>
        <v/>
      </c>
    </row>
    <row r="44" ht="26" customHeight="1">
      <c r="A44" s="55">
        <f>IF('שיבוץ'!$A43="","",IF('שיבוץ'!$A43='שיבוץ'!$A42,"",'שיבוץ'!$A43))</f>
        <v/>
      </c>
      <c r="B44" s="56">
        <f>IF('שיבוץ'!$A43="","",'שיבוץ'!$B43&amp;"")</f>
        <v/>
      </c>
      <c r="C44" s="57">
        <f>IF('שיבוץ'!$A43="","",'שיבוץ'!$C43&amp;"")</f>
        <v/>
      </c>
      <c r="D44" s="57">
        <f>IF('שיבוץ'!$A43="","",'שיבוץ'!$D43&amp;"")</f>
        <v/>
      </c>
    </row>
    <row r="45" ht="26" customHeight="1">
      <c r="A45" s="55">
        <f>IF('שיבוץ'!$A44="","",IF('שיבוץ'!$A44='שיבוץ'!$A43,"",'שיבוץ'!$A44))</f>
        <v/>
      </c>
      <c r="B45" s="56">
        <f>IF('שיבוץ'!$A44="","",'שיבוץ'!$B44&amp;"")</f>
        <v/>
      </c>
      <c r="C45" s="57">
        <f>IF('שיבוץ'!$A44="","",'שיבוץ'!$C44&amp;"")</f>
        <v/>
      </c>
      <c r="D45" s="57">
        <f>IF('שיבוץ'!$A44="","",'שיבוץ'!$D44&amp;"")</f>
        <v/>
      </c>
    </row>
    <row r="46" ht="26" customHeight="1">
      <c r="A46" s="55">
        <f>IF('שיבוץ'!$A45="","",IF('שיבוץ'!$A45='שיבוץ'!$A44,"",'שיבוץ'!$A45))</f>
        <v/>
      </c>
      <c r="B46" s="56">
        <f>IF('שיבוץ'!$A45="","",'שיבוץ'!$B45&amp;"")</f>
        <v/>
      </c>
      <c r="C46" s="57">
        <f>IF('שיבוץ'!$A45="","",'שיבוץ'!$C45&amp;"")</f>
        <v/>
      </c>
      <c r="D46" s="57">
        <f>IF('שיבוץ'!$A45="","",'שיבוץ'!$D45&amp;"")</f>
        <v/>
      </c>
    </row>
    <row r="47" ht="26" customHeight="1">
      <c r="A47" s="55">
        <f>IF('שיבוץ'!$A46="","",IF('שיבוץ'!$A46='שיבוץ'!$A45,"",'שיבוץ'!$A46))</f>
        <v/>
      </c>
      <c r="B47" s="56">
        <f>IF('שיבוץ'!$A46="","",'שיבוץ'!$B46&amp;"")</f>
        <v/>
      </c>
      <c r="C47" s="57">
        <f>IF('שיבוץ'!$A46="","",'שיבוץ'!$C46&amp;"")</f>
        <v/>
      </c>
      <c r="D47" s="57">
        <f>IF('שיבוץ'!$A46="","",'שיבוץ'!$D46&amp;"")</f>
        <v/>
      </c>
    </row>
    <row r="48" ht="26" customHeight="1">
      <c r="A48" s="55">
        <f>IF('שיבוץ'!$A47="","",IF('שיבוץ'!$A47='שיבוץ'!$A46,"",'שיבוץ'!$A47))</f>
        <v/>
      </c>
      <c r="B48" s="56">
        <f>IF('שיבוץ'!$A47="","",'שיבוץ'!$B47&amp;"")</f>
        <v/>
      </c>
      <c r="C48" s="57">
        <f>IF('שיבוץ'!$A47="","",'שיבוץ'!$C47&amp;"")</f>
        <v/>
      </c>
      <c r="D48" s="57">
        <f>IF('שיבוץ'!$A47="","",'שיבוץ'!$D47&amp;"")</f>
        <v/>
      </c>
    </row>
    <row r="49" ht="26" customHeight="1">
      <c r="A49" s="55">
        <f>IF('שיבוץ'!$A48="","",IF('שיבוץ'!$A48='שיבוץ'!$A47,"",'שיבוץ'!$A48))</f>
        <v/>
      </c>
      <c r="B49" s="56">
        <f>IF('שיבוץ'!$A48="","",'שיבוץ'!$B48&amp;"")</f>
        <v/>
      </c>
      <c r="C49" s="57">
        <f>IF('שיבוץ'!$A48="","",'שיבוץ'!$C48&amp;"")</f>
        <v/>
      </c>
      <c r="D49" s="57">
        <f>IF('שיבוץ'!$A48="","",'שיבוץ'!$D48&amp;"")</f>
        <v/>
      </c>
    </row>
    <row r="50" ht="26" customHeight="1">
      <c r="A50" s="55">
        <f>IF('שיבוץ'!$A49="","",IF('שיבוץ'!$A49='שיבוץ'!$A48,"",'שיבוץ'!$A49))</f>
        <v/>
      </c>
      <c r="B50" s="56">
        <f>IF('שיבוץ'!$A49="","",'שיבוץ'!$B49&amp;"")</f>
        <v/>
      </c>
      <c r="C50" s="57">
        <f>IF('שיבוץ'!$A49="","",'שיבוץ'!$C49&amp;"")</f>
        <v/>
      </c>
      <c r="D50" s="57">
        <f>IF('שיבוץ'!$A49="","",'שיבוץ'!$D49&amp;"")</f>
        <v/>
      </c>
    </row>
    <row r="51" ht="26" customHeight="1">
      <c r="A51" s="55">
        <f>IF('שיבוץ'!$A50="","",IF('שיבוץ'!$A50='שיבוץ'!$A49,"",'שיבוץ'!$A50))</f>
        <v/>
      </c>
      <c r="B51" s="56">
        <f>IF('שיבוץ'!$A50="","",'שיבוץ'!$B50&amp;"")</f>
        <v/>
      </c>
      <c r="C51" s="57">
        <f>IF('שיבוץ'!$A50="","",'שיבוץ'!$C50&amp;"")</f>
        <v/>
      </c>
      <c r="D51" s="57">
        <f>IF('שיבוץ'!$A50="","",'שיבוץ'!$D50&amp;"")</f>
        <v/>
      </c>
    </row>
    <row r="52" ht="26" customHeight="1">
      <c r="A52" s="55">
        <f>IF('שיבוץ'!$A51="","",IF('שיבוץ'!$A51='שיבוץ'!$A50,"",'שיבוץ'!$A51))</f>
        <v/>
      </c>
      <c r="B52" s="56">
        <f>IF('שיבוץ'!$A51="","",'שיבוץ'!$B51&amp;"")</f>
        <v/>
      </c>
      <c r="C52" s="57">
        <f>IF('שיבוץ'!$A51="","",'שיבוץ'!$C51&amp;"")</f>
        <v/>
      </c>
      <c r="D52" s="57">
        <f>IF('שיבוץ'!$A51="","",'שיבוץ'!$D51&amp;"")</f>
        <v/>
      </c>
    </row>
    <row r="53" ht="26" customHeight="1">
      <c r="A53" s="55">
        <f>IF('שיבוץ'!$A52="","",IF('שיבוץ'!$A52='שיבוץ'!$A51,"",'שיבוץ'!$A52))</f>
        <v/>
      </c>
      <c r="B53" s="56">
        <f>IF('שיבוץ'!$A52="","",'שיבוץ'!$B52&amp;"")</f>
        <v/>
      </c>
      <c r="C53" s="57">
        <f>IF('שיבוץ'!$A52="","",'שיבוץ'!$C52&amp;"")</f>
        <v/>
      </c>
      <c r="D53" s="57">
        <f>IF('שיבוץ'!$A52="","",'שיבוץ'!$D52&amp;"")</f>
        <v/>
      </c>
    </row>
    <row r="54" ht="26" customHeight="1">
      <c r="A54" s="55">
        <f>IF('שיבוץ'!$A53="","",IF('שיבוץ'!$A53='שיבוץ'!$A52,"",'שיבוץ'!$A53))</f>
        <v/>
      </c>
      <c r="B54" s="56">
        <f>IF('שיבוץ'!$A53="","",'שיבוץ'!$B53&amp;"")</f>
        <v/>
      </c>
      <c r="C54" s="57">
        <f>IF('שיבוץ'!$A53="","",'שיבוץ'!$C53&amp;"")</f>
        <v/>
      </c>
      <c r="D54" s="57">
        <f>IF('שיבוץ'!$A53="","",'שיבוץ'!$D53&amp;"")</f>
        <v/>
      </c>
    </row>
    <row r="55" ht="26" customHeight="1">
      <c r="A55" s="55">
        <f>IF('שיבוץ'!$A54="","",IF('שיבוץ'!$A54='שיבוץ'!$A53,"",'שיבוץ'!$A54))</f>
        <v/>
      </c>
      <c r="B55" s="56">
        <f>IF('שיבוץ'!$A54="","",'שיבוץ'!$B54&amp;"")</f>
        <v/>
      </c>
      <c r="C55" s="57">
        <f>IF('שיבוץ'!$A54="","",'שיבוץ'!$C54&amp;"")</f>
        <v/>
      </c>
      <c r="D55" s="57">
        <f>IF('שיבוץ'!$A54="","",'שיבוץ'!$D54&amp;"")</f>
        <v/>
      </c>
    </row>
    <row r="56" ht="26" customHeight="1">
      <c r="A56" s="55">
        <f>IF('שיבוץ'!$A55="","",IF('שיבוץ'!$A55='שיבוץ'!$A54,"",'שיבוץ'!$A55))</f>
        <v/>
      </c>
      <c r="B56" s="56">
        <f>IF('שיבוץ'!$A55="","",'שיבוץ'!$B55&amp;"")</f>
        <v/>
      </c>
      <c r="C56" s="57">
        <f>IF('שיבוץ'!$A55="","",'שיבוץ'!$C55&amp;"")</f>
        <v/>
      </c>
      <c r="D56" s="57">
        <f>IF('שיבוץ'!$A55="","",'שיבוץ'!$D55&amp;"")</f>
        <v/>
      </c>
    </row>
    <row r="57" ht="26" customHeight="1">
      <c r="A57" s="55">
        <f>IF('שיבוץ'!$A56="","",IF('שיבוץ'!$A56='שיבוץ'!$A55,"",'שיבוץ'!$A56))</f>
        <v/>
      </c>
      <c r="B57" s="56">
        <f>IF('שיבוץ'!$A56="","",'שיבוץ'!$B56&amp;"")</f>
        <v/>
      </c>
      <c r="C57" s="57">
        <f>IF('שיבוץ'!$A56="","",'שיבוץ'!$C56&amp;"")</f>
        <v/>
      </c>
      <c r="D57" s="57">
        <f>IF('שיבוץ'!$A56="","",'שיבוץ'!$D56&amp;"")</f>
        <v/>
      </c>
    </row>
    <row r="58" ht="26" customHeight="1">
      <c r="A58" s="55">
        <f>IF('שיבוץ'!$A57="","",IF('שיבוץ'!$A57='שיבוץ'!$A56,"",'שיבוץ'!$A57))</f>
        <v/>
      </c>
      <c r="B58" s="56">
        <f>IF('שיבוץ'!$A57="","",'שיבוץ'!$B57&amp;"")</f>
        <v/>
      </c>
      <c r="C58" s="57">
        <f>IF('שיבוץ'!$A57="","",'שיבוץ'!$C57&amp;"")</f>
        <v/>
      </c>
      <c r="D58" s="57">
        <f>IF('שיבוץ'!$A57="","",'שיבוץ'!$D57&amp;"")</f>
        <v/>
      </c>
    </row>
    <row r="59" ht="26" customHeight="1">
      <c r="A59" s="55">
        <f>IF('שיבוץ'!$A58="","",IF('שיבוץ'!$A58='שיבוץ'!$A57,"",'שיבוץ'!$A58))</f>
        <v/>
      </c>
      <c r="B59" s="56">
        <f>IF('שיבוץ'!$A58="","",'שיבוץ'!$B58&amp;"")</f>
        <v/>
      </c>
      <c r="C59" s="57">
        <f>IF('שיבוץ'!$A58="","",'שיבוץ'!$C58&amp;"")</f>
        <v/>
      </c>
      <c r="D59" s="57">
        <f>IF('שיבוץ'!$A58="","",'שיבוץ'!$D58&amp;"")</f>
        <v/>
      </c>
    </row>
    <row r="60" ht="26" customHeight="1">
      <c r="A60" s="55">
        <f>IF('שיבוץ'!$A59="","",IF('שיבוץ'!$A59='שיבוץ'!$A58,"",'שיבוץ'!$A59))</f>
        <v/>
      </c>
      <c r="B60" s="56">
        <f>IF('שיבוץ'!$A59="","",'שיבוץ'!$B59&amp;"")</f>
        <v/>
      </c>
      <c r="C60" s="57">
        <f>IF('שיבוץ'!$A59="","",'שיבוץ'!$C59&amp;"")</f>
        <v/>
      </c>
      <c r="D60" s="57">
        <f>IF('שיבוץ'!$A59="","",'שיבוץ'!$D59&amp;"")</f>
        <v/>
      </c>
    </row>
    <row r="61" ht="26" customHeight="1">
      <c r="A61" s="55">
        <f>IF('שיבוץ'!$A60="","",IF('שיבוץ'!$A60='שיבוץ'!$A59,"",'שיבוץ'!$A60))</f>
        <v/>
      </c>
      <c r="B61" s="56">
        <f>IF('שיבוץ'!$A60="","",'שיבוץ'!$B60&amp;"")</f>
        <v/>
      </c>
      <c r="C61" s="57">
        <f>IF('שיבוץ'!$A60="","",'שיבוץ'!$C60&amp;"")</f>
        <v/>
      </c>
      <c r="D61" s="57">
        <f>IF('שיבוץ'!$A60="","",'שיבוץ'!$D60&amp;"")</f>
        <v/>
      </c>
    </row>
    <row r="62" ht="26" customHeight="1">
      <c r="A62" s="55">
        <f>IF('שיבוץ'!$A61="","",IF('שיבוץ'!$A61='שיבוץ'!$A60,"",'שיבוץ'!$A61))</f>
        <v/>
      </c>
      <c r="B62" s="56">
        <f>IF('שיבוץ'!$A61="","",'שיבוץ'!$B61&amp;"")</f>
        <v/>
      </c>
      <c r="C62" s="57">
        <f>IF('שיבוץ'!$A61="","",'שיבוץ'!$C61&amp;"")</f>
        <v/>
      </c>
      <c r="D62" s="57">
        <f>IF('שיבוץ'!$A61="","",'שיבוץ'!$D61&amp;"")</f>
        <v/>
      </c>
    </row>
    <row r="63" ht="26" customHeight="1">
      <c r="A63" s="55">
        <f>IF('שיבוץ'!$A62="","",IF('שיבוץ'!$A62='שיבוץ'!$A61,"",'שיבוץ'!$A62))</f>
        <v/>
      </c>
      <c r="B63" s="56">
        <f>IF('שיבוץ'!$A62="","",'שיבוץ'!$B62&amp;"")</f>
        <v/>
      </c>
      <c r="C63" s="57">
        <f>IF('שיבוץ'!$A62="","",'שיבוץ'!$C62&amp;"")</f>
        <v/>
      </c>
      <c r="D63" s="57">
        <f>IF('שיבוץ'!$A62="","",'שיבוץ'!$D62&amp;"")</f>
        <v/>
      </c>
    </row>
    <row r="64" ht="26" customHeight="1">
      <c r="A64" s="55">
        <f>IF('שיבוץ'!$A63="","",IF('שיבוץ'!$A63='שיבוץ'!$A62,"",'שיבוץ'!$A63))</f>
        <v/>
      </c>
      <c r="B64" s="56">
        <f>IF('שיבוץ'!$A63="","",'שיבוץ'!$B63&amp;"")</f>
        <v/>
      </c>
      <c r="C64" s="57">
        <f>IF('שיבוץ'!$A63="","",'שיבוץ'!$C63&amp;"")</f>
        <v/>
      </c>
      <c r="D64" s="57">
        <f>IF('שיבוץ'!$A63="","",'שיבוץ'!$D63&amp;"")</f>
        <v/>
      </c>
    </row>
    <row r="65" ht="26" customHeight="1">
      <c r="A65" s="55">
        <f>IF('שיבוץ'!$A64="","",IF('שיבוץ'!$A64='שיבוץ'!$A63,"",'שיבוץ'!$A64))</f>
        <v/>
      </c>
      <c r="B65" s="56">
        <f>IF('שיבוץ'!$A64="","",'שיבוץ'!$B64&amp;"")</f>
        <v/>
      </c>
      <c r="C65" s="57">
        <f>IF('שיבוץ'!$A64="","",'שיבוץ'!$C64&amp;"")</f>
        <v/>
      </c>
      <c r="D65" s="57">
        <f>IF('שיבוץ'!$A64="","",'שיבוץ'!$D64&amp;"")</f>
        <v/>
      </c>
    </row>
    <row r="66" ht="26" customHeight="1">
      <c r="A66" s="55">
        <f>IF('שיבוץ'!$A65="","",IF('שיבוץ'!$A65='שיבוץ'!$A64,"",'שיבוץ'!$A65))</f>
        <v/>
      </c>
      <c r="B66" s="56">
        <f>IF('שיבוץ'!$A65="","",'שיבוץ'!$B65&amp;"")</f>
        <v/>
      </c>
      <c r="C66" s="57">
        <f>IF('שיבוץ'!$A65="","",'שיבוץ'!$C65&amp;"")</f>
        <v/>
      </c>
      <c r="D66" s="57">
        <f>IF('שיבוץ'!$A65="","",'שיבוץ'!$D65&amp;"")</f>
        <v/>
      </c>
    </row>
    <row r="67" ht="26" customHeight="1">
      <c r="A67" s="55">
        <f>IF('שיבוץ'!$A66="","",IF('שיבוץ'!$A66='שיבוץ'!$A65,"",'שיבוץ'!$A66))</f>
        <v/>
      </c>
      <c r="B67" s="56">
        <f>IF('שיבוץ'!$A66="","",'שיבוץ'!$B66&amp;"")</f>
        <v/>
      </c>
      <c r="C67" s="57">
        <f>IF('שיבוץ'!$A66="","",'שיבוץ'!$C66&amp;"")</f>
        <v/>
      </c>
      <c r="D67" s="57">
        <f>IF('שיבוץ'!$A66="","",'שיבוץ'!$D66&amp;"")</f>
        <v/>
      </c>
    </row>
    <row r="68" ht="26" customHeight="1">
      <c r="A68" s="55">
        <f>IF('שיבוץ'!$A67="","",IF('שיבוץ'!$A67='שיבוץ'!$A66,"",'שיבוץ'!$A67))</f>
        <v/>
      </c>
      <c r="B68" s="56">
        <f>IF('שיבוץ'!$A67="","",'שיבוץ'!$B67&amp;"")</f>
        <v/>
      </c>
      <c r="C68" s="57">
        <f>IF('שיבוץ'!$A67="","",'שיבוץ'!$C67&amp;"")</f>
        <v/>
      </c>
      <c r="D68" s="57">
        <f>IF('שיבוץ'!$A67="","",'שיבוץ'!$D67&amp;"")</f>
        <v/>
      </c>
    </row>
    <row r="69" ht="26" customHeight="1">
      <c r="A69" s="55">
        <f>IF('שיבוץ'!$A68="","",IF('שיבוץ'!$A68='שיבוץ'!$A67,"",'שיבוץ'!$A68))</f>
        <v/>
      </c>
      <c r="B69" s="56">
        <f>IF('שיבוץ'!$A68="","",'שיבוץ'!$B68&amp;"")</f>
        <v/>
      </c>
      <c r="C69" s="57">
        <f>IF('שיבוץ'!$A68="","",'שיבוץ'!$C68&amp;"")</f>
        <v/>
      </c>
      <c r="D69" s="57">
        <f>IF('שיבוץ'!$A68="","",'שיבוץ'!$D68&amp;"")</f>
        <v/>
      </c>
    </row>
    <row r="70" ht="26" customHeight="1">
      <c r="A70" s="55">
        <f>IF('שיבוץ'!$A69="","",IF('שיבוץ'!$A69='שיבוץ'!$A68,"",'שיבוץ'!$A69))</f>
        <v/>
      </c>
      <c r="B70" s="56">
        <f>IF('שיבוץ'!$A69="","",'שיבוץ'!$B69&amp;"")</f>
        <v/>
      </c>
      <c r="C70" s="57">
        <f>IF('שיבוץ'!$A69="","",'שיבוץ'!$C69&amp;"")</f>
        <v/>
      </c>
      <c r="D70" s="57">
        <f>IF('שיבוץ'!$A69="","",'שיבוץ'!$D69&amp;"")</f>
        <v/>
      </c>
    </row>
    <row r="71" ht="26" customHeight="1">
      <c r="A71" s="55">
        <f>IF('שיבוץ'!$A70="","",IF('שיבוץ'!$A70='שיבוץ'!$A69,"",'שיבוץ'!$A70))</f>
        <v/>
      </c>
      <c r="B71" s="56">
        <f>IF('שיבוץ'!$A70="","",'שיבוץ'!$B70&amp;"")</f>
        <v/>
      </c>
      <c r="C71" s="57">
        <f>IF('שיבוץ'!$A70="","",'שיבוץ'!$C70&amp;"")</f>
        <v/>
      </c>
      <c r="D71" s="57">
        <f>IF('שיבוץ'!$A70="","",'שיבוץ'!$D70&amp;"")</f>
        <v/>
      </c>
    </row>
    <row r="72" ht="26" customHeight="1">
      <c r="A72" s="55">
        <f>IF('שיבוץ'!$A71="","",IF('שיבוץ'!$A71='שיבוץ'!$A70,"",'שיבוץ'!$A71))</f>
        <v/>
      </c>
      <c r="B72" s="56">
        <f>IF('שיבוץ'!$A71="","",'שיבוץ'!$B71&amp;"")</f>
        <v/>
      </c>
      <c r="C72" s="57">
        <f>IF('שיבוץ'!$A71="","",'שיבוץ'!$C71&amp;"")</f>
        <v/>
      </c>
      <c r="D72" s="57">
        <f>IF('שיבוץ'!$A71="","",'שיבוץ'!$D71&amp;"")</f>
        <v/>
      </c>
    </row>
    <row r="73" ht="26" customHeight="1">
      <c r="A73" s="55">
        <f>IF('שיבוץ'!$A72="","",IF('שיבוץ'!$A72='שיבוץ'!$A71,"",'שיבוץ'!$A72))</f>
        <v/>
      </c>
      <c r="B73" s="56">
        <f>IF('שיבוץ'!$A72="","",'שיבוץ'!$B72&amp;"")</f>
        <v/>
      </c>
      <c r="C73" s="57">
        <f>IF('שיבוץ'!$A72="","",'שיבוץ'!$C72&amp;"")</f>
        <v/>
      </c>
      <c r="D73" s="57">
        <f>IF('שיבוץ'!$A72="","",'שיבוץ'!$D72&amp;"")</f>
        <v/>
      </c>
    </row>
    <row r="74" ht="26" customHeight="1">
      <c r="A74" s="55">
        <f>IF('שיבוץ'!$A73="","",IF('שיבוץ'!$A73='שיבוץ'!$A72,"",'שיבוץ'!$A73))</f>
        <v/>
      </c>
      <c r="B74" s="56">
        <f>IF('שיבוץ'!$A73="","",'שיבוץ'!$B73&amp;"")</f>
        <v/>
      </c>
      <c r="C74" s="57">
        <f>IF('שיבוץ'!$A73="","",'שיבוץ'!$C73&amp;"")</f>
        <v/>
      </c>
      <c r="D74" s="57">
        <f>IF('שיבוץ'!$A73="","",'שיבוץ'!$D73&amp;"")</f>
        <v/>
      </c>
    </row>
    <row r="75" ht="26" customHeight="1">
      <c r="A75" s="55">
        <f>IF('שיבוץ'!$A74="","",IF('שיבוץ'!$A74='שיבוץ'!$A73,"",'שיבוץ'!$A74))</f>
        <v/>
      </c>
      <c r="B75" s="56">
        <f>IF('שיבוץ'!$A74="","",'שיבוץ'!$B74&amp;"")</f>
        <v/>
      </c>
      <c r="C75" s="57">
        <f>IF('שיבוץ'!$A74="","",'שיבוץ'!$C74&amp;"")</f>
        <v/>
      </c>
      <c r="D75" s="57">
        <f>IF('שיבוץ'!$A74="","",'שיבוץ'!$D74&amp;"")</f>
        <v/>
      </c>
    </row>
    <row r="76" ht="26" customHeight="1">
      <c r="A76" s="55">
        <f>IF('שיבוץ'!$A75="","",IF('שיבוץ'!$A75='שיבוץ'!$A74,"",'שיבוץ'!$A75))</f>
        <v/>
      </c>
      <c r="B76" s="56">
        <f>IF('שיבוץ'!$A75="","",'שיבוץ'!$B75&amp;"")</f>
        <v/>
      </c>
      <c r="C76" s="57">
        <f>IF('שיבוץ'!$A75="","",'שיבוץ'!$C75&amp;"")</f>
        <v/>
      </c>
      <c r="D76" s="57">
        <f>IF('שיבוץ'!$A75="","",'שיבוץ'!$D75&amp;"")</f>
        <v/>
      </c>
    </row>
    <row r="77" ht="26" customHeight="1">
      <c r="A77" s="55">
        <f>IF('שיבוץ'!$A76="","",IF('שיבוץ'!$A76='שיבוץ'!$A75,"",'שיבוץ'!$A76))</f>
        <v/>
      </c>
      <c r="B77" s="56">
        <f>IF('שיבוץ'!$A76="","",'שיבוץ'!$B76&amp;"")</f>
        <v/>
      </c>
      <c r="C77" s="57">
        <f>IF('שיבוץ'!$A76="","",'שיבוץ'!$C76&amp;"")</f>
        <v/>
      </c>
      <c r="D77" s="57">
        <f>IF('שיבוץ'!$A76="","",'שיבוץ'!$D76&amp;"")</f>
        <v/>
      </c>
    </row>
    <row r="78" ht="26" customHeight="1">
      <c r="A78" s="55">
        <f>IF('שיבוץ'!$A77="","",IF('שיבוץ'!$A77='שיבוץ'!$A76,"",'שיבוץ'!$A77))</f>
        <v/>
      </c>
      <c r="B78" s="56">
        <f>IF('שיבוץ'!$A77="","",'שיבוץ'!$B77&amp;"")</f>
        <v/>
      </c>
      <c r="C78" s="57">
        <f>IF('שיבוץ'!$A77="","",'שיבוץ'!$C77&amp;"")</f>
        <v/>
      </c>
      <c r="D78" s="57">
        <f>IF('שיבוץ'!$A77="","",'שיבוץ'!$D77&amp;"")</f>
        <v/>
      </c>
    </row>
    <row r="79" ht="26" customHeight="1">
      <c r="A79" s="55">
        <f>IF('שיבוץ'!$A78="","",IF('שיבוץ'!$A78='שיבוץ'!$A77,"",'שיבוץ'!$A78))</f>
        <v/>
      </c>
      <c r="B79" s="56">
        <f>IF('שיבוץ'!$A78="","",'שיבוץ'!$B78&amp;"")</f>
        <v/>
      </c>
      <c r="C79" s="57">
        <f>IF('שיבוץ'!$A78="","",'שיבוץ'!$C78&amp;"")</f>
        <v/>
      </c>
      <c r="D79" s="57">
        <f>IF('שיבוץ'!$A78="","",'שיבוץ'!$D78&amp;"")</f>
        <v/>
      </c>
    </row>
    <row r="80" ht="26" customHeight="1">
      <c r="A80" s="55">
        <f>IF('שיבוץ'!$A79="","",IF('שיבוץ'!$A79='שיבוץ'!$A78,"",'שיבוץ'!$A79))</f>
        <v/>
      </c>
      <c r="B80" s="56">
        <f>IF('שיבוץ'!$A79="","",'שיבוץ'!$B79&amp;"")</f>
        <v/>
      </c>
      <c r="C80" s="57">
        <f>IF('שיבוץ'!$A79="","",'שיבוץ'!$C79&amp;"")</f>
        <v/>
      </c>
      <c r="D80" s="57">
        <f>IF('שיבוץ'!$A79="","",'שיבוץ'!$D79&amp;"")</f>
        <v/>
      </c>
    </row>
    <row r="81" ht="26" customHeight="1">
      <c r="A81" s="55">
        <f>IF('שיבוץ'!$A80="","",IF('שיבוץ'!$A80='שיבוץ'!$A79,"",'שיבוץ'!$A80))</f>
        <v/>
      </c>
      <c r="B81" s="56">
        <f>IF('שיבוץ'!$A80="","",'שיבוץ'!$B80&amp;"")</f>
        <v/>
      </c>
      <c r="C81" s="57">
        <f>IF('שיבוץ'!$A80="","",'שיבוץ'!$C80&amp;"")</f>
        <v/>
      </c>
      <c r="D81" s="57">
        <f>IF('שיבוץ'!$A80="","",'שיבוץ'!$D80&amp;"")</f>
        <v/>
      </c>
    </row>
    <row r="82" ht="26" customHeight="1">
      <c r="A82" s="55">
        <f>IF('שיבוץ'!$A81="","",IF('שיבוץ'!$A81='שיבוץ'!$A80,"",'שיבוץ'!$A81))</f>
        <v/>
      </c>
      <c r="B82" s="56">
        <f>IF('שיבוץ'!$A81="","",'שיבוץ'!$B81&amp;"")</f>
        <v/>
      </c>
      <c r="C82" s="57">
        <f>IF('שיבוץ'!$A81="","",'שיבוץ'!$C81&amp;"")</f>
        <v/>
      </c>
      <c r="D82" s="57">
        <f>IF('שיבוץ'!$A81="","",'שיבוץ'!$D81&amp;"")</f>
        <v/>
      </c>
    </row>
    <row r="83" ht="26" customHeight="1">
      <c r="A83" s="55">
        <f>IF('שיבוץ'!$A82="","",IF('שיבוץ'!$A82='שיבוץ'!$A81,"",'שיבוץ'!$A82))</f>
        <v/>
      </c>
      <c r="B83" s="56">
        <f>IF('שיבוץ'!$A82="","",'שיבוץ'!$B82&amp;"")</f>
        <v/>
      </c>
      <c r="C83" s="57">
        <f>IF('שיבוץ'!$A82="","",'שיבוץ'!$C82&amp;"")</f>
        <v/>
      </c>
      <c r="D83" s="57">
        <f>IF('שיבוץ'!$A82="","",'שיבוץ'!$D82&amp;"")</f>
        <v/>
      </c>
    </row>
    <row r="84" ht="26" customHeight="1">
      <c r="A84" s="55">
        <f>IF('שיבוץ'!$A83="","",IF('שיבוץ'!$A83='שיבוץ'!$A82,"",'שיבוץ'!$A83))</f>
        <v/>
      </c>
      <c r="B84" s="56">
        <f>IF('שיבוץ'!$A83="","",'שיבוץ'!$B83&amp;"")</f>
        <v/>
      </c>
      <c r="C84" s="57">
        <f>IF('שיבוץ'!$A83="","",'שיבוץ'!$C83&amp;"")</f>
        <v/>
      </c>
      <c r="D84" s="57">
        <f>IF('שיבוץ'!$A83="","",'שיבוץ'!$D83&amp;"")</f>
        <v/>
      </c>
    </row>
    <row r="85" ht="26" customHeight="1">
      <c r="A85" s="55">
        <f>IF('שיבוץ'!$A84="","",IF('שיבוץ'!$A84='שיבוץ'!$A83,"",'שיבוץ'!$A84))</f>
        <v/>
      </c>
      <c r="B85" s="56">
        <f>IF('שיבוץ'!$A84="","",'שיבוץ'!$B84&amp;"")</f>
        <v/>
      </c>
      <c r="C85" s="57">
        <f>IF('שיבוץ'!$A84="","",'שיבוץ'!$C84&amp;"")</f>
        <v/>
      </c>
      <c r="D85" s="57">
        <f>IF('שיבוץ'!$A84="","",'שיבוץ'!$D84&amp;"")</f>
        <v/>
      </c>
    </row>
    <row r="86" ht="26" customHeight="1">
      <c r="A86" s="55">
        <f>IF('שיבוץ'!$A85="","",IF('שיבוץ'!$A85='שיבוץ'!$A84,"",'שיבוץ'!$A85))</f>
        <v/>
      </c>
      <c r="B86" s="56">
        <f>IF('שיבוץ'!$A85="","",'שיבוץ'!$B85&amp;"")</f>
        <v/>
      </c>
      <c r="C86" s="57">
        <f>IF('שיבוץ'!$A85="","",'שיבוץ'!$C85&amp;"")</f>
        <v/>
      </c>
      <c r="D86" s="57">
        <f>IF('שיבוץ'!$A85="","",'שיבוץ'!$D85&amp;"")</f>
        <v/>
      </c>
    </row>
    <row r="87" ht="26" customHeight="1">
      <c r="A87" s="55">
        <f>IF('שיבוץ'!$A86="","",IF('שיבוץ'!$A86='שיבוץ'!$A85,"",'שיבוץ'!$A86))</f>
        <v/>
      </c>
      <c r="B87" s="56">
        <f>IF('שיבוץ'!$A86="","",'שיבוץ'!$B86&amp;"")</f>
        <v/>
      </c>
      <c r="C87" s="57">
        <f>IF('שיבוץ'!$A86="","",'שיבוץ'!$C86&amp;"")</f>
        <v/>
      </c>
      <c r="D87" s="57">
        <f>IF('שיבוץ'!$A86="","",'שיבוץ'!$D86&amp;"")</f>
        <v/>
      </c>
    </row>
    <row r="88" ht="26" customHeight="1">
      <c r="A88" s="55">
        <f>IF('שיבוץ'!$A87="","",IF('שיבוץ'!$A87='שיבוץ'!$A86,"",'שיבוץ'!$A87))</f>
        <v/>
      </c>
      <c r="B88" s="56">
        <f>IF('שיבוץ'!$A87="","",'שיבוץ'!$B87&amp;"")</f>
        <v/>
      </c>
      <c r="C88" s="57">
        <f>IF('שיבוץ'!$A87="","",'שיבוץ'!$C87&amp;"")</f>
        <v/>
      </c>
      <c r="D88" s="57">
        <f>IF('שיבוץ'!$A87="","",'שיבוץ'!$D87&amp;"")</f>
        <v/>
      </c>
    </row>
    <row r="89" ht="26" customHeight="1">
      <c r="A89" s="55">
        <f>IF('שיבוץ'!$A88="","",IF('שיבוץ'!$A88='שיבוץ'!$A87,"",'שיבוץ'!$A88))</f>
        <v/>
      </c>
      <c r="B89" s="56">
        <f>IF('שיבוץ'!$A88="","",'שיבוץ'!$B88&amp;"")</f>
        <v/>
      </c>
      <c r="C89" s="57">
        <f>IF('שיבוץ'!$A88="","",'שיבוץ'!$C88&amp;"")</f>
        <v/>
      </c>
      <c r="D89" s="57">
        <f>IF('שיבוץ'!$A88="","",'שיבוץ'!$D88&amp;"")</f>
        <v/>
      </c>
    </row>
    <row r="90" ht="26" customHeight="1">
      <c r="A90" s="55">
        <f>IF('שיבוץ'!$A89="","",IF('שיבוץ'!$A89='שיבוץ'!$A88,"",'שיבוץ'!$A89))</f>
        <v/>
      </c>
      <c r="B90" s="56">
        <f>IF('שיבוץ'!$A89="","",'שיבוץ'!$B89&amp;"")</f>
        <v/>
      </c>
      <c r="C90" s="57">
        <f>IF('שיבוץ'!$A89="","",'שיבוץ'!$C89&amp;"")</f>
        <v/>
      </c>
      <c r="D90" s="57">
        <f>IF('שיבוץ'!$A89="","",'שיבוץ'!$D89&amp;"")</f>
        <v/>
      </c>
    </row>
    <row r="91" ht="26" customHeight="1">
      <c r="A91" s="55">
        <f>IF('שיבוץ'!$A90="","",IF('שיבוץ'!$A90='שיבוץ'!$A89,"",'שיבוץ'!$A90))</f>
        <v/>
      </c>
      <c r="B91" s="56">
        <f>IF('שיבוץ'!$A90="","",'שיבוץ'!$B90&amp;"")</f>
        <v/>
      </c>
      <c r="C91" s="57">
        <f>IF('שיבוץ'!$A90="","",'שיבוץ'!$C90&amp;"")</f>
        <v/>
      </c>
      <c r="D91" s="57">
        <f>IF('שיבוץ'!$A90="","",'שיבוץ'!$D90&amp;"")</f>
        <v/>
      </c>
    </row>
    <row r="92" ht="26" customHeight="1">
      <c r="A92" s="55">
        <f>IF('שיבוץ'!$A91="","",IF('שיבוץ'!$A91='שיבוץ'!$A90,"",'שיבוץ'!$A91))</f>
        <v/>
      </c>
      <c r="B92" s="56">
        <f>IF('שיבוץ'!$A91="","",'שיבוץ'!$B91&amp;"")</f>
        <v/>
      </c>
      <c r="C92" s="57">
        <f>IF('שיבוץ'!$A91="","",'שיבוץ'!$C91&amp;"")</f>
        <v/>
      </c>
      <c r="D92" s="57">
        <f>IF('שיבוץ'!$A91="","",'שיבוץ'!$D91&amp;"")</f>
        <v/>
      </c>
    </row>
    <row r="93" ht="26" customHeight="1">
      <c r="A93" s="55">
        <f>IF('שיבוץ'!$A92="","",IF('שיבוץ'!$A92='שיבוץ'!$A91,"",'שיבוץ'!$A92))</f>
        <v/>
      </c>
      <c r="B93" s="56">
        <f>IF('שיבוץ'!$A92="","",'שיבוץ'!$B92&amp;"")</f>
        <v/>
      </c>
      <c r="C93" s="57">
        <f>IF('שיבוץ'!$A92="","",'שיבוץ'!$C92&amp;"")</f>
        <v/>
      </c>
      <c r="D93" s="57">
        <f>IF('שיבוץ'!$A92="","",'שיבוץ'!$D92&amp;"")</f>
        <v/>
      </c>
    </row>
    <row r="94" ht="26" customHeight="1">
      <c r="A94" s="55">
        <f>IF('שיבוץ'!$A93="","",IF('שיבוץ'!$A93='שיבוץ'!$A92,"",'שיבוץ'!$A93))</f>
        <v/>
      </c>
      <c r="B94" s="56">
        <f>IF('שיבוץ'!$A93="","",'שיבוץ'!$B93&amp;"")</f>
        <v/>
      </c>
      <c r="C94" s="57">
        <f>IF('שיבוץ'!$A93="","",'שיבוץ'!$C93&amp;"")</f>
        <v/>
      </c>
      <c r="D94" s="57">
        <f>IF('שיבוץ'!$A93="","",'שיבוץ'!$D93&amp;"")</f>
        <v/>
      </c>
    </row>
    <row r="95" ht="26" customHeight="1">
      <c r="A95" s="55">
        <f>IF('שיבוץ'!$A94="","",IF('שיבוץ'!$A94='שיבוץ'!$A93,"",'שיבוץ'!$A94))</f>
        <v/>
      </c>
      <c r="B95" s="56">
        <f>IF('שיבוץ'!$A94="","",'שיבוץ'!$B94&amp;"")</f>
        <v/>
      </c>
      <c r="C95" s="57">
        <f>IF('שיבוץ'!$A94="","",'שיבוץ'!$C94&amp;"")</f>
        <v/>
      </c>
      <c r="D95" s="57">
        <f>IF('שיבוץ'!$A94="","",'שיבוץ'!$D94&amp;"")</f>
        <v/>
      </c>
    </row>
    <row r="96" ht="26" customHeight="1">
      <c r="A96" s="55">
        <f>IF('שיבוץ'!$A95="","",IF('שיבוץ'!$A95='שיבוץ'!$A94,"",'שיבוץ'!$A95))</f>
        <v/>
      </c>
      <c r="B96" s="56">
        <f>IF('שיבוץ'!$A95="","",'שיבוץ'!$B95&amp;"")</f>
        <v/>
      </c>
      <c r="C96" s="57">
        <f>IF('שיבוץ'!$A95="","",'שיבוץ'!$C95&amp;"")</f>
        <v/>
      </c>
      <c r="D96" s="57">
        <f>IF('שיבוץ'!$A95="","",'שיבוץ'!$D95&amp;"")</f>
        <v/>
      </c>
    </row>
    <row r="97" ht="26" customHeight="1">
      <c r="A97" s="55">
        <f>IF('שיבוץ'!$A96="","",IF('שיבוץ'!$A96='שיבוץ'!$A95,"",'שיבוץ'!$A96))</f>
        <v/>
      </c>
      <c r="B97" s="56">
        <f>IF('שיבוץ'!$A96="","",'שיבוץ'!$B96&amp;"")</f>
        <v/>
      </c>
      <c r="C97" s="57">
        <f>IF('שיבוץ'!$A96="","",'שיבוץ'!$C96&amp;"")</f>
        <v/>
      </c>
      <c r="D97" s="57">
        <f>IF('שיבוץ'!$A96="","",'שיבוץ'!$D96&amp;"")</f>
        <v/>
      </c>
    </row>
    <row r="98" ht="26" customHeight="1">
      <c r="A98" s="55">
        <f>IF('שיבוץ'!$A97="","",IF('שיבוץ'!$A97='שיבוץ'!$A96,"",'שיבוץ'!$A97))</f>
        <v/>
      </c>
      <c r="B98" s="56">
        <f>IF('שיבוץ'!$A97="","",'שיבוץ'!$B97&amp;"")</f>
        <v/>
      </c>
      <c r="C98" s="57">
        <f>IF('שיבוץ'!$A97="","",'שיבוץ'!$C97&amp;"")</f>
        <v/>
      </c>
      <c r="D98" s="57">
        <f>IF('שיבוץ'!$A97="","",'שיבוץ'!$D97&amp;"")</f>
        <v/>
      </c>
    </row>
    <row r="99" ht="26" customHeight="1">
      <c r="A99" s="55">
        <f>IF('שיבוץ'!$A98="","",IF('שיבוץ'!$A98='שיבוץ'!$A97,"",'שיבוץ'!$A98))</f>
        <v/>
      </c>
      <c r="B99" s="56">
        <f>IF('שיבוץ'!$A98="","",'שיבוץ'!$B98&amp;"")</f>
        <v/>
      </c>
      <c r="C99" s="57">
        <f>IF('שיבוץ'!$A98="","",'שיבוץ'!$C98&amp;"")</f>
        <v/>
      </c>
      <c r="D99" s="57">
        <f>IF('שיבוץ'!$A98="","",'שיבוץ'!$D98&amp;"")</f>
        <v/>
      </c>
    </row>
    <row r="100" ht="26" customHeight="1">
      <c r="A100" s="55">
        <f>IF('שיבוץ'!$A99="","",IF('שיבוץ'!$A99='שיבוץ'!$A98,"",'שיבוץ'!$A99))</f>
        <v/>
      </c>
      <c r="B100" s="56">
        <f>IF('שיבוץ'!$A99="","",'שיבוץ'!$B99&amp;"")</f>
        <v/>
      </c>
      <c r="C100" s="57">
        <f>IF('שיבוץ'!$A99="","",'שיבוץ'!$C99&amp;"")</f>
        <v/>
      </c>
      <c r="D100" s="57">
        <f>IF('שיבוץ'!$A99="","",'שיבוץ'!$D99&amp;"")</f>
        <v/>
      </c>
    </row>
    <row r="101" ht="26" customHeight="1">
      <c r="A101" s="55">
        <f>IF('שיבוץ'!$A100="","",IF('שיבוץ'!$A100='שיבוץ'!$A99,"",'שיבוץ'!$A100))</f>
        <v/>
      </c>
      <c r="B101" s="56">
        <f>IF('שיבוץ'!$A100="","",'שיבוץ'!$B100&amp;"")</f>
        <v/>
      </c>
      <c r="C101" s="57">
        <f>IF('שיבוץ'!$A100="","",'שיבוץ'!$C100&amp;"")</f>
        <v/>
      </c>
      <c r="D101" s="57">
        <f>IF('שיבוץ'!$A100="","",'שיבוץ'!$D100&amp;"")</f>
        <v/>
      </c>
    </row>
    <row r="102" ht="26" customHeight="1">
      <c r="A102" s="55">
        <f>IF('שיבוץ'!$A101="","",IF('שיבוץ'!$A101='שיבוץ'!$A100,"",'שיבוץ'!$A101))</f>
        <v/>
      </c>
      <c r="B102" s="56">
        <f>IF('שיבוץ'!$A101="","",'שיבוץ'!$B101&amp;"")</f>
        <v/>
      </c>
      <c r="C102" s="57">
        <f>IF('שיבוץ'!$A101="","",'שיבוץ'!$C101&amp;"")</f>
        <v/>
      </c>
      <c r="D102" s="57">
        <f>IF('שיבוץ'!$A101="","",'שיבוץ'!$D101&amp;"")</f>
        <v/>
      </c>
    </row>
    <row r="103" ht="26" customHeight="1">
      <c r="A103" s="55">
        <f>IF('שיבוץ'!$A102="","",IF('שיבוץ'!$A102='שיבוץ'!$A101,"",'שיבוץ'!$A102))</f>
        <v/>
      </c>
      <c r="B103" s="56">
        <f>IF('שיבוץ'!$A102="","",'שיבוץ'!$B102&amp;"")</f>
        <v/>
      </c>
      <c r="C103" s="57">
        <f>IF('שיבוץ'!$A102="","",'שיבוץ'!$C102&amp;"")</f>
        <v/>
      </c>
      <c r="D103" s="57">
        <f>IF('שיבוץ'!$A102="","",'שיבוץ'!$D102&amp;"")</f>
        <v/>
      </c>
    </row>
    <row r="104" ht="26" customHeight="1">
      <c r="A104" s="55">
        <f>IF('שיבוץ'!$A103="","",IF('שיבוץ'!$A103='שיבוץ'!$A102,"",'שיבוץ'!$A103))</f>
        <v/>
      </c>
      <c r="B104" s="56">
        <f>IF('שיבוץ'!$A103="","",'שיבוץ'!$B103&amp;"")</f>
        <v/>
      </c>
      <c r="C104" s="57">
        <f>IF('שיבוץ'!$A103="","",'שיבוץ'!$C103&amp;"")</f>
        <v/>
      </c>
      <c r="D104" s="57">
        <f>IF('שיבוץ'!$A103="","",'שיבוץ'!$D103&amp;"")</f>
        <v/>
      </c>
    </row>
    <row r="105" ht="26" customHeight="1">
      <c r="A105" s="55">
        <f>IF('שיבוץ'!$A104="","",IF('שיבוץ'!$A104='שיבוץ'!$A103,"",'שיבוץ'!$A104))</f>
        <v/>
      </c>
      <c r="B105" s="56">
        <f>IF('שיבוץ'!$A104="","",'שיבוץ'!$B104&amp;"")</f>
        <v/>
      </c>
      <c r="C105" s="57">
        <f>IF('שיבוץ'!$A104="","",'שיבוץ'!$C104&amp;"")</f>
        <v/>
      </c>
      <c r="D105" s="57">
        <f>IF('שיבוץ'!$A104="","",'שיבוץ'!$D104&amp;"")</f>
        <v/>
      </c>
    </row>
    <row r="106" ht="26" customHeight="1">
      <c r="A106" s="55">
        <f>IF('שיבוץ'!$A105="","",IF('שיבוץ'!$A105='שיבוץ'!$A104,"",'שיבוץ'!$A105))</f>
        <v/>
      </c>
      <c r="B106" s="56">
        <f>IF('שיבוץ'!$A105="","",'שיבוץ'!$B105&amp;"")</f>
        <v/>
      </c>
      <c r="C106" s="57">
        <f>IF('שיבוץ'!$A105="","",'שיבוץ'!$C105&amp;"")</f>
        <v/>
      </c>
      <c r="D106" s="57">
        <f>IF('שיבוץ'!$A105="","",'שיבוץ'!$D105&amp;"")</f>
        <v/>
      </c>
    </row>
    <row r="107" ht="26" customHeight="1">
      <c r="A107" s="55">
        <f>IF('שיבוץ'!$A106="","",IF('שיבוץ'!$A106='שיבוץ'!$A105,"",'שיבוץ'!$A106))</f>
        <v/>
      </c>
      <c r="B107" s="56">
        <f>IF('שיבוץ'!$A106="","",'שיבוץ'!$B106&amp;"")</f>
        <v/>
      </c>
      <c r="C107" s="57">
        <f>IF('שיבוץ'!$A106="","",'שיבוץ'!$C106&amp;"")</f>
        <v/>
      </c>
      <c r="D107" s="57">
        <f>IF('שיבוץ'!$A106="","",'שיבוץ'!$D106&amp;"")</f>
        <v/>
      </c>
    </row>
    <row r="108" ht="26" customHeight="1">
      <c r="A108" s="55">
        <f>IF('שיבוץ'!$A107="","",IF('שיבוץ'!$A107='שיבוץ'!$A106,"",'שיבוץ'!$A107))</f>
        <v/>
      </c>
      <c r="B108" s="56">
        <f>IF('שיבוץ'!$A107="","",'שיבוץ'!$B107&amp;"")</f>
        <v/>
      </c>
      <c r="C108" s="57">
        <f>IF('שיבוץ'!$A107="","",'שיבוץ'!$C107&amp;"")</f>
        <v/>
      </c>
      <c r="D108" s="57">
        <f>IF('שיבוץ'!$A107="","",'שיבוץ'!$D107&amp;"")</f>
        <v/>
      </c>
    </row>
    <row r="109" ht="26" customHeight="1">
      <c r="A109" s="55">
        <f>IF('שיבוץ'!$A108="","",IF('שיבוץ'!$A108='שיבוץ'!$A107,"",'שיבוץ'!$A108))</f>
        <v/>
      </c>
      <c r="B109" s="56">
        <f>IF('שיבוץ'!$A108="","",'שיבוץ'!$B108&amp;"")</f>
        <v/>
      </c>
      <c r="C109" s="57">
        <f>IF('שיבוץ'!$A108="","",'שיבוץ'!$C108&amp;"")</f>
        <v/>
      </c>
      <c r="D109" s="57">
        <f>IF('שיבוץ'!$A108="","",'שיבוץ'!$D108&amp;"")</f>
        <v/>
      </c>
    </row>
    <row r="110" ht="26" customHeight="1">
      <c r="A110" s="55">
        <f>IF('שיבוץ'!$A109="","",IF('שיבוץ'!$A109='שיבוץ'!$A108,"",'שיבוץ'!$A109))</f>
        <v/>
      </c>
      <c r="B110" s="56">
        <f>IF('שיבוץ'!$A109="","",'שיבוץ'!$B109&amp;"")</f>
        <v/>
      </c>
      <c r="C110" s="57">
        <f>IF('שיבוץ'!$A109="","",'שיבוץ'!$C109&amp;"")</f>
        <v/>
      </c>
      <c r="D110" s="57">
        <f>IF('שיבוץ'!$A109="","",'שיבוץ'!$D109&amp;"")</f>
        <v/>
      </c>
    </row>
    <row r="111" ht="26" customHeight="1">
      <c r="A111" s="55">
        <f>IF('שיבוץ'!$A110="","",IF('שיבוץ'!$A110='שיבוץ'!$A109,"",'שיבוץ'!$A110))</f>
        <v/>
      </c>
      <c r="B111" s="56">
        <f>IF('שיבוץ'!$A110="","",'שיבוץ'!$B110&amp;"")</f>
        <v/>
      </c>
      <c r="C111" s="57">
        <f>IF('שיבוץ'!$A110="","",'שיבוץ'!$C110&amp;"")</f>
        <v/>
      </c>
      <c r="D111" s="57">
        <f>IF('שיבוץ'!$A110="","",'שיבוץ'!$D110&amp;"")</f>
        <v/>
      </c>
    </row>
    <row r="112" ht="26" customHeight="1">
      <c r="A112" s="55">
        <f>IF('שיבוץ'!$A111="","",IF('שיבוץ'!$A111='שיבוץ'!$A110,"",'שיבוץ'!$A111))</f>
        <v/>
      </c>
      <c r="B112" s="56">
        <f>IF('שיבוץ'!$A111="","",'שיבוץ'!$B111&amp;"")</f>
        <v/>
      </c>
      <c r="C112" s="57">
        <f>IF('שיבוץ'!$A111="","",'שיבוץ'!$C111&amp;"")</f>
        <v/>
      </c>
      <c r="D112" s="57">
        <f>IF('שיבוץ'!$A111="","",'שיבוץ'!$D111&amp;"")</f>
        <v/>
      </c>
    </row>
    <row r="113" ht="26" customHeight="1">
      <c r="A113" s="55">
        <f>IF('שיבוץ'!$A112="","",IF('שיבוץ'!$A112='שיבוץ'!$A111,"",'שיבוץ'!$A112))</f>
        <v/>
      </c>
      <c r="B113" s="56">
        <f>IF('שיבוץ'!$A112="","",'שיבוץ'!$B112&amp;"")</f>
        <v/>
      </c>
      <c r="C113" s="57">
        <f>IF('שיבוץ'!$A112="","",'שיבוץ'!$C112&amp;"")</f>
        <v/>
      </c>
      <c r="D113" s="57">
        <f>IF('שיבוץ'!$A112="","",'שיבוץ'!$D112&amp;"")</f>
        <v/>
      </c>
    </row>
    <row r="114" ht="26" customHeight="1">
      <c r="A114" s="55">
        <f>IF('שיבוץ'!$A113="","",IF('שיבוץ'!$A113='שיבוץ'!$A112,"",'שיבוץ'!$A113))</f>
        <v/>
      </c>
      <c r="B114" s="56">
        <f>IF('שיבוץ'!$A113="","",'שיבוץ'!$B113&amp;"")</f>
        <v/>
      </c>
      <c r="C114" s="57">
        <f>IF('שיבוץ'!$A113="","",'שיבוץ'!$C113&amp;"")</f>
        <v/>
      </c>
      <c r="D114" s="57">
        <f>IF('שיבוץ'!$A113="","",'שיבוץ'!$D113&amp;"")</f>
        <v/>
      </c>
    </row>
    <row r="115" ht="26" customHeight="1">
      <c r="A115" s="55">
        <f>IF('שיבוץ'!$A114="","",IF('שיבוץ'!$A114='שיבוץ'!$A113,"",'שיבוץ'!$A114))</f>
        <v/>
      </c>
      <c r="B115" s="56">
        <f>IF('שיבוץ'!$A114="","",'שיבוץ'!$B114&amp;"")</f>
        <v/>
      </c>
      <c r="C115" s="57">
        <f>IF('שיבוץ'!$A114="","",'שיבוץ'!$C114&amp;"")</f>
        <v/>
      </c>
      <c r="D115" s="57">
        <f>IF('שיבוץ'!$A114="","",'שיבוץ'!$D114&amp;"")</f>
        <v/>
      </c>
    </row>
    <row r="116" ht="26" customHeight="1">
      <c r="A116" s="55">
        <f>IF('שיבוץ'!$A115="","",IF('שיבוץ'!$A115='שיבוץ'!$A114,"",'שיבוץ'!$A115))</f>
        <v/>
      </c>
      <c r="B116" s="56">
        <f>IF('שיבוץ'!$A115="","",'שיבוץ'!$B115&amp;"")</f>
        <v/>
      </c>
      <c r="C116" s="57">
        <f>IF('שיבוץ'!$A115="","",'שיבוץ'!$C115&amp;"")</f>
        <v/>
      </c>
      <c r="D116" s="57">
        <f>IF('שיבוץ'!$A115="","",'שיבוץ'!$D115&amp;"")</f>
        <v/>
      </c>
    </row>
    <row r="117" ht="26" customHeight="1">
      <c r="A117" s="55">
        <f>IF('שיבוץ'!$A116="","",IF('שיבוץ'!$A116='שיבוץ'!$A115,"",'שיבוץ'!$A116))</f>
        <v/>
      </c>
      <c r="B117" s="56">
        <f>IF('שיבוץ'!$A116="","",'שיבוץ'!$B116&amp;"")</f>
        <v/>
      </c>
      <c r="C117" s="57">
        <f>IF('שיבוץ'!$A116="","",'שיבוץ'!$C116&amp;"")</f>
        <v/>
      </c>
      <c r="D117" s="57">
        <f>IF('שיבוץ'!$A116="","",'שיבוץ'!$D116&amp;"")</f>
        <v/>
      </c>
    </row>
    <row r="118" ht="26" customHeight="1">
      <c r="A118" s="55">
        <f>IF('שיבוץ'!$A117="","",IF('שיבוץ'!$A117='שיבוץ'!$A116,"",'שיבוץ'!$A117))</f>
        <v/>
      </c>
      <c r="B118" s="56">
        <f>IF('שיבוץ'!$A117="","",'שיבוץ'!$B117&amp;"")</f>
        <v/>
      </c>
      <c r="C118" s="57">
        <f>IF('שיבוץ'!$A117="","",'שיבוץ'!$C117&amp;"")</f>
        <v/>
      </c>
      <c r="D118" s="57">
        <f>IF('שיבוץ'!$A117="","",'שיבוץ'!$D117&amp;"")</f>
        <v/>
      </c>
    </row>
    <row r="119" ht="26" customHeight="1">
      <c r="A119" s="55">
        <f>IF('שיבוץ'!$A118="","",IF('שיבוץ'!$A118='שיבוץ'!$A117,"",'שיבוץ'!$A118))</f>
        <v/>
      </c>
      <c r="B119" s="56">
        <f>IF('שיבוץ'!$A118="","",'שיבוץ'!$B118&amp;"")</f>
        <v/>
      </c>
      <c r="C119" s="57">
        <f>IF('שיבוץ'!$A118="","",'שיבוץ'!$C118&amp;"")</f>
        <v/>
      </c>
      <c r="D119" s="57">
        <f>IF('שיבוץ'!$A118="","",'שיבוץ'!$D118&amp;"")</f>
        <v/>
      </c>
    </row>
    <row r="120" ht="26" customHeight="1">
      <c r="A120" s="55">
        <f>IF('שיבוץ'!$A119="","",IF('שיבוץ'!$A119='שיבוץ'!$A118,"",'שיבוץ'!$A119))</f>
        <v/>
      </c>
      <c r="B120" s="56">
        <f>IF('שיבוץ'!$A119="","",'שיבוץ'!$B119&amp;"")</f>
        <v/>
      </c>
      <c r="C120" s="57">
        <f>IF('שיבוץ'!$A119="","",'שיבוץ'!$C119&amp;"")</f>
        <v/>
      </c>
      <c r="D120" s="57">
        <f>IF('שיבוץ'!$A119="","",'שיבוץ'!$D119&amp;"")</f>
        <v/>
      </c>
    </row>
    <row r="121" ht="26" customHeight="1">
      <c r="A121" s="55">
        <f>IF('שיבוץ'!$A120="","",IF('שיבוץ'!$A120='שיבוץ'!$A119,"",'שיבוץ'!$A120))</f>
        <v/>
      </c>
      <c r="B121" s="56">
        <f>IF('שיבוץ'!$A120="","",'שיבוץ'!$B120&amp;"")</f>
        <v/>
      </c>
      <c r="C121" s="57">
        <f>IF('שיבוץ'!$A120="","",'שיבוץ'!$C120&amp;"")</f>
        <v/>
      </c>
      <c r="D121" s="57">
        <f>IF('שיבוץ'!$A120="","",'שיבוץ'!$D120&amp;"")</f>
        <v/>
      </c>
    </row>
    <row r="122" ht="26" customHeight="1">
      <c r="A122" s="55">
        <f>IF('שיבוץ'!$A121="","",IF('שיבוץ'!$A121='שיבוץ'!$A120,"",'שיבוץ'!$A121))</f>
        <v/>
      </c>
      <c r="B122" s="56">
        <f>IF('שיבוץ'!$A121="","",'שיבוץ'!$B121&amp;"")</f>
        <v/>
      </c>
      <c r="C122" s="57">
        <f>IF('שיבוץ'!$A121="","",'שיבוץ'!$C121&amp;"")</f>
        <v/>
      </c>
      <c r="D122" s="57">
        <f>IF('שיבוץ'!$A121="","",'שיבוץ'!$D121&amp;"")</f>
        <v/>
      </c>
    </row>
    <row r="123" ht="26" customHeight="1">
      <c r="A123" s="55">
        <f>IF('שיבוץ'!$A122="","",IF('שיבוץ'!$A122='שיבוץ'!$A121,"",'שיבוץ'!$A122))</f>
        <v/>
      </c>
      <c r="B123" s="56">
        <f>IF('שיבוץ'!$A122="","",'שיבוץ'!$B122&amp;"")</f>
        <v/>
      </c>
      <c r="C123" s="57">
        <f>IF('שיבוץ'!$A122="","",'שיבוץ'!$C122&amp;"")</f>
        <v/>
      </c>
      <c r="D123" s="57">
        <f>IF('שיבוץ'!$A122="","",'שיבוץ'!$D122&amp;"")</f>
        <v/>
      </c>
    </row>
    <row r="124" ht="26" customHeight="1">
      <c r="A124" s="55">
        <f>IF('שיבוץ'!$A123="","",IF('שיבוץ'!$A123='שיבוץ'!$A122,"",'שיבוץ'!$A123))</f>
        <v/>
      </c>
      <c r="B124" s="56">
        <f>IF('שיבוץ'!$A123="","",'שיבוץ'!$B123&amp;"")</f>
        <v/>
      </c>
      <c r="C124" s="57">
        <f>IF('שיבוץ'!$A123="","",'שיבוץ'!$C123&amp;"")</f>
        <v/>
      </c>
      <c r="D124" s="57">
        <f>IF('שיבוץ'!$A123="","",'שיבוץ'!$D123&amp;"")</f>
        <v/>
      </c>
    </row>
    <row r="125" ht="26" customHeight="1">
      <c r="A125" s="55">
        <f>IF('שיבוץ'!$A124="","",IF('שיבוץ'!$A124='שיבוץ'!$A123,"",'שיבוץ'!$A124))</f>
        <v/>
      </c>
      <c r="B125" s="56">
        <f>IF('שיבוץ'!$A124="","",'שיבוץ'!$B124&amp;"")</f>
        <v/>
      </c>
      <c r="C125" s="57">
        <f>IF('שיבוץ'!$A124="","",'שיבוץ'!$C124&amp;"")</f>
        <v/>
      </c>
      <c r="D125" s="57">
        <f>IF('שיבוץ'!$A124="","",'שיבוץ'!$D124&amp;"")</f>
        <v/>
      </c>
    </row>
    <row r="126" ht="26" customHeight="1">
      <c r="A126" s="55">
        <f>IF('שיבוץ'!$A125="","",IF('שיבוץ'!$A125='שיבוץ'!$A124,"",'שיבוץ'!$A125))</f>
        <v/>
      </c>
      <c r="B126" s="56">
        <f>IF('שיבוץ'!$A125="","",'שיבוץ'!$B125&amp;"")</f>
        <v/>
      </c>
      <c r="C126" s="57">
        <f>IF('שיבוץ'!$A125="","",'שיבוץ'!$C125&amp;"")</f>
        <v/>
      </c>
      <c r="D126" s="57">
        <f>IF('שיבוץ'!$A125="","",'שיבוץ'!$D125&amp;"")</f>
        <v/>
      </c>
    </row>
    <row r="127" ht="26" customHeight="1">
      <c r="A127" s="55">
        <f>IF('שיבוץ'!$A126="","",IF('שיבוץ'!$A126='שיבוץ'!$A125,"",'שיבוץ'!$A126))</f>
        <v/>
      </c>
      <c r="B127" s="56">
        <f>IF('שיבוץ'!$A126="","",'שיבוץ'!$B126&amp;"")</f>
        <v/>
      </c>
      <c r="C127" s="57">
        <f>IF('שיבוץ'!$A126="","",'שיבוץ'!$C126&amp;"")</f>
        <v/>
      </c>
      <c r="D127" s="57">
        <f>IF('שיבוץ'!$A126="","",'שיבוץ'!$D126&amp;"")</f>
        <v/>
      </c>
    </row>
    <row r="128" ht="26" customHeight="1">
      <c r="A128" s="55">
        <f>IF('שיבוץ'!$A127="","",IF('שיבוץ'!$A127='שיבוץ'!$A126,"",'שיבוץ'!$A127))</f>
        <v/>
      </c>
      <c r="B128" s="56">
        <f>IF('שיבוץ'!$A127="","",'שיבוץ'!$B127&amp;"")</f>
        <v/>
      </c>
      <c r="C128" s="57">
        <f>IF('שיבוץ'!$A127="","",'שיבוץ'!$C127&amp;"")</f>
        <v/>
      </c>
      <c r="D128" s="57">
        <f>IF('שיבוץ'!$A127="","",'שיבוץ'!$D127&amp;"")</f>
        <v/>
      </c>
    </row>
    <row r="129" ht="26" customHeight="1">
      <c r="A129" s="55">
        <f>IF('שיבוץ'!$A128="","",IF('שיבוץ'!$A128='שיבוץ'!$A127,"",'שיבוץ'!$A128))</f>
        <v/>
      </c>
      <c r="B129" s="56">
        <f>IF('שיבוץ'!$A128="","",'שיבוץ'!$B128&amp;"")</f>
        <v/>
      </c>
      <c r="C129" s="57">
        <f>IF('שיבוץ'!$A128="","",'שיבוץ'!$C128&amp;"")</f>
        <v/>
      </c>
      <c r="D129" s="57">
        <f>IF('שיבוץ'!$A128="","",'שיבוץ'!$D128&amp;"")</f>
        <v/>
      </c>
    </row>
    <row r="130" ht="26" customHeight="1">
      <c r="A130" s="55">
        <f>IF('שיבוץ'!$A129="","",IF('שיבוץ'!$A129='שיבוץ'!$A128,"",'שיבוץ'!$A129))</f>
        <v/>
      </c>
      <c r="B130" s="56">
        <f>IF('שיבוץ'!$A129="","",'שיבוץ'!$B129&amp;"")</f>
        <v/>
      </c>
      <c r="C130" s="57">
        <f>IF('שיבוץ'!$A129="","",'שיבוץ'!$C129&amp;"")</f>
        <v/>
      </c>
      <c r="D130" s="57">
        <f>IF('שיבוץ'!$A129="","",'שיבוץ'!$D129&amp;"")</f>
        <v/>
      </c>
    </row>
    <row r="131" ht="26" customHeight="1">
      <c r="A131" s="55">
        <f>IF('שיבוץ'!$A130="","",IF('שיבוץ'!$A130='שיבוץ'!$A129,"",'שיבוץ'!$A130))</f>
        <v/>
      </c>
      <c r="B131" s="56">
        <f>IF('שיבוץ'!$A130="","",'שיבוץ'!$B130&amp;"")</f>
        <v/>
      </c>
      <c r="C131" s="57">
        <f>IF('שיבוץ'!$A130="","",'שיבוץ'!$C130&amp;"")</f>
        <v/>
      </c>
      <c r="D131" s="57">
        <f>IF('שיבוץ'!$A130="","",'שיבוץ'!$D130&amp;"")</f>
        <v/>
      </c>
    </row>
    <row r="132" ht="26" customHeight="1">
      <c r="A132" s="55">
        <f>IF('שיבוץ'!$A131="","",IF('שיבוץ'!$A131='שיבוץ'!$A130,"",'שיבוץ'!$A131))</f>
        <v/>
      </c>
      <c r="B132" s="56">
        <f>IF('שיבוץ'!$A131="","",'שיבוץ'!$B131&amp;"")</f>
        <v/>
      </c>
      <c r="C132" s="57">
        <f>IF('שיבוץ'!$A131="","",'שיבוץ'!$C131&amp;"")</f>
        <v/>
      </c>
      <c r="D132" s="57">
        <f>IF('שיבוץ'!$A131="","",'שיבוץ'!$D131&amp;"")</f>
        <v/>
      </c>
    </row>
    <row r="133" ht="26" customHeight="1">
      <c r="A133" s="55">
        <f>IF('שיבוץ'!$A132="","",IF('שיבוץ'!$A132='שיבוץ'!$A131,"",'שיבוץ'!$A132))</f>
        <v/>
      </c>
      <c r="B133" s="56">
        <f>IF('שיבוץ'!$A132="","",'שיבוץ'!$B132&amp;"")</f>
        <v/>
      </c>
      <c r="C133" s="57">
        <f>IF('שיבוץ'!$A132="","",'שיבוץ'!$C132&amp;"")</f>
        <v/>
      </c>
      <c r="D133" s="57">
        <f>IF('שיבוץ'!$A132="","",'שיבוץ'!$D132&amp;"")</f>
        <v/>
      </c>
    </row>
    <row r="134" ht="26" customHeight="1">
      <c r="A134" s="55">
        <f>IF('שיבוץ'!$A133="","",IF('שיבוץ'!$A133='שיבוץ'!$A132,"",'שיבוץ'!$A133))</f>
        <v/>
      </c>
      <c r="B134" s="56">
        <f>IF('שיבוץ'!$A133="","",'שיבוץ'!$B133&amp;"")</f>
        <v/>
      </c>
      <c r="C134" s="57">
        <f>IF('שיבוץ'!$A133="","",'שיבוץ'!$C133&amp;"")</f>
        <v/>
      </c>
      <c r="D134" s="57">
        <f>IF('שיבוץ'!$A133="","",'שיבוץ'!$D133&amp;"")</f>
        <v/>
      </c>
    </row>
    <row r="135" ht="26" customHeight="1">
      <c r="A135" s="55">
        <f>IF('שיבוץ'!$A134="","",IF('שיבוץ'!$A134='שיבוץ'!$A133,"",'שיבוץ'!$A134))</f>
        <v/>
      </c>
      <c r="B135" s="56">
        <f>IF('שיבוץ'!$A134="","",'שיבוץ'!$B134&amp;"")</f>
        <v/>
      </c>
      <c r="C135" s="57">
        <f>IF('שיבוץ'!$A134="","",'שיבוץ'!$C134&amp;"")</f>
        <v/>
      </c>
      <c r="D135" s="57">
        <f>IF('שיבוץ'!$A134="","",'שיבוץ'!$D134&amp;"")</f>
        <v/>
      </c>
    </row>
    <row r="136" ht="26" customHeight="1">
      <c r="A136" s="55">
        <f>IF('שיבוץ'!$A135="","",IF('שיבוץ'!$A135='שיבוץ'!$A134,"",'שיבוץ'!$A135))</f>
        <v/>
      </c>
      <c r="B136" s="56">
        <f>IF('שיבוץ'!$A135="","",'שיבוץ'!$B135&amp;"")</f>
        <v/>
      </c>
      <c r="C136" s="57">
        <f>IF('שיבוץ'!$A135="","",'שיבוץ'!$C135&amp;"")</f>
        <v/>
      </c>
      <c r="D136" s="57">
        <f>IF('שיבוץ'!$A135="","",'שיבוץ'!$D135&amp;"")</f>
        <v/>
      </c>
    </row>
    <row r="137" ht="26" customHeight="1">
      <c r="A137" s="55">
        <f>IF('שיבוץ'!$A136="","",IF('שיבוץ'!$A136='שיבוץ'!$A135,"",'שיבוץ'!$A136))</f>
        <v/>
      </c>
      <c r="B137" s="56">
        <f>IF('שיבוץ'!$A136="","",'שיבוץ'!$B136&amp;"")</f>
        <v/>
      </c>
      <c r="C137" s="57">
        <f>IF('שיבוץ'!$A136="","",'שיבוץ'!$C136&amp;"")</f>
        <v/>
      </c>
      <c r="D137" s="57">
        <f>IF('שיבוץ'!$A136="","",'שיבוץ'!$D136&amp;"")</f>
        <v/>
      </c>
    </row>
    <row r="138" ht="26" customHeight="1">
      <c r="A138" s="55">
        <f>IF('שיבוץ'!$A137="","",IF('שיבוץ'!$A137='שיבוץ'!$A136,"",'שיבוץ'!$A137))</f>
        <v/>
      </c>
      <c r="B138" s="56">
        <f>IF('שיבוץ'!$A137="","",'שיבוץ'!$B137&amp;"")</f>
        <v/>
      </c>
      <c r="C138" s="57">
        <f>IF('שיבוץ'!$A137="","",'שיבוץ'!$C137&amp;"")</f>
        <v/>
      </c>
      <c r="D138" s="57">
        <f>IF('שיבוץ'!$A137="","",'שיבוץ'!$D137&amp;"")</f>
        <v/>
      </c>
    </row>
    <row r="139" ht="26" customHeight="1">
      <c r="A139" s="55">
        <f>IF('שיבוץ'!$A138="","",IF('שיבוץ'!$A138='שיבוץ'!$A137,"",'שיבוץ'!$A138))</f>
        <v/>
      </c>
      <c r="B139" s="56">
        <f>IF('שיבוץ'!$A138="","",'שיבוץ'!$B138&amp;"")</f>
        <v/>
      </c>
      <c r="C139" s="57">
        <f>IF('שיבוץ'!$A138="","",'שיבוץ'!$C138&amp;"")</f>
        <v/>
      </c>
      <c r="D139" s="57">
        <f>IF('שיבוץ'!$A138="","",'שיבוץ'!$D138&amp;"")</f>
        <v/>
      </c>
    </row>
    <row r="140" ht="26" customHeight="1">
      <c r="A140" s="55">
        <f>IF('שיבוץ'!$A139="","",IF('שיבוץ'!$A139='שיבוץ'!$A138,"",'שיבוץ'!$A139))</f>
        <v/>
      </c>
      <c r="B140" s="56">
        <f>IF('שיבוץ'!$A139="","",'שיבוץ'!$B139&amp;"")</f>
        <v/>
      </c>
      <c r="C140" s="57">
        <f>IF('שיבוץ'!$A139="","",'שיבוץ'!$C139&amp;"")</f>
        <v/>
      </c>
      <c r="D140" s="57">
        <f>IF('שיבוץ'!$A139="","",'שיבוץ'!$D139&amp;"")</f>
        <v/>
      </c>
    </row>
    <row r="141" ht="26" customHeight="1">
      <c r="A141" s="55">
        <f>IF('שיבוץ'!$A140="","",IF('שיבוץ'!$A140='שיבוץ'!$A139,"",'שיבוץ'!$A140))</f>
        <v/>
      </c>
      <c r="B141" s="56">
        <f>IF('שיבוץ'!$A140="","",'שיבוץ'!$B140&amp;"")</f>
        <v/>
      </c>
      <c r="C141" s="57">
        <f>IF('שיבוץ'!$A140="","",'שיבוץ'!$C140&amp;"")</f>
        <v/>
      </c>
      <c r="D141" s="57">
        <f>IF('שיבוץ'!$A140="","",'שיבוץ'!$D140&amp;"")</f>
        <v/>
      </c>
    </row>
    <row r="142" ht="26" customHeight="1">
      <c r="A142" s="55">
        <f>IF('שיבוץ'!$A141="","",IF('שיבוץ'!$A141='שיבוץ'!$A140,"",'שיבוץ'!$A141))</f>
        <v/>
      </c>
      <c r="B142" s="56">
        <f>IF('שיבוץ'!$A141="","",'שיבוץ'!$B141&amp;"")</f>
        <v/>
      </c>
      <c r="C142" s="57">
        <f>IF('שיבוץ'!$A141="","",'שיבוץ'!$C141&amp;"")</f>
        <v/>
      </c>
      <c r="D142" s="57">
        <f>IF('שיבוץ'!$A141="","",'שיבוץ'!$D141&amp;"")</f>
        <v/>
      </c>
    </row>
    <row r="143" ht="26" customHeight="1">
      <c r="A143" s="55">
        <f>IF('שיבוץ'!$A142="","",IF('שיבוץ'!$A142='שיבוץ'!$A141,"",'שיבוץ'!$A142))</f>
        <v/>
      </c>
      <c r="B143" s="56">
        <f>IF('שיבוץ'!$A142="","",'שיבוץ'!$B142&amp;"")</f>
        <v/>
      </c>
      <c r="C143" s="57">
        <f>IF('שיבוץ'!$A142="","",'שיבוץ'!$C142&amp;"")</f>
        <v/>
      </c>
      <c r="D143" s="57">
        <f>IF('שיבוץ'!$A142="","",'שיבוץ'!$D142&amp;"")</f>
        <v/>
      </c>
    </row>
    <row r="144" ht="26" customHeight="1">
      <c r="A144" s="55">
        <f>IF('שיבוץ'!$A143="","",IF('שיבוץ'!$A143='שיבוץ'!$A142,"",'שיבוץ'!$A143))</f>
        <v/>
      </c>
      <c r="B144" s="56">
        <f>IF('שיבוץ'!$A143="","",'שיבוץ'!$B143&amp;"")</f>
        <v/>
      </c>
      <c r="C144" s="57">
        <f>IF('שיבוץ'!$A143="","",'שיבוץ'!$C143&amp;"")</f>
        <v/>
      </c>
      <c r="D144" s="57">
        <f>IF('שיבוץ'!$A143="","",'שיבוץ'!$D143&amp;"")</f>
        <v/>
      </c>
    </row>
    <row r="145" ht="26" customHeight="1">
      <c r="A145" s="55">
        <f>IF('שיבוץ'!$A144="","",IF('שיבוץ'!$A144='שיבוץ'!$A143,"",'שיבוץ'!$A144))</f>
        <v/>
      </c>
      <c r="B145" s="56">
        <f>IF('שיבוץ'!$A144="","",'שיבוץ'!$B144&amp;"")</f>
        <v/>
      </c>
      <c r="C145" s="57">
        <f>IF('שיבוץ'!$A144="","",'שיבוץ'!$C144&amp;"")</f>
        <v/>
      </c>
      <c r="D145" s="57">
        <f>IF('שיבוץ'!$A144="","",'שיבוץ'!$D144&amp;"")</f>
        <v/>
      </c>
    </row>
    <row r="146" ht="26" customHeight="1">
      <c r="A146" s="55">
        <f>IF('שיבוץ'!$A145="","",IF('שיבוץ'!$A145='שיבוץ'!$A144,"",'שיבוץ'!$A145))</f>
        <v/>
      </c>
      <c r="B146" s="56">
        <f>IF('שיבוץ'!$A145="","",'שיבוץ'!$B145&amp;"")</f>
        <v/>
      </c>
      <c r="C146" s="57">
        <f>IF('שיבוץ'!$A145="","",'שיבוץ'!$C145&amp;"")</f>
        <v/>
      </c>
      <c r="D146" s="57">
        <f>IF('שיבוץ'!$A145="","",'שיבוץ'!$D145&amp;"")</f>
        <v/>
      </c>
    </row>
    <row r="147" ht="26" customHeight="1">
      <c r="A147" s="55">
        <f>IF('שיבוץ'!$A146="","",IF('שיבוץ'!$A146='שיבוץ'!$A145,"",'שיבוץ'!$A146))</f>
        <v/>
      </c>
      <c r="B147" s="56">
        <f>IF('שיבוץ'!$A146="","",'שיבוץ'!$B146&amp;"")</f>
        <v/>
      </c>
      <c r="C147" s="57">
        <f>IF('שיבוץ'!$A146="","",'שיבוץ'!$C146&amp;"")</f>
        <v/>
      </c>
      <c r="D147" s="57">
        <f>IF('שיבוץ'!$A146="","",'שיבוץ'!$D146&amp;"")</f>
        <v/>
      </c>
    </row>
    <row r="148" ht="26" customHeight="1">
      <c r="A148" s="55">
        <f>IF('שיבוץ'!$A147="","",IF('שיבוץ'!$A147='שיבוץ'!$A146,"",'שיבוץ'!$A147))</f>
        <v/>
      </c>
      <c r="B148" s="56">
        <f>IF('שיבוץ'!$A147="","",'שיבוץ'!$B147&amp;"")</f>
        <v/>
      </c>
      <c r="C148" s="57">
        <f>IF('שיבוץ'!$A147="","",'שיבוץ'!$C147&amp;"")</f>
        <v/>
      </c>
      <c r="D148" s="57">
        <f>IF('שיבוץ'!$A147="","",'שיבוץ'!$D147&amp;"")</f>
        <v/>
      </c>
    </row>
    <row r="149" ht="26" customHeight="1">
      <c r="A149" s="55">
        <f>IF('שיבוץ'!$A148="","",IF('שיבוץ'!$A148='שיבוץ'!$A147,"",'שיבוץ'!$A148))</f>
        <v/>
      </c>
      <c r="B149" s="56">
        <f>IF('שיבוץ'!$A148="","",'שיבוץ'!$B148&amp;"")</f>
        <v/>
      </c>
      <c r="C149" s="57">
        <f>IF('שיבוץ'!$A148="","",'שיבוץ'!$C148&amp;"")</f>
        <v/>
      </c>
      <c r="D149" s="57">
        <f>IF('שיבוץ'!$A148="","",'שיבוץ'!$D148&amp;"")</f>
        <v/>
      </c>
    </row>
    <row r="150" ht="26" customHeight="1">
      <c r="A150" s="55">
        <f>IF('שיבוץ'!$A149="","",IF('שיבוץ'!$A149='שיבוץ'!$A148,"",'שיבוץ'!$A149))</f>
        <v/>
      </c>
      <c r="B150" s="56">
        <f>IF('שיבוץ'!$A149="","",'שיבוץ'!$B149&amp;"")</f>
        <v/>
      </c>
      <c r="C150" s="57">
        <f>IF('שיבוץ'!$A149="","",'שיבוץ'!$C149&amp;"")</f>
        <v/>
      </c>
      <c r="D150" s="57">
        <f>IF('שיבוץ'!$A149="","",'שיבוץ'!$D149&amp;"")</f>
        <v/>
      </c>
    </row>
    <row r="151" ht="26" customHeight="1">
      <c r="A151" s="55">
        <f>IF('שיבוץ'!$A150="","",IF('שיבוץ'!$A150='שיבוץ'!$A149,"",'שיבוץ'!$A150))</f>
        <v/>
      </c>
      <c r="B151" s="56">
        <f>IF('שיבוץ'!$A150="","",'שיבוץ'!$B150&amp;"")</f>
        <v/>
      </c>
      <c r="C151" s="57">
        <f>IF('שיבוץ'!$A150="","",'שיבוץ'!$C150&amp;"")</f>
        <v/>
      </c>
      <c r="D151" s="57">
        <f>IF('שיבוץ'!$A150="","",'שיבוץ'!$D150&amp;"")</f>
        <v/>
      </c>
    </row>
    <row r="152" ht="26" customHeight="1">
      <c r="A152" s="55">
        <f>IF('שיבוץ'!$A151="","",IF('שיבוץ'!$A151='שיבוץ'!$A150,"",'שיבוץ'!$A151))</f>
        <v/>
      </c>
      <c r="B152" s="56">
        <f>IF('שיבוץ'!$A151="","",'שיבוץ'!$B151&amp;"")</f>
        <v/>
      </c>
      <c r="C152" s="57">
        <f>IF('שיבוץ'!$A151="","",'שיבוץ'!$C151&amp;"")</f>
        <v/>
      </c>
      <c r="D152" s="57">
        <f>IF('שיבוץ'!$A151="","",'שיבוץ'!$D151&amp;"")</f>
        <v/>
      </c>
    </row>
    <row r="153" ht="26" customHeight="1">
      <c r="A153" s="55">
        <f>IF('שיבוץ'!$A152="","",IF('שיבוץ'!$A152='שיבוץ'!$A151,"",'שיבוץ'!$A152))</f>
        <v/>
      </c>
      <c r="B153" s="56">
        <f>IF('שיבוץ'!$A152="","",'שיבוץ'!$B152&amp;"")</f>
        <v/>
      </c>
      <c r="C153" s="57">
        <f>IF('שיבוץ'!$A152="","",'שיבוץ'!$C152&amp;"")</f>
        <v/>
      </c>
      <c r="D153" s="57">
        <f>IF('שיבוץ'!$A152="","",'שיבוץ'!$D152&amp;"")</f>
        <v/>
      </c>
    </row>
  </sheetData>
  <mergeCells count="2">
    <mergeCell ref="A1:D1"/>
    <mergeCell ref="A2:D2"/>
  </mergeCells>
  <pageMargins left="0.4" right="0.4" top="0.5" bottom="0.5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15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4" customWidth="1" min="3" max="3"/>
    <col width="60" customWidth="1" min="4" max="4"/>
    <col width="10" customWidth="1" min="5" max="5"/>
    <col hidden="1" width="22" customWidth="1" min="6" max="6"/>
    <col width="24" customWidth="1" min="7" max="7"/>
  </cols>
  <sheetData>
    <row r="1" ht="36" customHeight="1">
      <c r="A1" s="5" t="inlineStr">
        <is>
          <t>שיבוץ תורנויות לשבת</t>
        </is>
      </c>
    </row>
    <row r="2" ht="24" customHeight="1">
      <c r="A2" s="16" t="inlineStr">
        <is>
          <t>קבוצה</t>
        </is>
      </c>
      <c r="B2" s="16" t="inlineStr">
        <is>
          <t>חלון זמן</t>
        </is>
      </c>
      <c r="C2" s="16" t="inlineStr">
        <is>
          <t>משימה</t>
        </is>
      </c>
      <c r="D2" s="16" t="inlineStr">
        <is>
          <t>פרטים וכמויות</t>
        </is>
      </c>
      <c r="E2" s="16" t="inlineStr">
        <is>
          <t>בוצע</t>
        </is>
      </c>
      <c r="F2" s="16" t="inlineStr">
        <is>
          <t>מפתח (אל תיגעו)</t>
        </is>
      </c>
      <c r="G2" s="16" t="inlineStr">
        <is>
          <t>בדיקה</t>
        </is>
      </c>
    </row>
    <row r="3" ht="30" customHeight="1">
      <c r="A3" s="58" t="inlineStr">
        <is>
          <t>קבוצה של יעל + ארבל</t>
        </is>
      </c>
      <c r="B3" s="59" t="inlineStr">
        <is>
          <t>שישי</t>
        </is>
      </c>
      <c r="C3" s="60" t="inlineStr">
        <is>
          <t>אפיית חלות</t>
        </is>
      </c>
      <c r="D3" s="61" t="n"/>
      <c r="E3" s="62" t="n"/>
      <c r="F3" s="63">
        <f>IF($A3="","",$A3&amp;"|"&amp;COUNTIF($A$3:$A3,$A3))</f>
        <v/>
      </c>
      <c r="G3" s="32">
        <f>IF($A3="","",IF(COUNTIF('קבוצות'!$A$3:$A$8,$A3)=0,"⚠ שם קבוצה לא מוכר",""))</f>
        <v/>
      </c>
    </row>
    <row r="4" ht="30" customHeight="1">
      <c r="A4" s="58" t="inlineStr">
        <is>
          <t>קבוצה של יעל + ארבל</t>
        </is>
      </c>
      <c r="B4" s="59" t="inlineStr">
        <is>
          <t>שישי</t>
        </is>
      </c>
      <c r="C4" s="60" t="inlineStr">
        <is>
          <t>בייגל בייטס</t>
        </is>
      </c>
      <c r="D4" s="61" t="inlineStr">
        <is>
          <t>כפול 1 ק"ג קמח תופח</t>
        </is>
      </c>
      <c r="E4" s="62" t="n"/>
      <c r="F4" s="63">
        <f>IF($A4="","",$A4&amp;"|"&amp;COUNTIF($A$3:$A4,$A4))</f>
        <v/>
      </c>
      <c r="G4" s="32">
        <f>IF($A4="","",IF(COUNTIF('קבוצות'!$A$3:$A$8,$A4)=0,"⚠ שם קבוצה לא מוכר",""))</f>
        <v/>
      </c>
    </row>
    <row r="5" ht="30" customHeight="1">
      <c r="A5" s="58" t="inlineStr">
        <is>
          <t>קבוצה של יעל + ארבל</t>
        </is>
      </c>
      <c r="B5" s="59" t="inlineStr">
        <is>
          <t>שישי</t>
        </is>
      </c>
      <c r="C5" s="60" t="inlineStr">
        <is>
          <t>פנקייקים</t>
        </is>
      </c>
      <c r="D5" s="61" t="inlineStr">
        <is>
          <t>כ-30 יחידות</t>
        </is>
      </c>
      <c r="E5" s="62" t="n"/>
      <c r="F5" s="63">
        <f>IF($A5="","",$A5&amp;"|"&amp;COUNTIF($A$3:$A5,$A5))</f>
        <v/>
      </c>
      <c r="G5" s="32">
        <f>IF($A5="","",IF(COUNTIF('קבוצות'!$A$3:$A$8,$A5)=0,"⚠ שם קבוצה לא מוכר",""))</f>
        <v/>
      </c>
    </row>
    <row r="6" ht="30" customHeight="1">
      <c r="A6" s="58" t="inlineStr">
        <is>
          <t>קבוצה של יעל + ארבל</t>
        </is>
      </c>
      <c r="B6" s="59" t="inlineStr">
        <is>
          <t>שישי</t>
        </is>
      </c>
      <c r="C6" s="60" t="inlineStr">
        <is>
          <t>שטיפת חדר אוכל ועריכתו</t>
        </is>
      </c>
      <c r="D6" s="61" t="n"/>
      <c r="E6" s="62" t="n"/>
      <c r="F6" s="63">
        <f>IF($A6="","",$A6&amp;"|"&amp;COUNTIF($A$3:$A6,$A6))</f>
        <v/>
      </c>
      <c r="G6" s="32">
        <f>IF($A6="","",IF(COUNTIF('קבוצות'!$A$3:$A$8,$A6)=0,"⚠ שם קבוצה לא מוכר",""))</f>
        <v/>
      </c>
    </row>
    <row r="7" ht="30" customHeight="1">
      <c r="A7" s="58" t="inlineStr">
        <is>
          <t>קבוצה של יעל + ארבל</t>
        </is>
      </c>
      <c r="B7" s="59" t="inlineStr">
        <is>
          <t>שבת</t>
        </is>
      </c>
      <c r="C7" s="60" t="inlineStr">
        <is>
          <t>הכנסת מאפים לחימום (10:00)</t>
        </is>
      </c>
      <c r="D7" s="61" t="inlineStr">
        <is>
          <t>בייגל בייטס, עוגיות, עוגות שמרים, חלות לצהריים, חלה נתלשת, פנקייקים, בית לזית, ג'חנון, עוגות בננה. ללא אלומיניום מעל העוגות</t>
        </is>
      </c>
      <c r="E7" s="62" t="n"/>
      <c r="F7" s="63">
        <f>IF($A7="","",$A7&amp;"|"&amp;COUNTIF($A$3:$A7,$A7))</f>
        <v/>
      </c>
      <c r="G7" s="32">
        <f>IF($A7="","",IF(COUNTIF('קבוצות'!$A$3:$A$8,$A7)=0,"⚠ שם קבוצה לא מוכר",""))</f>
        <v/>
      </c>
    </row>
    <row r="8" ht="30" customHeight="1">
      <c r="A8" s="58" t="inlineStr">
        <is>
          <t>קבוצה של יעל + ארבל</t>
        </is>
      </c>
      <c r="B8" s="59" t="inlineStr">
        <is>
          <t>שבת</t>
        </is>
      </c>
      <c r="C8" s="60" t="inlineStr">
        <is>
          <t>סידור פינת קפה</t>
        </is>
      </c>
      <c r="D8" s="61" t="inlineStr">
        <is>
          <t>ניקוי, הוצאת חלב, מילוי קפה וסוכר</t>
        </is>
      </c>
      <c r="E8" s="62" t="n"/>
      <c r="F8" s="63">
        <f>IF($A8="","",$A8&amp;"|"&amp;COUNTIF($A$3:$A8,$A8))</f>
        <v/>
      </c>
      <c r="G8" s="32">
        <f>IF($A8="","",IF(COUNTIF('קבוצות'!$A$3:$A$8,$A8)=0,"⚠ שם קבוצה לא מוכר",""))</f>
        <v/>
      </c>
    </row>
    <row r="9" ht="30" customHeight="1">
      <c r="A9" s="58" t="inlineStr">
        <is>
          <t>קבוצה של יעל + ארבל</t>
        </is>
      </c>
      <c r="B9" s="59" t="inlineStr">
        <is>
          <t>שבת</t>
        </is>
      </c>
      <c r="C9" s="60" t="inlineStr">
        <is>
          <t>טאטוא הרצפה וסידור כיסאות</t>
        </is>
      </c>
      <c r="D9" s="61" t="inlineStr">
        <is>
          <t>שיהיה נעים במרחב</t>
        </is>
      </c>
      <c r="E9" s="62" t="n"/>
      <c r="F9" s="63">
        <f>IF($A9="","",$A9&amp;"|"&amp;COUNTIF($A$3:$A9,$A9))</f>
        <v/>
      </c>
      <c r="G9" s="32">
        <f>IF($A9="","",IF(COUNTIF('קבוצות'!$A$3:$A$8,$A9)=0,"⚠ שם קבוצה לא מוכר",""))</f>
        <v/>
      </c>
    </row>
    <row r="10" ht="30" customHeight="1">
      <c r="A10" s="58" t="inlineStr">
        <is>
          <t>קבוצה של יעל + ארבל</t>
        </is>
      </c>
      <c r="B10" s="59" t="inlineStr">
        <is>
          <t>שבת</t>
        </is>
      </c>
      <c r="C10" s="60" t="inlineStr">
        <is>
          <t>הוצאת פירות וחיתוך</t>
        </is>
      </c>
      <c r="D10" s="61" t="inlineStr">
        <is>
          <t>8 פומלות, ק"ג קיווי, 3 קופסאות פסיפלורה</t>
        </is>
      </c>
      <c r="E10" s="62" t="n"/>
      <c r="F10" s="63">
        <f>IF($A10="","",$A10&amp;"|"&amp;COUNTIF($A$3:$A10,$A10))</f>
        <v/>
      </c>
      <c r="G10" s="32">
        <f>IF($A10="","",IF(COUNTIF('קבוצות'!$A$3:$A$8,$A10)=0,"⚠ שם קבוצה לא מוכר",""))</f>
        <v/>
      </c>
    </row>
    <row r="11" ht="30" customHeight="1">
      <c r="A11" s="58" t="inlineStr">
        <is>
          <t>קבוצה של יעל + ארבל</t>
        </is>
      </c>
      <c r="B11" s="59" t="inlineStr">
        <is>
          <t>שבת</t>
        </is>
      </c>
      <c r="C11" s="60" t="inlineStr">
        <is>
          <t>הוצאת עוגות וכלים וסידור שולחנות</t>
        </is>
      </c>
      <c r="D11" s="61" t="inlineStr">
        <is>
          <t>עוגות חלביות, בייגל בייטס ולבנה, עוגיות שוקולד צ'יפס, בית לזית, פנקייקים, כנאפה, קורנפלקס. קערות, צלחות, כפות, כפיות. כיסאות במעגל</t>
        </is>
      </c>
      <c r="E11" s="62" t="n"/>
      <c r="F11" s="63">
        <f>IF($A11="","",$A11&amp;"|"&amp;COUNTIF($A$3:$A11,$A11))</f>
        <v/>
      </c>
      <c r="G11" s="32">
        <f>IF($A11="","",IF(COUNTIF('קבוצות'!$A$3:$A$8,$A11)=0,"⚠ שם קבוצה לא מוכר",""))</f>
        <v/>
      </c>
    </row>
    <row r="12" ht="30" customHeight="1">
      <c r="A12" s="58" t="inlineStr">
        <is>
          <t>קבוצה של יעל + ארבל</t>
        </is>
      </c>
      <c r="B12" s="59" t="inlineStr">
        <is>
          <t>שבת</t>
        </is>
      </c>
      <c r="C12" s="60" t="inlineStr">
        <is>
          <t>קיפול והכנסה למקרר בסיום</t>
        </is>
      </c>
      <c r="D12" s="61" t="inlineStr">
        <is>
          <t>לא להשאיר אוכל פתוח</t>
        </is>
      </c>
      <c r="E12" s="62" t="n"/>
      <c r="F12" s="63">
        <f>IF($A12="","",$A12&amp;"|"&amp;COUNTIF($A$3:$A12,$A12))</f>
        <v/>
      </c>
      <c r="G12" s="32">
        <f>IF($A12="","",IF(COUNTIF('קבוצות'!$A$3:$A$8,$A12)=0,"⚠ שם קבוצה לא מוכר",""))</f>
        <v/>
      </c>
    </row>
    <row r="13" ht="30" customHeight="1">
      <c r="A13" s="58" t="inlineStr">
        <is>
          <t>קבוצה של יעל + ארבל</t>
        </is>
      </c>
      <c r="B13" s="59" t="inlineStr">
        <is>
          <t>מוצאי שבת</t>
        </is>
      </c>
      <c r="C13" s="60" t="inlineStr">
        <is>
          <t>בית מדרש</t>
        </is>
      </c>
      <c r="D13" s="61" t="n"/>
      <c r="E13" s="62" t="n"/>
      <c r="F13" s="63">
        <f>IF($A13="","",$A13&amp;"|"&amp;COUNTIF($A$3:$A13,$A13))</f>
        <v/>
      </c>
      <c r="G13" s="32">
        <f>IF($A13="","",IF(COUNTIF('קבוצות'!$A$3:$A$8,$A13)=0,"⚠ שם קבוצה לא מוכר",""))</f>
        <v/>
      </c>
    </row>
    <row r="14" ht="30" customHeight="1">
      <c r="A14" s="58" t="inlineStr">
        <is>
          <t>קבוצה של מיקה</t>
        </is>
      </c>
      <c r="B14" s="59" t="inlineStr">
        <is>
          <t>שישי</t>
        </is>
      </c>
      <c r="C14" s="60" t="inlineStr">
        <is>
          <t>שטיפת בית המדרש וסידור בית הכנסת</t>
        </is>
      </c>
      <c r="D14" s="61" t="n"/>
      <c r="E14" s="62" t="n"/>
      <c r="F14" s="63">
        <f>IF($A14="","",$A14&amp;"|"&amp;COUNTIF($A$3:$A14,$A14))</f>
        <v/>
      </c>
      <c r="G14" s="32">
        <f>IF($A14="","",IF(COUNTIF('קבוצות'!$A$3:$A$8,$A14)=0,"⚠ שם קבוצה לא מוכר",""))</f>
        <v/>
      </c>
    </row>
    <row r="15" ht="30" customHeight="1">
      <c r="A15" s="58" t="inlineStr">
        <is>
          <t>קבוצה של מיקה</t>
        </is>
      </c>
      <c r="B15" s="59" t="inlineStr">
        <is>
          <t>שישי</t>
        </is>
      </c>
      <c r="C15" s="60" t="inlineStr">
        <is>
          <t>הבאת ספות משנה א' וסידורן</t>
        </is>
      </c>
      <c r="D15" s="61" t="inlineStr">
        <is>
          <t>לסדר בדק, שני שולחנות באמצע</t>
        </is>
      </c>
      <c r="E15" s="62" t="n"/>
      <c r="F15" s="63">
        <f>IF($A15="","",$A15&amp;"|"&amp;COUNTIF($A$3:$A15,$A15))</f>
        <v/>
      </c>
      <c r="G15" s="32">
        <f>IF($A15="","",IF(COUNTIF('קבוצות'!$A$3:$A$8,$A15)=0,"⚠ שם קבוצה לא מוכר",""))</f>
        <v/>
      </c>
    </row>
    <row r="16" ht="30" customHeight="1">
      <c r="A16" s="58" t="inlineStr">
        <is>
          <t>קבוצה של מיקה</t>
        </is>
      </c>
      <c r="B16" s="59" t="inlineStr">
        <is>
          <t>שישי</t>
        </is>
      </c>
      <c r="C16" s="60" t="inlineStr">
        <is>
          <t>ניקוי השירותים</t>
        </is>
      </c>
      <c r="D16" s="61" t="inlineStr">
        <is>
          <t>אקונומיקה, נייר טואלט וניירות ניגוב</t>
        </is>
      </c>
      <c r="E16" s="62" t="n"/>
      <c r="F16" s="63">
        <f>IF($A16="","",$A16&amp;"|"&amp;COUNTIF($A$3:$A16,$A16))</f>
        <v/>
      </c>
      <c r="G16" s="32">
        <f>IF($A16="","",IF(COUNTIF('קבוצות'!$A$3:$A$8,$A16)=0,"⚠ שם קבוצה לא מוכר",""))</f>
        <v/>
      </c>
    </row>
    <row r="17" ht="30" customHeight="1">
      <c r="A17" s="58" t="inlineStr">
        <is>
          <t>קבוצה של מיקה</t>
        </is>
      </c>
      <c r="B17" s="59" t="inlineStr">
        <is>
          <t>שבת</t>
        </is>
      </c>
      <c r="C17" s="60" t="inlineStr">
        <is>
          <t>הנחת אוכל בתנור החימום (11:00)</t>
        </is>
      </c>
      <c r="D17" s="61" t="n"/>
      <c r="E17" s="62" t="n"/>
      <c r="F17" s="63">
        <f>IF($A17="","",$A17&amp;"|"&amp;COUNTIF($A$3:$A17,$A17))</f>
        <v/>
      </c>
      <c r="G17" s="32">
        <f>IF($A17="","",IF(COUNTIF('קבוצות'!$A$3:$A$8,$A17)=0,"⚠ שם קבוצה לא מוכר",""))</f>
        <v/>
      </c>
    </row>
    <row r="18" ht="30" customHeight="1">
      <c r="A18" s="58" t="inlineStr">
        <is>
          <t>קבוצה של מיקה</t>
        </is>
      </c>
      <c r="B18" s="59" t="inlineStr">
        <is>
          <t>שבת</t>
        </is>
      </c>
      <c r="C18" s="60" t="inlineStr">
        <is>
          <t>עריכת שולחנות (13:00)</t>
        </is>
      </c>
      <c r="D18" s="61" t="inlineStr">
        <is>
          <t>כפות הגשה, חלוקת סלטים לשולחנות, פינוי בסיום</t>
        </is>
      </c>
      <c r="E18" s="62" t="n"/>
      <c r="F18" s="63">
        <f>IF($A18="","",$A18&amp;"|"&amp;COUNTIF($A$3:$A18,$A18))</f>
        <v/>
      </c>
      <c r="G18" s="32">
        <f>IF($A18="","",IF(COUNTIF('קבוצות'!$A$3:$A$8,$A18)=0,"⚠ שם קבוצה לא מוכר",""))</f>
        <v/>
      </c>
    </row>
    <row r="19" ht="30" customHeight="1">
      <c r="A19" s="58" t="inlineStr">
        <is>
          <t>קבוצה של מיקה</t>
        </is>
      </c>
      <c r="B19" s="59" t="inlineStr">
        <is>
          <t>מוצאי שבת</t>
        </is>
      </c>
      <c r="C19" s="60" t="inlineStr">
        <is>
          <t>החזרת הספות למקומן</t>
        </is>
      </c>
      <c r="D19" s="61" t="n"/>
      <c r="E19" s="62" t="n"/>
      <c r="F19" s="63">
        <f>IF($A19="","",$A19&amp;"|"&amp;COUNTIF($A$3:$A19,$A19))</f>
        <v/>
      </c>
      <c r="G19" s="32">
        <f>IF($A19="","",IF(COUNTIF('קבוצות'!$A$3:$A$8,$A19)=0,"⚠ שם קבוצה לא מוכר",""))</f>
        <v/>
      </c>
    </row>
    <row r="20" ht="30" customHeight="1">
      <c r="A20" s="58" t="inlineStr">
        <is>
          <t>קבוצה של מיקה</t>
        </is>
      </c>
      <c r="B20" s="59" t="inlineStr">
        <is>
          <t>מוצאי שבת</t>
        </is>
      </c>
      <c r="C20" s="60" t="inlineStr">
        <is>
          <t>שטיפת בית המדרש</t>
        </is>
      </c>
      <c r="D20" s="61" t="n"/>
      <c r="E20" s="62" t="n"/>
      <c r="F20" s="63">
        <f>IF($A20="","",$A20&amp;"|"&amp;COUNTIF($A$3:$A20,$A20))</f>
        <v/>
      </c>
      <c r="G20" s="32">
        <f>IF($A20="","",IF(COUNTIF('קבוצות'!$A$3:$A$8,$A20)=0,"⚠ שם קבוצה לא מוכר",""))</f>
        <v/>
      </c>
    </row>
    <row r="21" ht="30" customHeight="1">
      <c r="A21" s="58" t="inlineStr">
        <is>
          <t>קבוצה של הילה</t>
        </is>
      </c>
      <c r="B21" s="59" t="inlineStr">
        <is>
          <t>שישי</t>
        </is>
      </c>
      <c r="C21" s="60" t="inlineStr">
        <is>
          <t>אפייה</t>
        </is>
      </c>
      <c r="D21" s="61" t="inlineStr">
        <is>
          <t>עוגת ביסקוויטים גבינה, 3 עוגות בננה עם שוקו צ'יפס, 3 ק"ג שמרים, עוגיות שוקולד צ'יפס, 2 עוגות גזר, כדורי שוקולד פרווה</t>
        </is>
      </c>
      <c r="E21" s="62" t="n"/>
      <c r="F21" s="63">
        <f>IF($A21="","",$A21&amp;"|"&amp;COUNTIF($A$3:$A21,$A21))</f>
        <v/>
      </c>
      <c r="G21" s="32">
        <f>IF($A21="","",IF(COUNTIF('קבוצות'!$A$3:$A$8,$A21)=0,"⚠ שם קבוצה לא מוכר",""))</f>
        <v/>
      </c>
    </row>
    <row r="22" ht="30" customHeight="1">
      <c r="A22" s="58" t="inlineStr">
        <is>
          <t>קבוצה של הילה</t>
        </is>
      </c>
      <c r="B22" s="59" t="inlineStr">
        <is>
          <t>שישי</t>
        </is>
      </c>
      <c r="C22" s="60" t="inlineStr">
        <is>
          <t>שטיפת מטבח</t>
        </is>
      </c>
      <c r="D22" s="61" t="inlineStr">
        <is>
          <t>כולל הכל</t>
        </is>
      </c>
      <c r="E22" s="62" t="n"/>
      <c r="F22" s="63">
        <f>IF($A22="","",$A22&amp;"|"&amp;COUNTIF($A$3:$A22,$A22))</f>
        <v/>
      </c>
      <c r="G22" s="32">
        <f>IF($A22="","",IF(COUNTIF('קבוצות'!$A$3:$A$8,$A22)=0,"⚠ שם קבוצה לא מוכר",""))</f>
        <v/>
      </c>
    </row>
    <row r="23" ht="30" customHeight="1">
      <c r="A23" s="58" t="inlineStr">
        <is>
          <t>קבוצה של הילה</t>
        </is>
      </c>
      <c r="B23" s="59" t="inlineStr">
        <is>
          <t>שישי</t>
        </is>
      </c>
      <c r="C23" s="60" t="inlineStr">
        <is>
          <t>טיש — טאטוא הרצפה אחרי ארוחת ערב</t>
        </is>
      </c>
      <c r="D23" s="61" t="n"/>
      <c r="E23" s="62" t="n"/>
      <c r="F23" s="63">
        <f>IF($A23="","",$A23&amp;"|"&amp;COUNTIF($A$3:$A23,$A23))</f>
        <v/>
      </c>
      <c r="G23" s="32">
        <f>IF($A23="","",IF(COUNTIF('קבוצות'!$A$3:$A$8,$A23)=0,"⚠ שם קבוצה לא מוכר",""))</f>
        <v/>
      </c>
    </row>
    <row r="24" ht="30" customHeight="1">
      <c r="A24" s="58" t="inlineStr">
        <is>
          <t>קבוצה של הילה</t>
        </is>
      </c>
      <c r="B24" s="59" t="inlineStr">
        <is>
          <t>שישי</t>
        </is>
      </c>
      <c r="C24" s="60" t="inlineStr">
        <is>
          <t>טיש — סידור וניקוי שולחנות בקוביה וכיסאות מסביב</t>
        </is>
      </c>
      <c r="D24" s="61" t="n"/>
      <c r="E24" s="62" t="n"/>
      <c r="F24" s="63">
        <f>IF($A24="","",$A24&amp;"|"&amp;COUNTIF($A$3:$A24,$A24))</f>
        <v/>
      </c>
      <c r="G24" s="32">
        <f>IF($A24="","",IF(COUNTIF('קבוצות'!$A$3:$A$8,$A24)=0,"⚠ שם קבוצה לא מוכר",""))</f>
        <v/>
      </c>
    </row>
    <row r="25" ht="30" customHeight="1">
      <c r="A25" s="58" t="inlineStr">
        <is>
          <t>קבוצה של הילה</t>
        </is>
      </c>
      <c r="B25" s="59" t="inlineStr">
        <is>
          <t>שישי</t>
        </is>
      </c>
      <c r="C25" s="60" t="inlineStr">
        <is>
          <t>טיש — שתייה, כוסות, כדורי שוקולד וחימום עוגות פרווה</t>
        </is>
      </c>
      <c r="D25" s="61" t="n"/>
      <c r="E25" s="62" t="n"/>
      <c r="F25" s="63">
        <f>IF($A25="","",$A25&amp;"|"&amp;COUNTIF($A$3:$A25,$A25))</f>
        <v/>
      </c>
      <c r="G25" s="32">
        <f>IF($A25="","",IF(COUNTIF('קבוצות'!$A$3:$A$8,$A25)=0,"⚠ שם קבוצה לא מוכר",""))</f>
        <v/>
      </c>
    </row>
    <row r="26" ht="30" customHeight="1">
      <c r="A26" s="58" t="inlineStr">
        <is>
          <t>קבוצה של הילה</t>
        </is>
      </c>
      <c r="B26" s="59" t="inlineStr">
        <is>
          <t>שישי</t>
        </is>
      </c>
      <c r="C26" s="60" t="inlineStr">
        <is>
          <t>טיש — ניקיון מלא בסיום</t>
        </is>
      </c>
      <c r="D26" s="61" t="n"/>
      <c r="E26" s="62" t="n"/>
      <c r="F26" s="63">
        <f>IF($A26="","",$A26&amp;"|"&amp;COUNTIF($A$3:$A26,$A26))</f>
        <v/>
      </c>
      <c r="G26" s="32">
        <f>IF($A26="","",IF(COUNTIF('קבוצות'!$A$3:$A$8,$A26)=0,"⚠ שם קבוצה לא מוכר",""))</f>
        <v/>
      </c>
    </row>
    <row r="27" ht="30" customHeight="1">
      <c r="A27" s="58" t="inlineStr">
        <is>
          <t>קבוצה של הילה</t>
        </is>
      </c>
      <c r="B27" s="59" t="inlineStr">
        <is>
          <t>שבת</t>
        </is>
      </c>
      <c r="C27" s="60" t="inlineStr">
        <is>
          <t>סעודה שלישית — הכנסת מה שנותר לחימום והבאה אל שקד</t>
        </is>
      </c>
      <c r="D27" s="61" t="n"/>
      <c r="E27" s="62" t="n"/>
      <c r="F27" s="63">
        <f>IF($A27="","",$A27&amp;"|"&amp;COUNTIF($A$3:$A27,$A27))</f>
        <v/>
      </c>
      <c r="G27" s="32">
        <f>IF($A27="","",IF(COUNTIF('קבוצות'!$A$3:$A$8,$A27)=0,"⚠ שם קבוצה לא מוכר",""))</f>
        <v/>
      </c>
    </row>
    <row r="28" ht="30" customHeight="1">
      <c r="A28" s="58" t="inlineStr">
        <is>
          <t>קבוצה של הילה</t>
        </is>
      </c>
      <c r="B28" s="59" t="inlineStr">
        <is>
          <t>מוצאי שבת</t>
        </is>
      </c>
      <c r="C28" s="60" t="inlineStr">
        <is>
          <t>ניקיון מטבח</t>
        </is>
      </c>
      <c r="D28" s="61" t="n"/>
      <c r="E28" s="62" t="n"/>
      <c r="F28" s="63">
        <f>IF($A28="","",$A28&amp;"|"&amp;COUNTIF($A$3:$A28,$A28))</f>
        <v/>
      </c>
      <c r="G28" s="32">
        <f>IF($A28="","",IF(COUNTIF('קבוצות'!$A$3:$A$8,$A28)=0,"⚠ שם קבוצה לא מוכר",""))</f>
        <v/>
      </c>
    </row>
    <row r="29" ht="30" customHeight="1">
      <c r="A29" s="58" t="inlineStr">
        <is>
          <t>הקבוצה של שטה</t>
        </is>
      </c>
      <c r="B29" s="59" t="inlineStr">
        <is>
          <t>שישי</t>
        </is>
      </c>
      <c r="C29" s="60" t="inlineStr">
        <is>
          <t>סלטים</t>
        </is>
      </c>
      <c r="D29" s="61" t="inlineStr">
        <is>
          <t>מטבוחה, סלט ביצים 50 ביצים</t>
        </is>
      </c>
      <c r="E29" s="62" t="n"/>
      <c r="F29" s="63">
        <f>IF($A29="","",$A29&amp;"|"&amp;COUNTIF($A$3:$A29,$A29))</f>
        <v/>
      </c>
      <c r="G29" s="32">
        <f>IF($A29="","",IF(COUNTIF('קבוצות'!$A$3:$A$8,$A29)=0,"⚠ שם קבוצה לא מוכר",""))</f>
        <v/>
      </c>
    </row>
    <row r="30" ht="30" customHeight="1">
      <c r="A30" s="58" t="inlineStr">
        <is>
          <t>הקבוצה של שטה</t>
        </is>
      </c>
      <c r="B30" s="59" t="inlineStr">
        <is>
          <t>שישי</t>
        </is>
      </c>
      <c r="C30" s="60" t="inlineStr">
        <is>
          <t>ארוחת צהריים של שישי</t>
        </is>
      </c>
      <c r="D30" s="61" t="inlineStr">
        <is>
          <t>70 ביצים קשות, 10 בצלים קצוצים דק, סלט ירקות, פטרוזיליה, חצילים מטוגנים, טחינה, סחוג, צ'יפס, לחמם פיתות</t>
        </is>
      </c>
      <c r="E30" s="62" t="n"/>
      <c r="F30" s="63">
        <f>IF($A30="","",$A30&amp;"|"&amp;COUNTIF($A$3:$A30,$A30))</f>
        <v/>
      </c>
      <c r="G30" s="32">
        <f>IF($A30="","",IF(COUNTIF('קבוצות'!$A$3:$A$8,$A30)=0,"⚠ שם קבוצה לא מוכר",""))</f>
        <v/>
      </c>
    </row>
    <row r="31" ht="30" customHeight="1">
      <c r="A31" s="58" t="inlineStr">
        <is>
          <t>הקבוצה של שטה</t>
        </is>
      </c>
      <c r="B31" s="59" t="inlineStr">
        <is>
          <t>שישי</t>
        </is>
      </c>
      <c r="C31" s="60" t="inlineStr">
        <is>
          <t>פריקת האוכל בצהריים (14:00)</t>
        </is>
      </c>
      <c r="D31" s="61" t="n"/>
      <c r="E31" s="62" t="n"/>
      <c r="F31" s="63">
        <f>IF($A31="","",$A31&amp;"|"&amp;COUNTIF($A$3:$A31,$A31))</f>
        <v/>
      </c>
      <c r="G31" s="32">
        <f>IF($A31="","",IF(COUNTIF('קבוצות'!$A$3:$A$8,$A31)=0,"⚠ שם קבוצה לא מוכר",""))</f>
        <v/>
      </c>
    </row>
    <row r="32" ht="30" customHeight="1">
      <c r="A32" s="58" t="inlineStr">
        <is>
          <t>הקבוצה של שטה</t>
        </is>
      </c>
      <c r="B32" s="59" t="inlineStr">
        <is>
          <t>שישי</t>
        </is>
      </c>
      <c r="C32" s="60" t="inlineStr">
        <is>
          <t>הנחת האוכל על הפלטות (17:00)</t>
        </is>
      </c>
      <c r="D32" s="61" t="n"/>
      <c r="E32" s="62" t="n"/>
      <c r="F32" s="63">
        <f>IF($A32="","",$A32&amp;"|"&amp;COUNTIF($A$3:$A32,$A32))</f>
        <v/>
      </c>
      <c r="G32" s="32">
        <f>IF($A32="","",IF(COUNTIF('קבוצות'!$A$3:$A$8,$A32)=0,"⚠ שם קבוצה לא מוכר",""))</f>
        <v/>
      </c>
    </row>
    <row r="33" ht="30" customHeight="1">
      <c r="A33" s="58" t="inlineStr">
        <is>
          <t>הקבוצה של שטה</t>
        </is>
      </c>
      <c r="B33" s="59" t="inlineStr">
        <is>
          <t>שישי</t>
        </is>
      </c>
      <c r="C33" s="60" t="inlineStr">
        <is>
          <t>עריכת שולחנות (18:00)</t>
        </is>
      </c>
      <c r="D33" s="61" t="inlineStr">
        <is>
          <t>כפות הגשה, חלוקת סלטים, פינוי בסיום הארוחה</t>
        </is>
      </c>
      <c r="E33" s="62" t="n"/>
      <c r="F33" s="63">
        <f>IF($A33="","",$A33&amp;"|"&amp;COUNTIF($A$3:$A33,$A33))</f>
        <v/>
      </c>
      <c r="G33" s="32">
        <f>IF($A33="","",IF(COUNTIF('קבוצות'!$A$3:$A$8,$A33)=0,"⚠ שם קבוצה לא מוכר",""))</f>
        <v/>
      </c>
    </row>
    <row r="34" ht="30" customHeight="1">
      <c r="A34" s="58" t="inlineStr">
        <is>
          <t>הקבוצה של שטה</t>
        </is>
      </c>
      <c r="B34" s="59" t="inlineStr">
        <is>
          <t>מוצאי שבת</t>
        </is>
      </c>
      <c r="C34" s="60" t="inlineStr">
        <is>
          <t>ניקיון מטבח</t>
        </is>
      </c>
      <c r="D34" s="61" t="inlineStr">
        <is>
          <t>כיריים, כיורים, מזווה, פינוי כלים בייבוש</t>
        </is>
      </c>
      <c r="E34" s="62" t="n"/>
      <c r="F34" s="63">
        <f>IF($A34="","",$A34&amp;"|"&amp;COUNTIF($A$3:$A34,$A34))</f>
        <v/>
      </c>
      <c r="G34" s="32">
        <f>IF($A34="","",IF(COUNTIF('קבוצות'!$A$3:$A$8,$A34)=0,"⚠ שם קבוצה לא מוכר",""))</f>
        <v/>
      </c>
    </row>
    <row r="35" ht="30" customHeight="1">
      <c r="A35" s="58" t="n"/>
      <c r="B35" s="59" t="n"/>
      <c r="C35" s="60" t="n"/>
      <c r="D35" s="61" t="n"/>
      <c r="E35" s="62" t="n"/>
      <c r="F35" s="63">
        <f>IF($A35="","",$A35&amp;"|"&amp;COUNTIF($A$3:$A35,$A35))</f>
        <v/>
      </c>
      <c r="G35" s="32">
        <f>IF($A35="","",IF(COUNTIF('קבוצות'!$A$3:$A$8,$A35)=0,"⚠ שם קבוצה לא מוכר",""))</f>
        <v/>
      </c>
    </row>
    <row r="36" ht="30" customHeight="1">
      <c r="A36" s="58" t="n"/>
      <c r="B36" s="59" t="n"/>
      <c r="C36" s="60" t="n"/>
      <c r="D36" s="61" t="n"/>
      <c r="E36" s="62" t="n"/>
      <c r="F36" s="63">
        <f>IF($A36="","",$A36&amp;"|"&amp;COUNTIF($A$3:$A36,$A36))</f>
        <v/>
      </c>
      <c r="G36" s="32">
        <f>IF($A36="","",IF(COUNTIF('קבוצות'!$A$3:$A$8,$A36)=0,"⚠ שם קבוצה לא מוכר",""))</f>
        <v/>
      </c>
    </row>
    <row r="37" ht="30" customHeight="1">
      <c r="A37" s="58" t="n"/>
      <c r="B37" s="59" t="n"/>
      <c r="C37" s="60" t="n"/>
      <c r="D37" s="61" t="n"/>
      <c r="E37" s="62" t="n"/>
      <c r="F37" s="63">
        <f>IF($A37="","",$A37&amp;"|"&amp;COUNTIF($A$3:$A37,$A37))</f>
        <v/>
      </c>
      <c r="G37" s="32">
        <f>IF($A37="","",IF(COUNTIF('קבוצות'!$A$3:$A$8,$A37)=0,"⚠ שם קבוצה לא מוכר",""))</f>
        <v/>
      </c>
    </row>
    <row r="38" ht="30" customHeight="1">
      <c r="A38" s="58" t="n"/>
      <c r="B38" s="59" t="n"/>
      <c r="C38" s="60" t="n"/>
      <c r="D38" s="61" t="n"/>
      <c r="E38" s="62" t="n"/>
      <c r="F38" s="63">
        <f>IF($A38="","",$A38&amp;"|"&amp;COUNTIF($A$3:$A38,$A38))</f>
        <v/>
      </c>
      <c r="G38" s="32">
        <f>IF($A38="","",IF(COUNTIF('קבוצות'!$A$3:$A$8,$A38)=0,"⚠ שם קבוצה לא מוכר",""))</f>
        <v/>
      </c>
    </row>
    <row r="39" ht="30" customHeight="1">
      <c r="A39" s="58" t="n"/>
      <c r="B39" s="59" t="n"/>
      <c r="C39" s="60" t="n"/>
      <c r="D39" s="61" t="n"/>
      <c r="E39" s="62" t="n"/>
      <c r="F39" s="63">
        <f>IF($A39="","",$A39&amp;"|"&amp;COUNTIF($A$3:$A39,$A39))</f>
        <v/>
      </c>
      <c r="G39" s="32">
        <f>IF($A39="","",IF(COUNTIF('קבוצות'!$A$3:$A$8,$A39)=0,"⚠ שם קבוצה לא מוכר",""))</f>
        <v/>
      </c>
    </row>
    <row r="40" ht="30" customHeight="1">
      <c r="A40" s="58" t="n"/>
      <c r="B40" s="59" t="n"/>
      <c r="C40" s="60" t="n"/>
      <c r="D40" s="61" t="n"/>
      <c r="E40" s="62" t="n"/>
      <c r="F40" s="63">
        <f>IF($A40="","",$A40&amp;"|"&amp;COUNTIF($A$3:$A40,$A40))</f>
        <v/>
      </c>
      <c r="G40" s="32">
        <f>IF($A40="","",IF(COUNTIF('קבוצות'!$A$3:$A$8,$A40)=0,"⚠ שם קבוצה לא מוכר",""))</f>
        <v/>
      </c>
    </row>
    <row r="41" ht="30" customHeight="1">
      <c r="A41" s="58" t="n"/>
      <c r="B41" s="59" t="n"/>
      <c r="C41" s="60" t="n"/>
      <c r="D41" s="61" t="n"/>
      <c r="E41" s="62" t="n"/>
      <c r="F41" s="63">
        <f>IF($A41="","",$A41&amp;"|"&amp;COUNTIF($A$3:$A41,$A41))</f>
        <v/>
      </c>
      <c r="G41" s="32">
        <f>IF($A41="","",IF(COUNTIF('קבוצות'!$A$3:$A$8,$A41)=0,"⚠ שם קבוצה לא מוכר",""))</f>
        <v/>
      </c>
    </row>
    <row r="42" ht="30" customHeight="1">
      <c r="A42" s="58" t="n"/>
      <c r="B42" s="59" t="n"/>
      <c r="C42" s="60" t="n"/>
      <c r="D42" s="61" t="n"/>
      <c r="E42" s="62" t="n"/>
      <c r="F42" s="63">
        <f>IF($A42="","",$A42&amp;"|"&amp;COUNTIF($A$3:$A42,$A42))</f>
        <v/>
      </c>
      <c r="G42" s="32">
        <f>IF($A42="","",IF(COUNTIF('קבוצות'!$A$3:$A$8,$A42)=0,"⚠ שם קבוצה לא מוכר",""))</f>
        <v/>
      </c>
    </row>
    <row r="43" ht="30" customHeight="1">
      <c r="A43" s="58" t="n"/>
      <c r="B43" s="59" t="n"/>
      <c r="C43" s="60" t="n"/>
      <c r="D43" s="61" t="n"/>
      <c r="E43" s="62" t="n"/>
      <c r="F43" s="63">
        <f>IF($A43="","",$A43&amp;"|"&amp;COUNTIF($A$3:$A43,$A43))</f>
        <v/>
      </c>
      <c r="G43" s="32">
        <f>IF($A43="","",IF(COUNTIF('קבוצות'!$A$3:$A$8,$A43)=0,"⚠ שם קבוצה לא מוכר",""))</f>
        <v/>
      </c>
    </row>
    <row r="44" ht="30" customHeight="1">
      <c r="A44" s="58" t="n"/>
      <c r="B44" s="59" t="n"/>
      <c r="C44" s="60" t="n"/>
      <c r="D44" s="61" t="n"/>
      <c r="E44" s="62" t="n"/>
      <c r="F44" s="63">
        <f>IF($A44="","",$A44&amp;"|"&amp;COUNTIF($A$3:$A44,$A44))</f>
        <v/>
      </c>
      <c r="G44" s="32">
        <f>IF($A44="","",IF(COUNTIF('קבוצות'!$A$3:$A$8,$A44)=0,"⚠ שם קבוצה לא מוכר",""))</f>
        <v/>
      </c>
    </row>
    <row r="45" ht="30" customHeight="1">
      <c r="A45" s="58" t="n"/>
      <c r="B45" s="59" t="n"/>
      <c r="C45" s="60" t="n"/>
      <c r="D45" s="61" t="n"/>
      <c r="E45" s="62" t="n"/>
      <c r="F45" s="63">
        <f>IF($A45="","",$A45&amp;"|"&amp;COUNTIF($A$3:$A45,$A45))</f>
        <v/>
      </c>
      <c r="G45" s="32">
        <f>IF($A45="","",IF(COUNTIF('קבוצות'!$A$3:$A$8,$A45)=0,"⚠ שם קבוצה לא מוכר",""))</f>
        <v/>
      </c>
    </row>
    <row r="46" ht="30" customHeight="1">
      <c r="A46" s="58" t="n"/>
      <c r="B46" s="59" t="n"/>
      <c r="C46" s="60" t="n"/>
      <c r="D46" s="61" t="n"/>
      <c r="E46" s="62" t="n"/>
      <c r="F46" s="63">
        <f>IF($A46="","",$A46&amp;"|"&amp;COUNTIF($A$3:$A46,$A46))</f>
        <v/>
      </c>
      <c r="G46" s="32">
        <f>IF($A46="","",IF(COUNTIF('קבוצות'!$A$3:$A$8,$A46)=0,"⚠ שם קבוצה לא מוכר",""))</f>
        <v/>
      </c>
    </row>
    <row r="47" ht="30" customHeight="1">
      <c r="A47" s="58" t="n"/>
      <c r="B47" s="59" t="n"/>
      <c r="C47" s="60" t="n"/>
      <c r="D47" s="61" t="n"/>
      <c r="E47" s="62" t="n"/>
      <c r="F47" s="63">
        <f>IF($A47="","",$A47&amp;"|"&amp;COUNTIF($A$3:$A47,$A47))</f>
        <v/>
      </c>
      <c r="G47" s="32">
        <f>IF($A47="","",IF(COUNTIF('קבוצות'!$A$3:$A$8,$A47)=0,"⚠ שם קבוצה לא מוכר",""))</f>
        <v/>
      </c>
    </row>
    <row r="48" ht="30" customHeight="1">
      <c r="A48" s="58" t="n"/>
      <c r="B48" s="59" t="n"/>
      <c r="C48" s="60" t="n"/>
      <c r="D48" s="61" t="n"/>
      <c r="E48" s="62" t="n"/>
      <c r="F48" s="63">
        <f>IF($A48="","",$A48&amp;"|"&amp;COUNTIF($A$3:$A48,$A48))</f>
        <v/>
      </c>
      <c r="G48" s="32">
        <f>IF($A48="","",IF(COUNTIF('קבוצות'!$A$3:$A$8,$A48)=0,"⚠ שם קבוצה לא מוכר",""))</f>
        <v/>
      </c>
    </row>
    <row r="49" ht="30" customHeight="1">
      <c r="A49" s="58" t="n"/>
      <c r="B49" s="59" t="n"/>
      <c r="C49" s="60" t="n"/>
      <c r="D49" s="61" t="n"/>
      <c r="E49" s="62" t="n"/>
      <c r="F49" s="63">
        <f>IF($A49="","",$A49&amp;"|"&amp;COUNTIF($A$3:$A49,$A49))</f>
        <v/>
      </c>
      <c r="G49" s="32">
        <f>IF($A49="","",IF(COUNTIF('קבוצות'!$A$3:$A$8,$A49)=0,"⚠ שם קבוצה לא מוכר",""))</f>
        <v/>
      </c>
    </row>
    <row r="50" ht="30" customHeight="1">
      <c r="A50" s="58" t="n"/>
      <c r="B50" s="59" t="n"/>
      <c r="C50" s="60" t="n"/>
      <c r="D50" s="61" t="n"/>
      <c r="E50" s="62" t="n"/>
      <c r="F50" s="63">
        <f>IF($A50="","",$A50&amp;"|"&amp;COUNTIF($A$3:$A50,$A50))</f>
        <v/>
      </c>
      <c r="G50" s="32">
        <f>IF($A50="","",IF(COUNTIF('קבוצות'!$A$3:$A$8,$A50)=0,"⚠ שם קבוצה לא מוכר",""))</f>
        <v/>
      </c>
    </row>
    <row r="51" ht="30" customHeight="1">
      <c r="A51" s="58" t="n"/>
      <c r="B51" s="59" t="n"/>
      <c r="C51" s="60" t="n"/>
      <c r="D51" s="61" t="n"/>
      <c r="E51" s="62" t="n"/>
      <c r="F51" s="63">
        <f>IF($A51="","",$A51&amp;"|"&amp;COUNTIF($A$3:$A51,$A51))</f>
        <v/>
      </c>
      <c r="G51" s="32">
        <f>IF($A51="","",IF(COUNTIF('קבוצות'!$A$3:$A$8,$A51)=0,"⚠ שם קבוצה לא מוכר",""))</f>
        <v/>
      </c>
    </row>
    <row r="52" ht="30" customHeight="1">
      <c r="A52" s="58" t="n"/>
      <c r="B52" s="59" t="n"/>
      <c r="C52" s="60" t="n"/>
      <c r="D52" s="61" t="n"/>
      <c r="E52" s="62" t="n"/>
      <c r="F52" s="63">
        <f>IF($A52="","",$A52&amp;"|"&amp;COUNTIF($A$3:$A52,$A52))</f>
        <v/>
      </c>
      <c r="G52" s="32">
        <f>IF($A52="","",IF(COUNTIF('קבוצות'!$A$3:$A$8,$A52)=0,"⚠ שם קבוצה לא מוכר",""))</f>
        <v/>
      </c>
    </row>
    <row r="53" ht="30" customHeight="1">
      <c r="A53" s="58" t="n"/>
      <c r="B53" s="59" t="n"/>
      <c r="C53" s="60" t="n"/>
      <c r="D53" s="61" t="n"/>
      <c r="E53" s="62" t="n"/>
      <c r="F53" s="63">
        <f>IF($A53="","",$A53&amp;"|"&amp;COUNTIF($A$3:$A53,$A53))</f>
        <v/>
      </c>
      <c r="G53" s="32">
        <f>IF($A53="","",IF(COUNTIF('קבוצות'!$A$3:$A$8,$A53)=0,"⚠ שם קבוצה לא מוכר",""))</f>
        <v/>
      </c>
    </row>
    <row r="54" ht="30" customHeight="1">
      <c r="A54" s="58" t="n"/>
      <c r="B54" s="59" t="n"/>
      <c r="C54" s="60" t="n"/>
      <c r="D54" s="61" t="n"/>
      <c r="E54" s="62" t="n"/>
      <c r="F54" s="63">
        <f>IF($A54="","",$A54&amp;"|"&amp;COUNTIF($A$3:$A54,$A54))</f>
        <v/>
      </c>
      <c r="G54" s="32">
        <f>IF($A54="","",IF(COUNTIF('קבוצות'!$A$3:$A$8,$A54)=0,"⚠ שם קבוצה לא מוכר",""))</f>
        <v/>
      </c>
    </row>
    <row r="55" ht="30" customHeight="1">
      <c r="A55" s="58" t="n"/>
      <c r="B55" s="59" t="n"/>
      <c r="C55" s="60" t="n"/>
      <c r="D55" s="61" t="n"/>
      <c r="E55" s="62" t="n"/>
      <c r="F55" s="63">
        <f>IF($A55="","",$A55&amp;"|"&amp;COUNTIF($A$3:$A55,$A55))</f>
        <v/>
      </c>
      <c r="G55" s="32">
        <f>IF($A55="","",IF(COUNTIF('קבוצות'!$A$3:$A$8,$A55)=0,"⚠ שם קבוצה לא מוכר",""))</f>
        <v/>
      </c>
    </row>
    <row r="56" ht="30" customHeight="1">
      <c r="A56" s="58" t="n"/>
      <c r="B56" s="59" t="n"/>
      <c r="C56" s="60" t="n"/>
      <c r="D56" s="61" t="n"/>
      <c r="E56" s="62" t="n"/>
      <c r="F56" s="63">
        <f>IF($A56="","",$A56&amp;"|"&amp;COUNTIF($A$3:$A56,$A56))</f>
        <v/>
      </c>
      <c r="G56" s="32">
        <f>IF($A56="","",IF(COUNTIF('קבוצות'!$A$3:$A$8,$A56)=0,"⚠ שם קבוצה לא מוכר",""))</f>
        <v/>
      </c>
    </row>
    <row r="57" ht="30" customHeight="1">
      <c r="A57" s="58" t="n"/>
      <c r="B57" s="59" t="n"/>
      <c r="C57" s="60" t="n"/>
      <c r="D57" s="61" t="n"/>
      <c r="E57" s="62" t="n"/>
      <c r="F57" s="63">
        <f>IF($A57="","",$A57&amp;"|"&amp;COUNTIF($A$3:$A57,$A57))</f>
        <v/>
      </c>
      <c r="G57" s="32">
        <f>IF($A57="","",IF(COUNTIF('קבוצות'!$A$3:$A$8,$A57)=0,"⚠ שם קבוצה לא מוכר",""))</f>
        <v/>
      </c>
    </row>
    <row r="58" ht="30" customHeight="1">
      <c r="A58" s="58" t="n"/>
      <c r="B58" s="59" t="n"/>
      <c r="C58" s="60" t="n"/>
      <c r="D58" s="61" t="n"/>
      <c r="E58" s="62" t="n"/>
      <c r="F58" s="63">
        <f>IF($A58="","",$A58&amp;"|"&amp;COUNTIF($A$3:$A58,$A58))</f>
        <v/>
      </c>
      <c r="G58" s="32">
        <f>IF($A58="","",IF(COUNTIF('קבוצות'!$A$3:$A$8,$A58)=0,"⚠ שם קבוצה לא מוכר",""))</f>
        <v/>
      </c>
    </row>
    <row r="59" ht="30" customHeight="1">
      <c r="A59" s="58" t="n"/>
      <c r="B59" s="59" t="n"/>
      <c r="C59" s="60" t="n"/>
      <c r="D59" s="61" t="n"/>
      <c r="E59" s="62" t="n"/>
      <c r="F59" s="63">
        <f>IF($A59="","",$A59&amp;"|"&amp;COUNTIF($A$3:$A59,$A59))</f>
        <v/>
      </c>
      <c r="G59" s="32">
        <f>IF($A59="","",IF(COUNTIF('קבוצות'!$A$3:$A$8,$A59)=0,"⚠ שם קבוצה לא מוכר",""))</f>
        <v/>
      </c>
    </row>
    <row r="60" ht="30" customHeight="1">
      <c r="A60" s="58" t="n"/>
      <c r="B60" s="59" t="n"/>
      <c r="C60" s="60" t="n"/>
      <c r="D60" s="61" t="n"/>
      <c r="E60" s="62" t="n"/>
      <c r="F60" s="63">
        <f>IF($A60="","",$A60&amp;"|"&amp;COUNTIF($A$3:$A60,$A60))</f>
        <v/>
      </c>
      <c r="G60" s="32">
        <f>IF($A60="","",IF(COUNTIF('קבוצות'!$A$3:$A$8,$A60)=0,"⚠ שם קבוצה לא מוכר",""))</f>
        <v/>
      </c>
    </row>
    <row r="61" ht="30" customHeight="1">
      <c r="A61" s="58" t="n"/>
      <c r="B61" s="59" t="n"/>
      <c r="C61" s="60" t="n"/>
      <c r="D61" s="61" t="n"/>
      <c r="E61" s="62" t="n"/>
      <c r="F61" s="63">
        <f>IF($A61="","",$A61&amp;"|"&amp;COUNTIF($A$3:$A61,$A61))</f>
        <v/>
      </c>
      <c r="G61" s="32">
        <f>IF($A61="","",IF(COUNTIF('קבוצות'!$A$3:$A$8,$A61)=0,"⚠ שם קבוצה לא מוכר",""))</f>
        <v/>
      </c>
    </row>
    <row r="62" ht="30" customHeight="1">
      <c r="A62" s="58" t="n"/>
      <c r="B62" s="59" t="n"/>
      <c r="C62" s="60" t="n"/>
      <c r="D62" s="61" t="n"/>
      <c r="E62" s="62" t="n"/>
      <c r="F62" s="63">
        <f>IF($A62="","",$A62&amp;"|"&amp;COUNTIF($A$3:$A62,$A62))</f>
        <v/>
      </c>
      <c r="G62" s="32">
        <f>IF($A62="","",IF(COUNTIF('קבוצות'!$A$3:$A$8,$A62)=0,"⚠ שם קבוצה לא מוכר",""))</f>
        <v/>
      </c>
    </row>
    <row r="63" ht="30" customHeight="1">
      <c r="A63" s="58" t="n"/>
      <c r="B63" s="59" t="n"/>
      <c r="C63" s="60" t="n"/>
      <c r="D63" s="61" t="n"/>
      <c r="E63" s="62" t="n"/>
      <c r="F63" s="63">
        <f>IF($A63="","",$A63&amp;"|"&amp;COUNTIF($A$3:$A63,$A63))</f>
        <v/>
      </c>
      <c r="G63" s="32">
        <f>IF($A63="","",IF(COUNTIF('קבוצות'!$A$3:$A$8,$A63)=0,"⚠ שם קבוצה לא מוכר",""))</f>
        <v/>
      </c>
    </row>
    <row r="64" ht="30" customHeight="1">
      <c r="A64" s="58" t="n"/>
      <c r="B64" s="59" t="n"/>
      <c r="C64" s="60" t="n"/>
      <c r="D64" s="61" t="n"/>
      <c r="E64" s="62" t="n"/>
      <c r="F64" s="63">
        <f>IF($A64="","",$A64&amp;"|"&amp;COUNTIF($A$3:$A64,$A64))</f>
        <v/>
      </c>
      <c r="G64" s="32">
        <f>IF($A64="","",IF(COUNTIF('קבוצות'!$A$3:$A$8,$A64)=0,"⚠ שם קבוצה לא מוכר",""))</f>
        <v/>
      </c>
    </row>
    <row r="65" ht="30" customHeight="1">
      <c r="A65" s="58" t="n"/>
      <c r="B65" s="59" t="n"/>
      <c r="C65" s="60" t="n"/>
      <c r="D65" s="61" t="n"/>
      <c r="E65" s="62" t="n"/>
      <c r="F65" s="63">
        <f>IF($A65="","",$A65&amp;"|"&amp;COUNTIF($A$3:$A65,$A65))</f>
        <v/>
      </c>
      <c r="G65" s="32">
        <f>IF($A65="","",IF(COUNTIF('קבוצות'!$A$3:$A$8,$A65)=0,"⚠ שם קבוצה לא מוכר",""))</f>
        <v/>
      </c>
    </row>
    <row r="66" ht="30" customHeight="1">
      <c r="A66" s="58" t="n"/>
      <c r="B66" s="59" t="n"/>
      <c r="C66" s="60" t="n"/>
      <c r="D66" s="61" t="n"/>
      <c r="E66" s="62" t="n"/>
      <c r="F66" s="63">
        <f>IF($A66="","",$A66&amp;"|"&amp;COUNTIF($A$3:$A66,$A66))</f>
        <v/>
      </c>
      <c r="G66" s="32">
        <f>IF($A66="","",IF(COUNTIF('קבוצות'!$A$3:$A$8,$A66)=0,"⚠ שם קבוצה לא מוכר",""))</f>
        <v/>
      </c>
    </row>
    <row r="67" ht="30" customHeight="1">
      <c r="A67" s="58" t="n"/>
      <c r="B67" s="59" t="n"/>
      <c r="C67" s="60" t="n"/>
      <c r="D67" s="61" t="n"/>
      <c r="E67" s="62" t="n"/>
      <c r="F67" s="63">
        <f>IF($A67="","",$A67&amp;"|"&amp;COUNTIF($A$3:$A67,$A67))</f>
        <v/>
      </c>
      <c r="G67" s="32">
        <f>IF($A67="","",IF(COUNTIF('קבוצות'!$A$3:$A$8,$A67)=0,"⚠ שם קבוצה לא מוכר",""))</f>
        <v/>
      </c>
    </row>
    <row r="68" ht="30" customHeight="1">
      <c r="A68" s="58" t="n"/>
      <c r="B68" s="59" t="n"/>
      <c r="C68" s="60" t="n"/>
      <c r="D68" s="61" t="n"/>
      <c r="E68" s="62" t="n"/>
      <c r="F68" s="63">
        <f>IF($A68="","",$A68&amp;"|"&amp;COUNTIF($A$3:$A68,$A68))</f>
        <v/>
      </c>
      <c r="G68" s="32">
        <f>IF($A68="","",IF(COUNTIF('קבוצות'!$A$3:$A$8,$A68)=0,"⚠ שם קבוצה לא מוכר",""))</f>
        <v/>
      </c>
    </row>
    <row r="69" ht="30" customHeight="1">
      <c r="A69" s="58" t="n"/>
      <c r="B69" s="59" t="n"/>
      <c r="C69" s="60" t="n"/>
      <c r="D69" s="61" t="n"/>
      <c r="E69" s="62" t="n"/>
      <c r="F69" s="63">
        <f>IF($A69="","",$A69&amp;"|"&amp;COUNTIF($A$3:$A69,$A69))</f>
        <v/>
      </c>
      <c r="G69" s="32">
        <f>IF($A69="","",IF(COUNTIF('קבוצות'!$A$3:$A$8,$A69)=0,"⚠ שם קבוצה לא מוכר",""))</f>
        <v/>
      </c>
    </row>
    <row r="70" ht="30" customHeight="1">
      <c r="A70" s="58" t="n"/>
      <c r="B70" s="59" t="n"/>
      <c r="C70" s="60" t="n"/>
      <c r="D70" s="61" t="n"/>
      <c r="E70" s="62" t="n"/>
      <c r="F70" s="63">
        <f>IF($A70="","",$A70&amp;"|"&amp;COUNTIF($A$3:$A70,$A70))</f>
        <v/>
      </c>
      <c r="G70" s="32">
        <f>IF($A70="","",IF(COUNTIF('קבוצות'!$A$3:$A$8,$A70)=0,"⚠ שם קבוצה לא מוכר",""))</f>
        <v/>
      </c>
    </row>
    <row r="71" ht="30" customHeight="1">
      <c r="A71" s="58" t="n"/>
      <c r="B71" s="59" t="n"/>
      <c r="C71" s="60" t="n"/>
      <c r="D71" s="61" t="n"/>
      <c r="E71" s="62" t="n"/>
      <c r="F71" s="63">
        <f>IF($A71="","",$A71&amp;"|"&amp;COUNTIF($A$3:$A71,$A71))</f>
        <v/>
      </c>
      <c r="G71" s="32">
        <f>IF($A71="","",IF(COUNTIF('קבוצות'!$A$3:$A$8,$A71)=0,"⚠ שם קבוצה לא מוכר",""))</f>
        <v/>
      </c>
    </row>
    <row r="72" ht="30" customHeight="1">
      <c r="A72" s="58" t="n"/>
      <c r="B72" s="59" t="n"/>
      <c r="C72" s="60" t="n"/>
      <c r="D72" s="61" t="n"/>
      <c r="E72" s="62" t="n"/>
      <c r="F72" s="63">
        <f>IF($A72="","",$A72&amp;"|"&amp;COUNTIF($A$3:$A72,$A72))</f>
        <v/>
      </c>
      <c r="G72" s="32">
        <f>IF($A72="","",IF(COUNTIF('קבוצות'!$A$3:$A$8,$A72)=0,"⚠ שם קבוצה לא מוכר",""))</f>
        <v/>
      </c>
    </row>
    <row r="73" ht="30" customHeight="1">
      <c r="A73" s="58" t="n"/>
      <c r="B73" s="59" t="n"/>
      <c r="C73" s="60" t="n"/>
      <c r="D73" s="61" t="n"/>
      <c r="E73" s="62" t="n"/>
      <c r="F73" s="63">
        <f>IF($A73="","",$A73&amp;"|"&amp;COUNTIF($A$3:$A73,$A73))</f>
        <v/>
      </c>
      <c r="G73" s="32">
        <f>IF($A73="","",IF(COUNTIF('קבוצות'!$A$3:$A$8,$A73)=0,"⚠ שם קבוצה לא מוכר",""))</f>
        <v/>
      </c>
    </row>
    <row r="74" ht="30" customHeight="1">
      <c r="A74" s="58" t="n"/>
      <c r="B74" s="59" t="n"/>
      <c r="C74" s="60" t="n"/>
      <c r="D74" s="61" t="n"/>
      <c r="E74" s="62" t="n"/>
      <c r="F74" s="63">
        <f>IF($A74="","",$A74&amp;"|"&amp;COUNTIF($A$3:$A74,$A74))</f>
        <v/>
      </c>
      <c r="G74" s="32">
        <f>IF($A74="","",IF(COUNTIF('קבוצות'!$A$3:$A$8,$A74)=0,"⚠ שם קבוצה לא מוכר",""))</f>
        <v/>
      </c>
    </row>
    <row r="75" ht="30" customHeight="1">
      <c r="A75" s="58" t="n"/>
      <c r="B75" s="59" t="n"/>
      <c r="C75" s="60" t="n"/>
      <c r="D75" s="61" t="n"/>
      <c r="E75" s="62" t="n"/>
      <c r="F75" s="63">
        <f>IF($A75="","",$A75&amp;"|"&amp;COUNTIF($A$3:$A75,$A75))</f>
        <v/>
      </c>
      <c r="G75" s="32">
        <f>IF($A75="","",IF(COUNTIF('קבוצות'!$A$3:$A$8,$A75)=0,"⚠ שם קבוצה לא מוכר",""))</f>
        <v/>
      </c>
    </row>
    <row r="76" ht="30" customHeight="1">
      <c r="A76" s="58" t="n"/>
      <c r="B76" s="59" t="n"/>
      <c r="C76" s="60" t="n"/>
      <c r="D76" s="61" t="n"/>
      <c r="E76" s="62" t="n"/>
      <c r="F76" s="63">
        <f>IF($A76="","",$A76&amp;"|"&amp;COUNTIF($A$3:$A76,$A76))</f>
        <v/>
      </c>
      <c r="G76" s="32">
        <f>IF($A76="","",IF(COUNTIF('קבוצות'!$A$3:$A$8,$A76)=0,"⚠ שם קבוצה לא מוכר",""))</f>
        <v/>
      </c>
    </row>
    <row r="77" ht="30" customHeight="1">
      <c r="A77" s="58" t="n"/>
      <c r="B77" s="59" t="n"/>
      <c r="C77" s="60" t="n"/>
      <c r="D77" s="61" t="n"/>
      <c r="E77" s="62" t="n"/>
      <c r="F77" s="63">
        <f>IF($A77="","",$A77&amp;"|"&amp;COUNTIF($A$3:$A77,$A77))</f>
        <v/>
      </c>
      <c r="G77" s="32">
        <f>IF($A77="","",IF(COUNTIF('קבוצות'!$A$3:$A$8,$A77)=0,"⚠ שם קבוצה לא מוכר",""))</f>
        <v/>
      </c>
    </row>
    <row r="78" ht="30" customHeight="1">
      <c r="A78" s="58" t="n"/>
      <c r="B78" s="59" t="n"/>
      <c r="C78" s="60" t="n"/>
      <c r="D78" s="61" t="n"/>
      <c r="E78" s="62" t="n"/>
      <c r="F78" s="63">
        <f>IF($A78="","",$A78&amp;"|"&amp;COUNTIF($A$3:$A78,$A78))</f>
        <v/>
      </c>
      <c r="G78" s="32">
        <f>IF($A78="","",IF(COUNTIF('קבוצות'!$A$3:$A$8,$A78)=0,"⚠ שם קבוצה לא מוכר",""))</f>
        <v/>
      </c>
    </row>
    <row r="79" ht="30" customHeight="1">
      <c r="A79" s="58" t="n"/>
      <c r="B79" s="59" t="n"/>
      <c r="C79" s="60" t="n"/>
      <c r="D79" s="61" t="n"/>
      <c r="E79" s="62" t="n"/>
      <c r="F79" s="63">
        <f>IF($A79="","",$A79&amp;"|"&amp;COUNTIF($A$3:$A79,$A79))</f>
        <v/>
      </c>
      <c r="G79" s="32">
        <f>IF($A79="","",IF(COUNTIF('קבוצות'!$A$3:$A$8,$A79)=0,"⚠ שם קבוצה לא מוכר",""))</f>
        <v/>
      </c>
    </row>
    <row r="80" ht="30" customHeight="1">
      <c r="A80" s="58" t="n"/>
      <c r="B80" s="59" t="n"/>
      <c r="C80" s="60" t="n"/>
      <c r="D80" s="61" t="n"/>
      <c r="E80" s="62" t="n"/>
      <c r="F80" s="63">
        <f>IF($A80="","",$A80&amp;"|"&amp;COUNTIF($A$3:$A80,$A80))</f>
        <v/>
      </c>
      <c r="G80" s="32">
        <f>IF($A80="","",IF(COUNTIF('קבוצות'!$A$3:$A$8,$A80)=0,"⚠ שם קבוצה לא מוכר",""))</f>
        <v/>
      </c>
    </row>
    <row r="81" ht="30" customHeight="1">
      <c r="A81" s="58" t="n"/>
      <c r="B81" s="59" t="n"/>
      <c r="C81" s="60" t="n"/>
      <c r="D81" s="61" t="n"/>
      <c r="E81" s="62" t="n"/>
      <c r="F81" s="63">
        <f>IF($A81="","",$A81&amp;"|"&amp;COUNTIF($A$3:$A81,$A81))</f>
        <v/>
      </c>
      <c r="G81" s="32">
        <f>IF($A81="","",IF(COUNTIF('קבוצות'!$A$3:$A$8,$A81)=0,"⚠ שם קבוצה לא מוכר",""))</f>
        <v/>
      </c>
    </row>
    <row r="82" ht="30" customHeight="1">
      <c r="A82" s="58" t="n"/>
      <c r="B82" s="59" t="n"/>
      <c r="C82" s="60" t="n"/>
      <c r="D82" s="61" t="n"/>
      <c r="E82" s="62" t="n"/>
      <c r="F82" s="63">
        <f>IF($A82="","",$A82&amp;"|"&amp;COUNTIF($A$3:$A82,$A82))</f>
        <v/>
      </c>
      <c r="G82" s="32">
        <f>IF($A82="","",IF(COUNTIF('קבוצות'!$A$3:$A$8,$A82)=0,"⚠ שם קבוצה לא מוכר",""))</f>
        <v/>
      </c>
    </row>
    <row r="83" ht="30" customHeight="1">
      <c r="A83" s="58" t="n"/>
      <c r="B83" s="59" t="n"/>
      <c r="C83" s="60" t="n"/>
      <c r="D83" s="61" t="n"/>
      <c r="E83" s="62" t="n"/>
      <c r="F83" s="63">
        <f>IF($A83="","",$A83&amp;"|"&amp;COUNTIF($A$3:$A83,$A83))</f>
        <v/>
      </c>
      <c r="G83" s="32">
        <f>IF($A83="","",IF(COUNTIF('קבוצות'!$A$3:$A$8,$A83)=0,"⚠ שם קבוצה לא מוכר",""))</f>
        <v/>
      </c>
    </row>
    <row r="84" ht="30" customHeight="1">
      <c r="A84" s="58" t="n"/>
      <c r="B84" s="59" t="n"/>
      <c r="C84" s="60" t="n"/>
      <c r="D84" s="61" t="n"/>
      <c r="E84" s="62" t="n"/>
      <c r="F84" s="63">
        <f>IF($A84="","",$A84&amp;"|"&amp;COUNTIF($A$3:$A84,$A84))</f>
        <v/>
      </c>
      <c r="G84" s="32">
        <f>IF($A84="","",IF(COUNTIF('קבוצות'!$A$3:$A$8,$A84)=0,"⚠ שם קבוצה לא מוכר",""))</f>
        <v/>
      </c>
    </row>
    <row r="85" ht="30" customHeight="1">
      <c r="A85" s="58" t="n"/>
      <c r="B85" s="59" t="n"/>
      <c r="C85" s="60" t="n"/>
      <c r="D85" s="61" t="n"/>
      <c r="E85" s="62" t="n"/>
      <c r="F85" s="63">
        <f>IF($A85="","",$A85&amp;"|"&amp;COUNTIF($A$3:$A85,$A85))</f>
        <v/>
      </c>
      <c r="G85" s="32">
        <f>IF($A85="","",IF(COUNTIF('קבוצות'!$A$3:$A$8,$A85)=0,"⚠ שם קבוצה לא מוכר",""))</f>
        <v/>
      </c>
    </row>
    <row r="86" ht="30" customHeight="1">
      <c r="A86" s="58" t="n"/>
      <c r="B86" s="59" t="n"/>
      <c r="C86" s="60" t="n"/>
      <c r="D86" s="61" t="n"/>
      <c r="E86" s="62" t="n"/>
      <c r="F86" s="63">
        <f>IF($A86="","",$A86&amp;"|"&amp;COUNTIF($A$3:$A86,$A86))</f>
        <v/>
      </c>
      <c r="G86" s="32">
        <f>IF($A86="","",IF(COUNTIF('קבוצות'!$A$3:$A$8,$A86)=0,"⚠ שם קבוצה לא מוכר",""))</f>
        <v/>
      </c>
    </row>
    <row r="87" ht="30" customHeight="1">
      <c r="A87" s="58" t="n"/>
      <c r="B87" s="59" t="n"/>
      <c r="C87" s="60" t="n"/>
      <c r="D87" s="61" t="n"/>
      <c r="E87" s="62" t="n"/>
      <c r="F87" s="63">
        <f>IF($A87="","",$A87&amp;"|"&amp;COUNTIF($A$3:$A87,$A87))</f>
        <v/>
      </c>
      <c r="G87" s="32">
        <f>IF($A87="","",IF(COUNTIF('קבוצות'!$A$3:$A$8,$A87)=0,"⚠ שם קבוצה לא מוכר",""))</f>
        <v/>
      </c>
    </row>
    <row r="88" ht="30" customHeight="1">
      <c r="A88" s="58" t="n"/>
      <c r="B88" s="59" t="n"/>
      <c r="C88" s="60" t="n"/>
      <c r="D88" s="61" t="n"/>
      <c r="E88" s="62" t="n"/>
      <c r="F88" s="63">
        <f>IF($A88="","",$A88&amp;"|"&amp;COUNTIF($A$3:$A88,$A88))</f>
        <v/>
      </c>
      <c r="G88" s="32">
        <f>IF($A88="","",IF(COUNTIF('קבוצות'!$A$3:$A$8,$A88)=0,"⚠ שם קבוצה לא מוכר",""))</f>
        <v/>
      </c>
    </row>
    <row r="89" ht="30" customHeight="1">
      <c r="A89" s="58" t="n"/>
      <c r="B89" s="59" t="n"/>
      <c r="C89" s="60" t="n"/>
      <c r="D89" s="61" t="n"/>
      <c r="E89" s="62" t="n"/>
      <c r="F89" s="63">
        <f>IF($A89="","",$A89&amp;"|"&amp;COUNTIF($A$3:$A89,$A89))</f>
        <v/>
      </c>
      <c r="G89" s="32">
        <f>IF($A89="","",IF(COUNTIF('קבוצות'!$A$3:$A$8,$A89)=0,"⚠ שם קבוצה לא מוכר",""))</f>
        <v/>
      </c>
    </row>
    <row r="90" ht="30" customHeight="1">
      <c r="A90" s="58" t="n"/>
      <c r="B90" s="59" t="n"/>
      <c r="C90" s="60" t="n"/>
      <c r="D90" s="61" t="n"/>
      <c r="E90" s="62" t="n"/>
      <c r="F90" s="63">
        <f>IF($A90="","",$A90&amp;"|"&amp;COUNTIF($A$3:$A90,$A90))</f>
        <v/>
      </c>
      <c r="G90" s="32">
        <f>IF($A90="","",IF(COUNTIF('קבוצות'!$A$3:$A$8,$A90)=0,"⚠ שם קבוצה לא מוכר",""))</f>
        <v/>
      </c>
    </row>
    <row r="91" ht="30" customHeight="1">
      <c r="A91" s="58" t="n"/>
      <c r="B91" s="59" t="n"/>
      <c r="C91" s="60" t="n"/>
      <c r="D91" s="61" t="n"/>
      <c r="E91" s="62" t="n"/>
      <c r="F91" s="63">
        <f>IF($A91="","",$A91&amp;"|"&amp;COUNTIF($A$3:$A91,$A91))</f>
        <v/>
      </c>
      <c r="G91" s="32">
        <f>IF($A91="","",IF(COUNTIF('קבוצות'!$A$3:$A$8,$A91)=0,"⚠ שם קבוצה לא מוכר",""))</f>
        <v/>
      </c>
    </row>
    <row r="92" ht="30" customHeight="1">
      <c r="A92" s="58" t="n"/>
      <c r="B92" s="59" t="n"/>
      <c r="C92" s="60" t="n"/>
      <c r="D92" s="61" t="n"/>
      <c r="E92" s="62" t="n"/>
      <c r="F92" s="63">
        <f>IF($A92="","",$A92&amp;"|"&amp;COUNTIF($A$3:$A92,$A92))</f>
        <v/>
      </c>
      <c r="G92" s="32">
        <f>IF($A92="","",IF(COUNTIF('קבוצות'!$A$3:$A$8,$A92)=0,"⚠ שם קבוצה לא מוכר",""))</f>
        <v/>
      </c>
    </row>
    <row r="93" ht="30" customHeight="1">
      <c r="A93" s="58" t="n"/>
      <c r="B93" s="59" t="n"/>
      <c r="C93" s="60" t="n"/>
      <c r="D93" s="61" t="n"/>
      <c r="E93" s="62" t="n"/>
      <c r="F93" s="63">
        <f>IF($A93="","",$A93&amp;"|"&amp;COUNTIF($A$3:$A93,$A93))</f>
        <v/>
      </c>
      <c r="G93" s="32">
        <f>IF($A93="","",IF(COUNTIF('קבוצות'!$A$3:$A$8,$A93)=0,"⚠ שם קבוצה לא מוכר",""))</f>
        <v/>
      </c>
    </row>
    <row r="94" ht="30" customHeight="1">
      <c r="A94" s="58" t="n"/>
      <c r="B94" s="59" t="n"/>
      <c r="C94" s="60" t="n"/>
      <c r="D94" s="61" t="n"/>
      <c r="E94" s="62" t="n"/>
      <c r="F94" s="63">
        <f>IF($A94="","",$A94&amp;"|"&amp;COUNTIF($A$3:$A94,$A94))</f>
        <v/>
      </c>
      <c r="G94" s="32">
        <f>IF($A94="","",IF(COUNTIF('קבוצות'!$A$3:$A$8,$A94)=0,"⚠ שם קבוצה לא מוכר",""))</f>
        <v/>
      </c>
    </row>
    <row r="95" ht="30" customHeight="1">
      <c r="A95" s="58" t="n"/>
      <c r="B95" s="59" t="n"/>
      <c r="C95" s="60" t="n"/>
      <c r="D95" s="61" t="n"/>
      <c r="E95" s="62" t="n"/>
      <c r="F95" s="63">
        <f>IF($A95="","",$A95&amp;"|"&amp;COUNTIF($A$3:$A95,$A95))</f>
        <v/>
      </c>
      <c r="G95" s="32">
        <f>IF($A95="","",IF(COUNTIF('קבוצות'!$A$3:$A$8,$A95)=0,"⚠ שם קבוצה לא מוכר",""))</f>
        <v/>
      </c>
    </row>
    <row r="96" ht="30" customHeight="1">
      <c r="A96" s="58" t="n"/>
      <c r="B96" s="59" t="n"/>
      <c r="C96" s="60" t="n"/>
      <c r="D96" s="61" t="n"/>
      <c r="E96" s="62" t="n"/>
      <c r="F96" s="63">
        <f>IF($A96="","",$A96&amp;"|"&amp;COUNTIF($A$3:$A96,$A96))</f>
        <v/>
      </c>
      <c r="G96" s="32">
        <f>IF($A96="","",IF(COUNTIF('קבוצות'!$A$3:$A$8,$A96)=0,"⚠ שם קבוצה לא מוכר",""))</f>
        <v/>
      </c>
    </row>
    <row r="97" ht="30" customHeight="1">
      <c r="A97" s="58" t="n"/>
      <c r="B97" s="59" t="n"/>
      <c r="C97" s="60" t="n"/>
      <c r="D97" s="61" t="n"/>
      <c r="E97" s="62" t="n"/>
      <c r="F97" s="63">
        <f>IF($A97="","",$A97&amp;"|"&amp;COUNTIF($A$3:$A97,$A97))</f>
        <v/>
      </c>
      <c r="G97" s="32">
        <f>IF($A97="","",IF(COUNTIF('קבוצות'!$A$3:$A$8,$A97)=0,"⚠ שם קבוצה לא מוכר",""))</f>
        <v/>
      </c>
    </row>
    <row r="98" ht="30" customHeight="1">
      <c r="A98" s="58" t="n"/>
      <c r="B98" s="59" t="n"/>
      <c r="C98" s="60" t="n"/>
      <c r="D98" s="61" t="n"/>
      <c r="E98" s="62" t="n"/>
      <c r="F98" s="63">
        <f>IF($A98="","",$A98&amp;"|"&amp;COUNTIF($A$3:$A98,$A98))</f>
        <v/>
      </c>
      <c r="G98" s="32">
        <f>IF($A98="","",IF(COUNTIF('קבוצות'!$A$3:$A$8,$A98)=0,"⚠ שם קבוצה לא מוכר",""))</f>
        <v/>
      </c>
    </row>
    <row r="99" ht="30" customHeight="1">
      <c r="A99" s="58" t="n"/>
      <c r="B99" s="59" t="n"/>
      <c r="C99" s="60" t="n"/>
      <c r="D99" s="61" t="n"/>
      <c r="E99" s="62" t="n"/>
      <c r="F99" s="63">
        <f>IF($A99="","",$A99&amp;"|"&amp;COUNTIF($A$3:$A99,$A99))</f>
        <v/>
      </c>
      <c r="G99" s="32">
        <f>IF($A99="","",IF(COUNTIF('קבוצות'!$A$3:$A$8,$A99)=0,"⚠ שם קבוצה לא מוכר",""))</f>
        <v/>
      </c>
    </row>
    <row r="100" ht="30" customHeight="1">
      <c r="A100" s="58" t="n"/>
      <c r="B100" s="59" t="n"/>
      <c r="C100" s="60" t="n"/>
      <c r="D100" s="61" t="n"/>
      <c r="E100" s="62" t="n"/>
      <c r="F100" s="63">
        <f>IF($A100="","",$A100&amp;"|"&amp;COUNTIF($A$3:$A100,$A100))</f>
        <v/>
      </c>
      <c r="G100" s="32">
        <f>IF($A100="","",IF(COUNTIF('קבוצות'!$A$3:$A$8,$A100)=0,"⚠ שם קבוצה לא מוכר",""))</f>
        <v/>
      </c>
    </row>
    <row r="101" ht="30" customHeight="1">
      <c r="A101" s="58" t="n"/>
      <c r="B101" s="59" t="n"/>
      <c r="C101" s="60" t="n"/>
      <c r="D101" s="61" t="n"/>
      <c r="E101" s="62" t="n"/>
      <c r="F101" s="63">
        <f>IF($A101="","",$A101&amp;"|"&amp;COUNTIF($A$3:$A101,$A101))</f>
        <v/>
      </c>
      <c r="G101" s="32">
        <f>IF($A101="","",IF(COUNTIF('קבוצות'!$A$3:$A$8,$A101)=0,"⚠ שם קבוצה לא מוכר",""))</f>
        <v/>
      </c>
    </row>
    <row r="102" ht="30" customHeight="1">
      <c r="A102" s="58" t="n"/>
      <c r="B102" s="59" t="n"/>
      <c r="C102" s="60" t="n"/>
      <c r="D102" s="61" t="n"/>
      <c r="E102" s="62" t="n"/>
      <c r="F102" s="63">
        <f>IF($A102="","",$A102&amp;"|"&amp;COUNTIF($A$3:$A102,$A102))</f>
        <v/>
      </c>
      <c r="G102" s="32">
        <f>IF($A102="","",IF(COUNTIF('קבוצות'!$A$3:$A$8,$A102)=0,"⚠ שם קבוצה לא מוכר",""))</f>
        <v/>
      </c>
    </row>
    <row r="103" ht="30" customHeight="1">
      <c r="A103" s="58" t="n"/>
      <c r="B103" s="59" t="n"/>
      <c r="C103" s="60" t="n"/>
      <c r="D103" s="61" t="n"/>
      <c r="E103" s="62" t="n"/>
      <c r="F103" s="63">
        <f>IF($A103="","",$A103&amp;"|"&amp;COUNTIF($A$3:$A103,$A103))</f>
        <v/>
      </c>
      <c r="G103" s="32">
        <f>IF($A103="","",IF(COUNTIF('קבוצות'!$A$3:$A$8,$A103)=0,"⚠ שם קבוצה לא מוכר",""))</f>
        <v/>
      </c>
    </row>
    <row r="104" ht="30" customHeight="1">
      <c r="A104" s="58" t="n"/>
      <c r="B104" s="59" t="n"/>
      <c r="C104" s="60" t="n"/>
      <c r="D104" s="61" t="n"/>
      <c r="E104" s="62" t="n"/>
      <c r="F104" s="63">
        <f>IF($A104="","",$A104&amp;"|"&amp;COUNTIF($A$3:$A104,$A104))</f>
        <v/>
      </c>
      <c r="G104" s="32">
        <f>IF($A104="","",IF(COUNTIF('קבוצות'!$A$3:$A$8,$A104)=0,"⚠ שם קבוצה לא מוכר",""))</f>
        <v/>
      </c>
    </row>
    <row r="105" ht="30" customHeight="1">
      <c r="A105" s="58" t="n"/>
      <c r="B105" s="59" t="n"/>
      <c r="C105" s="60" t="n"/>
      <c r="D105" s="61" t="n"/>
      <c r="E105" s="62" t="n"/>
      <c r="F105" s="63">
        <f>IF($A105="","",$A105&amp;"|"&amp;COUNTIF($A$3:$A105,$A105))</f>
        <v/>
      </c>
      <c r="G105" s="32">
        <f>IF($A105="","",IF(COUNTIF('קבוצות'!$A$3:$A$8,$A105)=0,"⚠ שם קבוצה לא מוכר",""))</f>
        <v/>
      </c>
    </row>
    <row r="106" ht="30" customHeight="1">
      <c r="A106" s="58" t="n"/>
      <c r="B106" s="59" t="n"/>
      <c r="C106" s="60" t="n"/>
      <c r="D106" s="61" t="n"/>
      <c r="E106" s="62" t="n"/>
      <c r="F106" s="63">
        <f>IF($A106="","",$A106&amp;"|"&amp;COUNTIF($A$3:$A106,$A106))</f>
        <v/>
      </c>
      <c r="G106" s="32">
        <f>IF($A106="","",IF(COUNTIF('קבוצות'!$A$3:$A$8,$A106)=0,"⚠ שם קבוצה לא מוכר",""))</f>
        <v/>
      </c>
    </row>
    <row r="107" ht="30" customHeight="1">
      <c r="A107" s="58" t="n"/>
      <c r="B107" s="59" t="n"/>
      <c r="C107" s="60" t="n"/>
      <c r="D107" s="61" t="n"/>
      <c r="E107" s="62" t="n"/>
      <c r="F107" s="63">
        <f>IF($A107="","",$A107&amp;"|"&amp;COUNTIF($A$3:$A107,$A107))</f>
        <v/>
      </c>
      <c r="G107" s="32">
        <f>IF($A107="","",IF(COUNTIF('קבוצות'!$A$3:$A$8,$A107)=0,"⚠ שם קבוצה לא מוכר",""))</f>
        <v/>
      </c>
    </row>
    <row r="108" ht="30" customHeight="1">
      <c r="A108" s="58" t="n"/>
      <c r="B108" s="59" t="n"/>
      <c r="C108" s="60" t="n"/>
      <c r="D108" s="61" t="n"/>
      <c r="E108" s="62" t="n"/>
      <c r="F108" s="63">
        <f>IF($A108="","",$A108&amp;"|"&amp;COUNTIF($A$3:$A108,$A108))</f>
        <v/>
      </c>
      <c r="G108" s="32">
        <f>IF($A108="","",IF(COUNTIF('קבוצות'!$A$3:$A$8,$A108)=0,"⚠ שם קבוצה לא מוכר",""))</f>
        <v/>
      </c>
    </row>
    <row r="109" ht="30" customHeight="1">
      <c r="A109" s="58" t="n"/>
      <c r="B109" s="59" t="n"/>
      <c r="C109" s="60" t="n"/>
      <c r="D109" s="61" t="n"/>
      <c r="E109" s="62" t="n"/>
      <c r="F109" s="63">
        <f>IF($A109="","",$A109&amp;"|"&amp;COUNTIF($A$3:$A109,$A109))</f>
        <v/>
      </c>
      <c r="G109" s="32">
        <f>IF($A109="","",IF(COUNTIF('קבוצות'!$A$3:$A$8,$A109)=0,"⚠ שם קבוצה לא מוכר",""))</f>
        <v/>
      </c>
    </row>
    <row r="110" ht="30" customHeight="1">
      <c r="A110" s="58" t="n"/>
      <c r="B110" s="59" t="n"/>
      <c r="C110" s="60" t="n"/>
      <c r="D110" s="61" t="n"/>
      <c r="E110" s="62" t="n"/>
      <c r="F110" s="63">
        <f>IF($A110="","",$A110&amp;"|"&amp;COUNTIF($A$3:$A110,$A110))</f>
        <v/>
      </c>
      <c r="G110" s="32">
        <f>IF($A110="","",IF(COUNTIF('קבוצות'!$A$3:$A$8,$A110)=0,"⚠ שם קבוצה לא מוכר",""))</f>
        <v/>
      </c>
    </row>
    <row r="111" ht="30" customHeight="1">
      <c r="A111" s="58" t="n"/>
      <c r="B111" s="59" t="n"/>
      <c r="C111" s="60" t="n"/>
      <c r="D111" s="61" t="n"/>
      <c r="E111" s="62" t="n"/>
      <c r="F111" s="63">
        <f>IF($A111="","",$A111&amp;"|"&amp;COUNTIF($A$3:$A111,$A111))</f>
        <v/>
      </c>
      <c r="G111" s="32">
        <f>IF($A111="","",IF(COUNTIF('קבוצות'!$A$3:$A$8,$A111)=0,"⚠ שם קבוצה לא מוכר",""))</f>
        <v/>
      </c>
    </row>
    <row r="112" ht="30" customHeight="1">
      <c r="A112" s="58" t="n"/>
      <c r="B112" s="59" t="n"/>
      <c r="C112" s="60" t="n"/>
      <c r="D112" s="61" t="n"/>
      <c r="E112" s="62" t="n"/>
      <c r="F112" s="63">
        <f>IF($A112="","",$A112&amp;"|"&amp;COUNTIF($A$3:$A112,$A112))</f>
        <v/>
      </c>
      <c r="G112" s="32">
        <f>IF($A112="","",IF(COUNTIF('קבוצות'!$A$3:$A$8,$A112)=0,"⚠ שם קבוצה לא מוכר",""))</f>
        <v/>
      </c>
    </row>
    <row r="113" ht="30" customHeight="1">
      <c r="A113" s="58" t="n"/>
      <c r="B113" s="59" t="n"/>
      <c r="C113" s="60" t="n"/>
      <c r="D113" s="61" t="n"/>
      <c r="E113" s="62" t="n"/>
      <c r="F113" s="63">
        <f>IF($A113="","",$A113&amp;"|"&amp;COUNTIF($A$3:$A113,$A113))</f>
        <v/>
      </c>
      <c r="G113" s="32">
        <f>IF($A113="","",IF(COUNTIF('קבוצות'!$A$3:$A$8,$A113)=0,"⚠ שם קבוצה לא מוכר",""))</f>
        <v/>
      </c>
    </row>
    <row r="114" ht="30" customHeight="1">
      <c r="A114" s="58" t="n"/>
      <c r="B114" s="59" t="n"/>
      <c r="C114" s="60" t="n"/>
      <c r="D114" s="61" t="n"/>
      <c r="E114" s="62" t="n"/>
      <c r="F114" s="63">
        <f>IF($A114="","",$A114&amp;"|"&amp;COUNTIF($A$3:$A114,$A114))</f>
        <v/>
      </c>
      <c r="G114" s="32">
        <f>IF($A114="","",IF(COUNTIF('קבוצות'!$A$3:$A$8,$A114)=0,"⚠ שם קבוצה לא מוכר",""))</f>
        <v/>
      </c>
    </row>
    <row r="115" ht="30" customHeight="1">
      <c r="A115" s="58" t="n"/>
      <c r="B115" s="59" t="n"/>
      <c r="C115" s="60" t="n"/>
      <c r="D115" s="61" t="n"/>
      <c r="E115" s="62" t="n"/>
      <c r="F115" s="63">
        <f>IF($A115="","",$A115&amp;"|"&amp;COUNTIF($A$3:$A115,$A115))</f>
        <v/>
      </c>
      <c r="G115" s="32">
        <f>IF($A115="","",IF(COUNTIF('קבוצות'!$A$3:$A$8,$A115)=0,"⚠ שם קבוצה לא מוכר",""))</f>
        <v/>
      </c>
    </row>
    <row r="116" ht="30" customHeight="1">
      <c r="A116" s="58" t="n"/>
      <c r="B116" s="59" t="n"/>
      <c r="C116" s="60" t="n"/>
      <c r="D116" s="61" t="n"/>
      <c r="E116" s="62" t="n"/>
      <c r="F116" s="63">
        <f>IF($A116="","",$A116&amp;"|"&amp;COUNTIF($A$3:$A116,$A116))</f>
        <v/>
      </c>
      <c r="G116" s="32">
        <f>IF($A116="","",IF(COUNTIF('קבוצות'!$A$3:$A$8,$A116)=0,"⚠ שם קבוצה לא מוכר",""))</f>
        <v/>
      </c>
    </row>
    <row r="117" ht="30" customHeight="1">
      <c r="A117" s="58" t="n"/>
      <c r="B117" s="59" t="n"/>
      <c r="C117" s="60" t="n"/>
      <c r="D117" s="61" t="n"/>
      <c r="E117" s="62" t="n"/>
      <c r="F117" s="63">
        <f>IF($A117="","",$A117&amp;"|"&amp;COUNTIF($A$3:$A117,$A117))</f>
        <v/>
      </c>
      <c r="G117" s="32">
        <f>IF($A117="","",IF(COUNTIF('קבוצות'!$A$3:$A$8,$A117)=0,"⚠ שם קבוצה לא מוכר",""))</f>
        <v/>
      </c>
    </row>
    <row r="118" ht="30" customHeight="1">
      <c r="A118" s="58" t="n"/>
      <c r="B118" s="59" t="n"/>
      <c r="C118" s="60" t="n"/>
      <c r="D118" s="61" t="n"/>
      <c r="E118" s="62" t="n"/>
      <c r="F118" s="63">
        <f>IF($A118="","",$A118&amp;"|"&amp;COUNTIF($A$3:$A118,$A118))</f>
        <v/>
      </c>
      <c r="G118" s="32">
        <f>IF($A118="","",IF(COUNTIF('קבוצות'!$A$3:$A$8,$A118)=0,"⚠ שם קבוצה לא מוכר",""))</f>
        <v/>
      </c>
    </row>
    <row r="119" ht="30" customHeight="1">
      <c r="A119" s="58" t="n"/>
      <c r="B119" s="59" t="n"/>
      <c r="C119" s="60" t="n"/>
      <c r="D119" s="61" t="n"/>
      <c r="E119" s="62" t="n"/>
      <c r="F119" s="63">
        <f>IF($A119="","",$A119&amp;"|"&amp;COUNTIF($A$3:$A119,$A119))</f>
        <v/>
      </c>
      <c r="G119" s="32">
        <f>IF($A119="","",IF(COUNTIF('קבוצות'!$A$3:$A$8,$A119)=0,"⚠ שם קבוצה לא מוכר",""))</f>
        <v/>
      </c>
    </row>
    <row r="120" ht="30" customHeight="1">
      <c r="A120" s="58" t="n"/>
      <c r="B120" s="59" t="n"/>
      <c r="C120" s="60" t="n"/>
      <c r="D120" s="61" t="n"/>
      <c r="E120" s="62" t="n"/>
      <c r="F120" s="63">
        <f>IF($A120="","",$A120&amp;"|"&amp;COUNTIF($A$3:$A120,$A120))</f>
        <v/>
      </c>
      <c r="G120" s="32">
        <f>IF($A120="","",IF(COUNTIF('קבוצות'!$A$3:$A$8,$A120)=0,"⚠ שם קבוצה לא מוכר",""))</f>
        <v/>
      </c>
    </row>
    <row r="121" ht="30" customHeight="1">
      <c r="A121" s="58" t="n"/>
      <c r="B121" s="59" t="n"/>
      <c r="C121" s="60" t="n"/>
      <c r="D121" s="61" t="n"/>
      <c r="E121" s="62" t="n"/>
      <c r="F121" s="63">
        <f>IF($A121="","",$A121&amp;"|"&amp;COUNTIF($A$3:$A121,$A121))</f>
        <v/>
      </c>
      <c r="G121" s="32">
        <f>IF($A121="","",IF(COUNTIF('קבוצות'!$A$3:$A$8,$A121)=0,"⚠ שם קבוצה לא מוכר",""))</f>
        <v/>
      </c>
    </row>
    <row r="122" ht="30" customHeight="1">
      <c r="A122" s="58" t="n"/>
      <c r="B122" s="59" t="n"/>
      <c r="C122" s="60" t="n"/>
      <c r="D122" s="61" t="n"/>
      <c r="E122" s="62" t="n"/>
      <c r="F122" s="63">
        <f>IF($A122="","",$A122&amp;"|"&amp;COUNTIF($A$3:$A122,$A122))</f>
        <v/>
      </c>
      <c r="G122" s="32">
        <f>IF($A122="","",IF(COUNTIF('קבוצות'!$A$3:$A$8,$A122)=0,"⚠ שם קבוצה לא מוכר",""))</f>
        <v/>
      </c>
    </row>
    <row r="123" ht="30" customHeight="1">
      <c r="A123" s="58" t="n"/>
      <c r="B123" s="59" t="n"/>
      <c r="C123" s="60" t="n"/>
      <c r="D123" s="61" t="n"/>
      <c r="E123" s="62" t="n"/>
      <c r="F123" s="63">
        <f>IF($A123="","",$A123&amp;"|"&amp;COUNTIF($A$3:$A123,$A123))</f>
        <v/>
      </c>
      <c r="G123" s="32">
        <f>IF($A123="","",IF(COUNTIF('קבוצות'!$A$3:$A$8,$A123)=0,"⚠ שם קבוצה לא מוכר",""))</f>
        <v/>
      </c>
    </row>
    <row r="124" ht="30" customHeight="1">
      <c r="A124" s="58" t="n"/>
      <c r="B124" s="59" t="n"/>
      <c r="C124" s="60" t="n"/>
      <c r="D124" s="61" t="n"/>
      <c r="E124" s="62" t="n"/>
      <c r="F124" s="63">
        <f>IF($A124="","",$A124&amp;"|"&amp;COUNTIF($A$3:$A124,$A124))</f>
        <v/>
      </c>
      <c r="G124" s="32">
        <f>IF($A124="","",IF(COUNTIF('קבוצות'!$A$3:$A$8,$A124)=0,"⚠ שם קבוצה לא מוכר",""))</f>
        <v/>
      </c>
    </row>
    <row r="125" ht="30" customHeight="1">
      <c r="A125" s="58" t="n"/>
      <c r="B125" s="59" t="n"/>
      <c r="C125" s="60" t="n"/>
      <c r="D125" s="61" t="n"/>
      <c r="E125" s="62" t="n"/>
      <c r="F125" s="63">
        <f>IF($A125="","",$A125&amp;"|"&amp;COUNTIF($A$3:$A125,$A125))</f>
        <v/>
      </c>
      <c r="G125" s="32">
        <f>IF($A125="","",IF(COUNTIF('קבוצות'!$A$3:$A$8,$A125)=0,"⚠ שם קבוצה לא מוכר",""))</f>
        <v/>
      </c>
    </row>
    <row r="126" ht="30" customHeight="1">
      <c r="A126" s="58" t="n"/>
      <c r="B126" s="59" t="n"/>
      <c r="C126" s="60" t="n"/>
      <c r="D126" s="61" t="n"/>
      <c r="E126" s="62" t="n"/>
      <c r="F126" s="63">
        <f>IF($A126="","",$A126&amp;"|"&amp;COUNTIF($A$3:$A126,$A126))</f>
        <v/>
      </c>
      <c r="G126" s="32">
        <f>IF($A126="","",IF(COUNTIF('קבוצות'!$A$3:$A$8,$A126)=0,"⚠ שם קבוצה לא מוכר",""))</f>
        <v/>
      </c>
    </row>
    <row r="127" ht="30" customHeight="1">
      <c r="A127" s="58" t="n"/>
      <c r="B127" s="59" t="n"/>
      <c r="C127" s="60" t="n"/>
      <c r="D127" s="61" t="n"/>
      <c r="E127" s="62" t="n"/>
      <c r="F127" s="63">
        <f>IF($A127="","",$A127&amp;"|"&amp;COUNTIF($A$3:$A127,$A127))</f>
        <v/>
      </c>
      <c r="G127" s="32">
        <f>IF($A127="","",IF(COUNTIF('קבוצות'!$A$3:$A$8,$A127)=0,"⚠ שם קבוצה לא מוכר",""))</f>
        <v/>
      </c>
    </row>
    <row r="128" ht="30" customHeight="1">
      <c r="A128" s="58" t="n"/>
      <c r="B128" s="59" t="n"/>
      <c r="C128" s="60" t="n"/>
      <c r="D128" s="61" t="n"/>
      <c r="E128" s="62" t="n"/>
      <c r="F128" s="63">
        <f>IF($A128="","",$A128&amp;"|"&amp;COUNTIF($A$3:$A128,$A128))</f>
        <v/>
      </c>
      <c r="G128" s="32">
        <f>IF($A128="","",IF(COUNTIF('קבוצות'!$A$3:$A$8,$A128)=0,"⚠ שם קבוצה לא מוכר",""))</f>
        <v/>
      </c>
    </row>
    <row r="129" ht="30" customHeight="1">
      <c r="A129" s="58" t="n"/>
      <c r="B129" s="59" t="n"/>
      <c r="C129" s="60" t="n"/>
      <c r="D129" s="61" t="n"/>
      <c r="E129" s="62" t="n"/>
      <c r="F129" s="63">
        <f>IF($A129="","",$A129&amp;"|"&amp;COUNTIF($A$3:$A129,$A129))</f>
        <v/>
      </c>
      <c r="G129" s="32">
        <f>IF($A129="","",IF(COUNTIF('קבוצות'!$A$3:$A$8,$A129)=0,"⚠ שם קבוצה לא מוכר",""))</f>
        <v/>
      </c>
    </row>
    <row r="130" ht="30" customHeight="1">
      <c r="A130" s="58" t="n"/>
      <c r="B130" s="59" t="n"/>
      <c r="C130" s="60" t="n"/>
      <c r="D130" s="61" t="n"/>
      <c r="E130" s="62" t="n"/>
      <c r="F130" s="63">
        <f>IF($A130="","",$A130&amp;"|"&amp;COUNTIF($A$3:$A130,$A130))</f>
        <v/>
      </c>
      <c r="G130" s="32">
        <f>IF($A130="","",IF(COUNTIF('קבוצות'!$A$3:$A$8,$A130)=0,"⚠ שם קבוצה לא מוכר",""))</f>
        <v/>
      </c>
    </row>
    <row r="131" ht="30" customHeight="1">
      <c r="A131" s="58" t="n"/>
      <c r="B131" s="59" t="n"/>
      <c r="C131" s="60" t="n"/>
      <c r="D131" s="61" t="n"/>
      <c r="E131" s="62" t="n"/>
      <c r="F131" s="63">
        <f>IF($A131="","",$A131&amp;"|"&amp;COUNTIF($A$3:$A131,$A131))</f>
        <v/>
      </c>
      <c r="G131" s="32">
        <f>IF($A131="","",IF(COUNTIF('קבוצות'!$A$3:$A$8,$A131)=0,"⚠ שם קבוצה לא מוכר",""))</f>
        <v/>
      </c>
    </row>
    <row r="132" ht="30" customHeight="1">
      <c r="A132" s="58" t="n"/>
      <c r="B132" s="59" t="n"/>
      <c r="C132" s="60" t="n"/>
      <c r="D132" s="61" t="n"/>
      <c r="E132" s="62" t="n"/>
      <c r="F132" s="63">
        <f>IF($A132="","",$A132&amp;"|"&amp;COUNTIF($A$3:$A132,$A132))</f>
        <v/>
      </c>
      <c r="G132" s="32">
        <f>IF($A132="","",IF(COUNTIF('קבוצות'!$A$3:$A$8,$A132)=0,"⚠ שם קבוצה לא מוכר",""))</f>
        <v/>
      </c>
    </row>
    <row r="133" ht="30" customHeight="1">
      <c r="A133" s="58" t="n"/>
      <c r="B133" s="59" t="n"/>
      <c r="C133" s="60" t="n"/>
      <c r="D133" s="61" t="n"/>
      <c r="E133" s="62" t="n"/>
      <c r="F133" s="63">
        <f>IF($A133="","",$A133&amp;"|"&amp;COUNTIF($A$3:$A133,$A133))</f>
        <v/>
      </c>
      <c r="G133" s="32">
        <f>IF($A133="","",IF(COUNTIF('קבוצות'!$A$3:$A$8,$A133)=0,"⚠ שם קבוצה לא מוכר",""))</f>
        <v/>
      </c>
    </row>
    <row r="134" ht="30" customHeight="1">
      <c r="A134" s="58" t="n"/>
      <c r="B134" s="59" t="n"/>
      <c r="C134" s="60" t="n"/>
      <c r="D134" s="61" t="n"/>
      <c r="E134" s="62" t="n"/>
      <c r="F134" s="63">
        <f>IF($A134="","",$A134&amp;"|"&amp;COUNTIF($A$3:$A134,$A134))</f>
        <v/>
      </c>
      <c r="G134" s="32">
        <f>IF($A134="","",IF(COUNTIF('קבוצות'!$A$3:$A$8,$A134)=0,"⚠ שם קבוצה לא מוכר",""))</f>
        <v/>
      </c>
    </row>
    <row r="135" ht="30" customHeight="1">
      <c r="A135" s="58" t="n"/>
      <c r="B135" s="59" t="n"/>
      <c r="C135" s="60" t="n"/>
      <c r="D135" s="61" t="n"/>
      <c r="E135" s="62" t="n"/>
      <c r="F135" s="63">
        <f>IF($A135="","",$A135&amp;"|"&amp;COUNTIF($A$3:$A135,$A135))</f>
        <v/>
      </c>
      <c r="G135" s="32">
        <f>IF($A135="","",IF(COUNTIF('קבוצות'!$A$3:$A$8,$A135)=0,"⚠ שם קבוצה לא מוכר",""))</f>
        <v/>
      </c>
    </row>
    <row r="136" ht="30" customHeight="1">
      <c r="A136" s="58" t="n"/>
      <c r="B136" s="59" t="n"/>
      <c r="C136" s="60" t="n"/>
      <c r="D136" s="61" t="n"/>
      <c r="E136" s="62" t="n"/>
      <c r="F136" s="63">
        <f>IF($A136="","",$A136&amp;"|"&amp;COUNTIF($A$3:$A136,$A136))</f>
        <v/>
      </c>
      <c r="G136" s="32">
        <f>IF($A136="","",IF(COUNTIF('קבוצות'!$A$3:$A$8,$A136)=0,"⚠ שם קבוצה לא מוכר",""))</f>
        <v/>
      </c>
    </row>
    <row r="137" ht="30" customHeight="1">
      <c r="A137" s="58" t="n"/>
      <c r="B137" s="59" t="n"/>
      <c r="C137" s="60" t="n"/>
      <c r="D137" s="61" t="n"/>
      <c r="E137" s="62" t="n"/>
      <c r="F137" s="63">
        <f>IF($A137="","",$A137&amp;"|"&amp;COUNTIF($A$3:$A137,$A137))</f>
        <v/>
      </c>
      <c r="G137" s="32">
        <f>IF($A137="","",IF(COUNTIF('קבוצות'!$A$3:$A$8,$A137)=0,"⚠ שם קבוצה לא מוכר",""))</f>
        <v/>
      </c>
    </row>
    <row r="138" ht="30" customHeight="1">
      <c r="A138" s="58" t="n"/>
      <c r="B138" s="59" t="n"/>
      <c r="C138" s="60" t="n"/>
      <c r="D138" s="61" t="n"/>
      <c r="E138" s="62" t="n"/>
      <c r="F138" s="63">
        <f>IF($A138="","",$A138&amp;"|"&amp;COUNTIF($A$3:$A138,$A138))</f>
        <v/>
      </c>
      <c r="G138" s="32">
        <f>IF($A138="","",IF(COUNTIF('קבוצות'!$A$3:$A$8,$A138)=0,"⚠ שם קבוצה לא מוכר",""))</f>
        <v/>
      </c>
    </row>
    <row r="139" ht="30" customHeight="1">
      <c r="A139" s="58" t="n"/>
      <c r="B139" s="59" t="n"/>
      <c r="C139" s="60" t="n"/>
      <c r="D139" s="61" t="n"/>
      <c r="E139" s="62" t="n"/>
      <c r="F139" s="63">
        <f>IF($A139="","",$A139&amp;"|"&amp;COUNTIF($A$3:$A139,$A139))</f>
        <v/>
      </c>
      <c r="G139" s="32">
        <f>IF($A139="","",IF(COUNTIF('קבוצות'!$A$3:$A$8,$A139)=0,"⚠ שם קבוצה לא מוכר",""))</f>
        <v/>
      </c>
    </row>
    <row r="140" ht="30" customHeight="1">
      <c r="A140" s="58" t="n"/>
      <c r="B140" s="59" t="n"/>
      <c r="C140" s="60" t="n"/>
      <c r="D140" s="61" t="n"/>
      <c r="E140" s="62" t="n"/>
      <c r="F140" s="63">
        <f>IF($A140="","",$A140&amp;"|"&amp;COUNTIF($A$3:$A140,$A140))</f>
        <v/>
      </c>
      <c r="G140" s="32">
        <f>IF($A140="","",IF(COUNTIF('קבוצות'!$A$3:$A$8,$A140)=0,"⚠ שם קבוצה לא מוכר",""))</f>
        <v/>
      </c>
    </row>
    <row r="141" ht="30" customHeight="1">
      <c r="A141" s="58" t="n"/>
      <c r="B141" s="59" t="n"/>
      <c r="C141" s="60" t="n"/>
      <c r="D141" s="61" t="n"/>
      <c r="E141" s="62" t="n"/>
      <c r="F141" s="63">
        <f>IF($A141="","",$A141&amp;"|"&amp;COUNTIF($A$3:$A141,$A141))</f>
        <v/>
      </c>
      <c r="G141" s="32">
        <f>IF($A141="","",IF(COUNTIF('קבוצות'!$A$3:$A$8,$A141)=0,"⚠ שם קבוצה לא מוכר",""))</f>
        <v/>
      </c>
    </row>
    <row r="142" ht="30" customHeight="1">
      <c r="A142" s="58" t="n"/>
      <c r="B142" s="59" t="n"/>
      <c r="C142" s="60" t="n"/>
      <c r="D142" s="61" t="n"/>
      <c r="E142" s="62" t="n"/>
      <c r="F142" s="63">
        <f>IF($A142="","",$A142&amp;"|"&amp;COUNTIF($A$3:$A142,$A142))</f>
        <v/>
      </c>
      <c r="G142" s="32">
        <f>IF($A142="","",IF(COUNTIF('קבוצות'!$A$3:$A$8,$A142)=0,"⚠ שם קבוצה לא מוכר",""))</f>
        <v/>
      </c>
    </row>
    <row r="143" ht="30" customHeight="1">
      <c r="A143" s="58" t="n"/>
      <c r="B143" s="59" t="n"/>
      <c r="C143" s="60" t="n"/>
      <c r="D143" s="61" t="n"/>
      <c r="E143" s="62" t="n"/>
      <c r="F143" s="63">
        <f>IF($A143="","",$A143&amp;"|"&amp;COUNTIF($A$3:$A143,$A143))</f>
        <v/>
      </c>
      <c r="G143" s="32">
        <f>IF($A143="","",IF(COUNTIF('קבוצות'!$A$3:$A$8,$A143)=0,"⚠ שם קבוצה לא מוכר",""))</f>
        <v/>
      </c>
    </row>
    <row r="144" ht="30" customHeight="1">
      <c r="A144" s="58" t="n"/>
      <c r="B144" s="59" t="n"/>
      <c r="C144" s="60" t="n"/>
      <c r="D144" s="61" t="n"/>
      <c r="E144" s="62" t="n"/>
      <c r="F144" s="63">
        <f>IF($A144="","",$A144&amp;"|"&amp;COUNTIF($A$3:$A144,$A144))</f>
        <v/>
      </c>
      <c r="G144" s="32">
        <f>IF($A144="","",IF(COUNTIF('קבוצות'!$A$3:$A$8,$A144)=0,"⚠ שם קבוצה לא מוכר",""))</f>
        <v/>
      </c>
    </row>
    <row r="145" ht="30" customHeight="1">
      <c r="A145" s="58" t="n"/>
      <c r="B145" s="59" t="n"/>
      <c r="C145" s="60" t="n"/>
      <c r="D145" s="61" t="n"/>
      <c r="E145" s="62" t="n"/>
      <c r="F145" s="63">
        <f>IF($A145="","",$A145&amp;"|"&amp;COUNTIF($A$3:$A145,$A145))</f>
        <v/>
      </c>
      <c r="G145" s="32">
        <f>IF($A145="","",IF(COUNTIF('קבוצות'!$A$3:$A$8,$A145)=0,"⚠ שם קבוצה לא מוכר",""))</f>
        <v/>
      </c>
    </row>
    <row r="146" ht="30" customHeight="1">
      <c r="A146" s="58" t="n"/>
      <c r="B146" s="59" t="n"/>
      <c r="C146" s="60" t="n"/>
      <c r="D146" s="61" t="n"/>
      <c r="E146" s="62" t="n"/>
      <c r="F146" s="63">
        <f>IF($A146="","",$A146&amp;"|"&amp;COUNTIF($A$3:$A146,$A146))</f>
        <v/>
      </c>
      <c r="G146" s="32">
        <f>IF($A146="","",IF(COUNTIF('קבוצות'!$A$3:$A$8,$A146)=0,"⚠ שם קבוצה לא מוכר",""))</f>
        <v/>
      </c>
    </row>
    <row r="147" ht="30" customHeight="1">
      <c r="A147" s="58" t="n"/>
      <c r="B147" s="59" t="n"/>
      <c r="C147" s="60" t="n"/>
      <c r="D147" s="61" t="n"/>
      <c r="E147" s="62" t="n"/>
      <c r="F147" s="63">
        <f>IF($A147="","",$A147&amp;"|"&amp;COUNTIF($A$3:$A147,$A147))</f>
        <v/>
      </c>
      <c r="G147" s="32">
        <f>IF($A147="","",IF(COUNTIF('קבוצות'!$A$3:$A$8,$A147)=0,"⚠ שם קבוצה לא מוכר",""))</f>
        <v/>
      </c>
    </row>
    <row r="148" ht="30" customHeight="1">
      <c r="A148" s="58" t="n"/>
      <c r="B148" s="59" t="n"/>
      <c r="C148" s="60" t="n"/>
      <c r="D148" s="61" t="n"/>
      <c r="E148" s="62" t="n"/>
      <c r="F148" s="63">
        <f>IF($A148="","",$A148&amp;"|"&amp;COUNTIF($A$3:$A148,$A148))</f>
        <v/>
      </c>
      <c r="G148" s="32">
        <f>IF($A148="","",IF(COUNTIF('קבוצות'!$A$3:$A$8,$A148)=0,"⚠ שם קבוצה לא מוכר",""))</f>
        <v/>
      </c>
    </row>
    <row r="149" ht="30" customHeight="1">
      <c r="A149" s="58" t="n"/>
      <c r="B149" s="59" t="n"/>
      <c r="C149" s="60" t="n"/>
      <c r="D149" s="61" t="n"/>
      <c r="E149" s="62" t="n"/>
      <c r="F149" s="63">
        <f>IF($A149="","",$A149&amp;"|"&amp;COUNTIF($A$3:$A149,$A149))</f>
        <v/>
      </c>
      <c r="G149" s="32">
        <f>IF($A149="","",IF(COUNTIF('קבוצות'!$A$3:$A$8,$A149)=0,"⚠ שם קבוצה לא מוכר",""))</f>
        <v/>
      </c>
    </row>
    <row r="150" ht="30" customHeight="1">
      <c r="A150" s="58" t="n"/>
      <c r="B150" s="59" t="n"/>
      <c r="C150" s="60" t="n"/>
      <c r="D150" s="61" t="n"/>
      <c r="E150" s="62" t="n"/>
      <c r="F150" s="63">
        <f>IF($A150="","",$A150&amp;"|"&amp;COUNTIF($A$3:$A150,$A150))</f>
        <v/>
      </c>
      <c r="G150" s="32">
        <f>IF($A150="","",IF(COUNTIF('קבוצות'!$A$3:$A$8,$A150)=0,"⚠ שם קבוצה לא מוכר",""))</f>
        <v/>
      </c>
    </row>
    <row r="151" ht="30" customHeight="1">
      <c r="A151" s="58" t="n"/>
      <c r="B151" s="59" t="n"/>
      <c r="C151" s="60" t="n"/>
      <c r="D151" s="61" t="n"/>
      <c r="E151" s="62" t="n"/>
      <c r="F151" s="63">
        <f>IF($A151="","",$A151&amp;"|"&amp;COUNTIF($A$3:$A151,$A151))</f>
        <v/>
      </c>
      <c r="G151" s="32">
        <f>IF($A151="","",IF(COUNTIF('קבוצות'!$A$3:$A$8,$A151)=0,"⚠ שם קבוצה לא מוכר",""))</f>
        <v/>
      </c>
    </row>
    <row r="152" ht="30" customHeight="1">
      <c r="A152" s="58" t="n"/>
      <c r="B152" s="59" t="n"/>
      <c r="C152" s="60" t="n"/>
      <c r="D152" s="61" t="n"/>
      <c r="E152" s="62" t="n"/>
      <c r="F152" s="63">
        <f>IF($A152="","",$A152&amp;"|"&amp;COUNTIF($A$3:$A152,$A152))</f>
        <v/>
      </c>
      <c r="G152" s="32">
        <f>IF($A152="","",IF(COUNTIF('קבוצות'!$A$3:$A$8,$A152)=0,"⚠ שם קבוצה לא מוכר",""))</f>
        <v/>
      </c>
    </row>
  </sheetData>
  <mergeCells count="1">
    <mergeCell ref="A1:E1"/>
  </mergeCells>
  <dataValidations count="4">
    <dataValidation sqref="A3:A152" showDropDown="0" showInputMessage="0" showErrorMessage="0" allowBlank="1" type="list">
      <formula1>'קבוצות'!$A$3:$A$8</formula1>
    </dataValidation>
    <dataValidation sqref="B3:B152" showDropDown="0" showInputMessage="0" showErrorMessage="0" allowBlank="1" type="list">
      <formula1>"שישי,שבת,מוצאי שבת"</formula1>
    </dataValidation>
    <dataValidation sqref="C3:C152" showDropDown="0" showInputMessage="0" showErrorMessage="0" allowBlank="1" type="list">
      <formula1>'מאגר משימות'!$C$3:$C$200</formula1>
    </dataValidation>
    <dataValidation sqref="E3:E152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96" customWidth="1" min="3" max="3"/>
    <col width="14" customWidth="1" min="4" max="4"/>
  </cols>
  <sheetData>
    <row r="1" ht="36" customHeight="1">
      <c r="A1" s="5" t="inlineStr">
        <is>
          <t>קבוצות האחריות</t>
        </is>
      </c>
    </row>
    <row r="2" ht="24" customHeight="1">
      <c r="A2" s="16" t="inlineStr">
        <is>
          <t>קבוצה</t>
        </is>
      </c>
      <c r="B2" s="16" t="inlineStr">
        <is>
          <t>מוביל/ה</t>
        </is>
      </c>
      <c r="C2" s="16" t="inlineStr">
        <is>
          <t>חניכים (מופרדים בפסיק)</t>
        </is>
      </c>
      <c r="D2" s="16" t="inlineStr">
        <is>
          <t>ערכת צבע</t>
        </is>
      </c>
    </row>
    <row r="3" ht="46" customHeight="1">
      <c r="A3" s="64" t="inlineStr">
        <is>
          <t>קבוצה של יעל + ארבל</t>
        </is>
      </c>
      <c r="B3" s="60" t="inlineStr">
        <is>
          <t>יעל + ארבל</t>
        </is>
      </c>
      <c r="C3" s="61" t="inlineStr">
        <is>
          <t>דותן קורזון, אלה בכר, טליה איתן, אסיף לב, מעיין כהן, ניצן אליאסיאן, הודיה, אלון טלר, יסכה, נעה אלוש, אבישג, נועם אשרי, אורי נאהרי, שימי, דותן נאה</t>
        </is>
      </c>
      <c r="D3" s="59" t="inlineStr">
        <is>
          <t>ורוד</t>
        </is>
      </c>
    </row>
    <row r="4" ht="46" customHeight="1">
      <c r="A4" s="64" t="inlineStr">
        <is>
          <t>קבוצה של מיקה</t>
        </is>
      </c>
      <c r="B4" s="60" t="inlineStr">
        <is>
          <t>מיקה</t>
        </is>
      </c>
      <c r="C4" s="61" t="inlineStr">
        <is>
          <t>גלעד ריי, חי מוריה, מאיה בוכריס, מיה, עיינה, אורי לזרוביץ, יותם</t>
        </is>
      </c>
      <c r="D4" s="59" t="inlineStr">
        <is>
          <t>ים</t>
        </is>
      </c>
    </row>
    <row r="5" ht="46" customHeight="1">
      <c r="A5" s="64" t="inlineStr">
        <is>
          <t>קבוצה של הילה</t>
        </is>
      </c>
      <c r="B5" s="60" t="inlineStr">
        <is>
          <t>הילה</t>
        </is>
      </c>
      <c r="C5" s="61" t="inlineStr">
        <is>
          <t>אנוש, איתן, נועה זיו קרוק, יעל עדוי, זוהרה, אור יערי, אריאל פרי, דור לוי, גלעד מדר</t>
        </is>
      </c>
      <c r="D5" s="59" t="inlineStr">
        <is>
          <t>ספארי</t>
        </is>
      </c>
    </row>
    <row r="6" ht="46" customHeight="1">
      <c r="A6" s="64" t="inlineStr">
        <is>
          <t>הקבוצה של שטה</t>
        </is>
      </c>
      <c r="B6" s="60" t="inlineStr">
        <is>
          <t>שטה</t>
        </is>
      </c>
      <c r="C6" s="61" t="inlineStr">
        <is>
          <t>יובל מזוז, מיה, אלה כהן, קובו, אביאל, גבע, ענבר, יקיר</t>
        </is>
      </c>
      <c r="D6" s="59" t="inlineStr">
        <is>
          <t>שדה</t>
        </is>
      </c>
    </row>
    <row r="7" ht="46" customHeight="1">
      <c r="A7" s="64" t="n"/>
      <c r="B7" s="60" t="n"/>
      <c r="C7" s="61" t="n"/>
      <c r="D7" s="59" t="inlineStr">
        <is>
          <t>סגול</t>
        </is>
      </c>
    </row>
    <row r="8" ht="46" customHeight="1">
      <c r="A8" s="64" t="n"/>
      <c r="B8" s="60" t="n"/>
      <c r="C8" s="61" t="n"/>
      <c r="D8" s="59" t="inlineStr">
        <is>
          <t>ירוק</t>
        </is>
      </c>
    </row>
    <row r="10">
      <c r="A10" s="9" t="inlineStr">
        <is>
          <t>עדכנו כאן רק כשהרכב הקבוצות משתנה. ערכת הצבע קובעת את צבע הכרטיסייה בגיליון «כרטיסיות».</t>
        </is>
      </c>
    </row>
  </sheetData>
  <mergeCells count="2">
    <mergeCell ref="A1:D1"/>
    <mergeCell ref="A10:D10"/>
  </mergeCells>
  <dataValidations count="1">
    <dataValidation sqref="D3:D8" showDropDown="0" showInputMessage="0" showErrorMessage="0" allowBlank="1" type="list">
      <formula1>"ורוד,ים,ספארי,שדה,סגול,ירוק"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51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86" customWidth="1" min="3" max="3"/>
  </cols>
  <sheetData>
    <row r="1" ht="36" customHeight="1">
      <c r="A1" s="5" t="inlineStr">
        <is>
          <t>מאגר משימות קבוע</t>
        </is>
      </c>
    </row>
    <row r="2" ht="24" customHeight="1">
      <c r="A2" s="16" t="inlineStr">
        <is>
          <t>תחום אחריות</t>
        </is>
      </c>
      <c r="B2" s="16" t="inlineStr">
        <is>
          <t>חלון זמן</t>
        </is>
      </c>
      <c r="C2" s="16" t="inlineStr">
        <is>
          <t>משימה</t>
        </is>
      </c>
    </row>
    <row r="3" ht="20" customHeight="1">
      <c r="A3" s="7" t="inlineStr">
        <is>
          <t>אפייה ובישולים</t>
        </is>
      </c>
      <c r="B3" s="65" t="inlineStr">
        <is>
          <t>שישי</t>
        </is>
      </c>
      <c r="C3" s="21" t="inlineStr">
        <is>
          <t>אפיית חלות</t>
        </is>
      </c>
    </row>
    <row r="4" ht="20" customHeight="1">
      <c r="A4" s="7" t="inlineStr">
        <is>
          <t>אפייה ובישולים</t>
        </is>
      </c>
      <c r="B4" s="65" t="inlineStr">
        <is>
          <t>שישי</t>
        </is>
      </c>
      <c r="C4" s="21" t="inlineStr">
        <is>
          <t>בייגל בייטס (כפול 1 ק"ג קמח תופח)</t>
        </is>
      </c>
    </row>
    <row r="5" ht="20" customHeight="1">
      <c r="A5" s="7" t="inlineStr">
        <is>
          <t>אפייה ובישולים</t>
        </is>
      </c>
      <c r="B5" s="65" t="inlineStr">
        <is>
          <t>שישי</t>
        </is>
      </c>
      <c r="C5" s="21" t="inlineStr">
        <is>
          <t>פנקייקים (כ-30 יחידות)</t>
        </is>
      </c>
    </row>
    <row r="6" ht="20" customHeight="1">
      <c r="A6" s="7" t="inlineStr">
        <is>
          <t>אפייה ובישולים</t>
        </is>
      </c>
      <c r="B6" s="65" t="inlineStr">
        <is>
          <t>שישי</t>
        </is>
      </c>
      <c r="C6" s="21" t="inlineStr">
        <is>
          <t>עוגות שמרים</t>
        </is>
      </c>
    </row>
    <row r="7" ht="20" customHeight="1">
      <c r="A7" s="7" t="inlineStr">
        <is>
          <t>אפייה ובישולים</t>
        </is>
      </c>
      <c r="B7" s="65" t="inlineStr">
        <is>
          <t>שישי</t>
        </is>
      </c>
      <c r="C7" s="21" t="inlineStr">
        <is>
          <t>עוגות בננה עם שוקו צ'יפס</t>
        </is>
      </c>
    </row>
    <row r="8" ht="20" customHeight="1">
      <c r="A8" s="7" t="inlineStr">
        <is>
          <t>אפייה ובישולים</t>
        </is>
      </c>
      <c r="B8" s="65" t="inlineStr">
        <is>
          <t>שישי</t>
        </is>
      </c>
      <c r="C8" s="21" t="inlineStr">
        <is>
          <t>עוגות גזר</t>
        </is>
      </c>
    </row>
    <row r="9" ht="20" customHeight="1">
      <c r="A9" s="7" t="inlineStr">
        <is>
          <t>אפייה ובישולים</t>
        </is>
      </c>
      <c r="B9" s="65" t="inlineStr">
        <is>
          <t>שישי</t>
        </is>
      </c>
      <c r="C9" s="21" t="inlineStr">
        <is>
          <t>עוגת ביסקוויטים גבינה</t>
        </is>
      </c>
    </row>
    <row r="10" ht="20" customHeight="1">
      <c r="A10" s="7" t="inlineStr">
        <is>
          <t>אפייה ובישולים</t>
        </is>
      </c>
      <c r="B10" s="65" t="inlineStr">
        <is>
          <t>שישי</t>
        </is>
      </c>
      <c r="C10" s="21" t="inlineStr">
        <is>
          <t>עוגיות שוקולד צ'יפס</t>
        </is>
      </c>
    </row>
    <row r="11" ht="20" customHeight="1">
      <c r="A11" s="7" t="inlineStr">
        <is>
          <t>אפייה ובישולים</t>
        </is>
      </c>
      <c r="B11" s="65" t="inlineStr">
        <is>
          <t>שישי</t>
        </is>
      </c>
      <c r="C11" s="21" t="inlineStr">
        <is>
          <t>כדורי שוקולד פרווה</t>
        </is>
      </c>
    </row>
    <row r="12" ht="20" customHeight="1">
      <c r="A12" s="7" t="inlineStr">
        <is>
          <t>אפייה ובישולים</t>
        </is>
      </c>
      <c r="B12" s="65" t="inlineStr">
        <is>
          <t>שישי</t>
        </is>
      </c>
      <c r="C12" s="21" t="inlineStr">
        <is>
          <t>סלטים (מטבוחה / סלט ביצים)</t>
        </is>
      </c>
    </row>
    <row r="13" ht="20" customHeight="1">
      <c r="A13" s="7" t="inlineStr">
        <is>
          <t>אפייה ובישולים</t>
        </is>
      </c>
      <c r="B13" s="65" t="inlineStr">
        <is>
          <t>שישי</t>
        </is>
      </c>
      <c r="C13" s="21" t="inlineStr">
        <is>
          <t>ארוחת צהריים של שישי (ביצים קשות, סלט ירקות, טחינה, סחוג, צ'יפס, פיתות)</t>
        </is>
      </c>
    </row>
    <row r="14" ht="20" customHeight="1">
      <c r="A14" s="66" t="inlineStr">
        <is>
          <t>ארוחת ערב שבת</t>
        </is>
      </c>
      <c r="B14" s="65" t="inlineStr">
        <is>
          <t>שישי</t>
        </is>
      </c>
      <c r="C14" s="21" t="inlineStr">
        <is>
          <t>פריקת האוכל כשמגיע בצהריים</t>
        </is>
      </c>
    </row>
    <row r="15" ht="20" customHeight="1">
      <c r="A15" s="66" t="inlineStr">
        <is>
          <t>ארוחת ערב שבת</t>
        </is>
      </c>
      <c r="B15" s="65" t="inlineStr">
        <is>
          <t>שישי</t>
        </is>
      </c>
      <c r="C15" s="21" t="inlineStr">
        <is>
          <t>הנחת האוכל על הפלטות (17:00)</t>
        </is>
      </c>
    </row>
    <row r="16" ht="20" customHeight="1">
      <c r="A16" s="66" t="inlineStr">
        <is>
          <t>ארוחת ערב שבת</t>
        </is>
      </c>
      <c r="B16" s="65" t="inlineStr">
        <is>
          <t>שישי</t>
        </is>
      </c>
      <c r="C16" s="21" t="inlineStr">
        <is>
          <t>עריכת שולחנות: כפות הגשה, חלוקת סלטים לשולחנות (18:00)</t>
        </is>
      </c>
    </row>
    <row r="17" ht="20" customHeight="1">
      <c r="A17" s="66" t="inlineStr">
        <is>
          <t>ארוחת ערב שבת</t>
        </is>
      </c>
      <c r="B17" s="65" t="inlineStr">
        <is>
          <t>שישי</t>
        </is>
      </c>
      <c r="C17" s="21" t="inlineStr">
        <is>
          <t>פינוי חדר האוכל בסיום הארוחה</t>
        </is>
      </c>
    </row>
    <row r="18" ht="20" customHeight="1">
      <c r="A18" s="7" t="inlineStr">
        <is>
          <t>טיש</t>
        </is>
      </c>
      <c r="B18" s="65" t="inlineStr">
        <is>
          <t>שישי</t>
        </is>
      </c>
      <c r="C18" s="21" t="inlineStr">
        <is>
          <t>טאטוא הרצפה אחרי ארוחת ערב</t>
        </is>
      </c>
    </row>
    <row r="19" ht="20" customHeight="1">
      <c r="A19" s="7" t="inlineStr">
        <is>
          <t>טיש</t>
        </is>
      </c>
      <c r="B19" s="65" t="inlineStr">
        <is>
          <t>שישי</t>
        </is>
      </c>
      <c r="C19" s="21" t="inlineStr">
        <is>
          <t>סידור וניקוי שולחנות בקוביה + כיסאות מסביב</t>
        </is>
      </c>
    </row>
    <row r="20" ht="20" customHeight="1">
      <c r="A20" s="7" t="inlineStr">
        <is>
          <t>טיש</t>
        </is>
      </c>
      <c r="B20" s="65" t="inlineStr">
        <is>
          <t>שישי</t>
        </is>
      </c>
      <c r="C20" s="21" t="inlineStr">
        <is>
          <t>הבאת השתייה וסידור כוסות</t>
        </is>
      </c>
    </row>
    <row r="21" ht="20" customHeight="1">
      <c r="A21" s="7" t="inlineStr">
        <is>
          <t>טיש</t>
        </is>
      </c>
      <c r="B21" s="65" t="inlineStr">
        <is>
          <t>שישי</t>
        </is>
      </c>
      <c r="C21" s="21" t="inlineStr">
        <is>
          <t>חימום עוגות פרווה והוצאת כדורי שוקולד</t>
        </is>
      </c>
    </row>
    <row r="22" ht="20" customHeight="1">
      <c r="A22" s="7" t="inlineStr">
        <is>
          <t>טיש</t>
        </is>
      </c>
      <c r="B22" s="65" t="inlineStr">
        <is>
          <t>שישי</t>
        </is>
      </c>
      <c r="C22" s="21" t="inlineStr">
        <is>
          <t>ניקיון מלא בסיום הטיש</t>
        </is>
      </c>
    </row>
    <row r="23" ht="20" customHeight="1">
      <c r="A23" s="66" t="inlineStr">
        <is>
          <t>בית מדרש</t>
        </is>
      </c>
      <c r="B23" s="65" t="inlineStr">
        <is>
          <t>שישי</t>
        </is>
      </c>
      <c r="C23" s="21" t="inlineStr">
        <is>
          <t>שטיפת בית המדרש וסידור בית הכנסת</t>
        </is>
      </c>
    </row>
    <row r="24" ht="20" customHeight="1">
      <c r="A24" s="66" t="inlineStr">
        <is>
          <t>בית מדרש</t>
        </is>
      </c>
      <c r="B24" s="65" t="inlineStr">
        <is>
          <t>שישי</t>
        </is>
      </c>
      <c r="C24" s="21" t="inlineStr">
        <is>
          <t>הבאת ספות משנה א' וסידורן, שני שולחנות באמצע</t>
        </is>
      </c>
    </row>
    <row r="25" ht="20" customHeight="1">
      <c r="A25" s="7" t="inlineStr">
        <is>
          <t>שירותים</t>
        </is>
      </c>
      <c r="B25" s="65" t="inlineStr">
        <is>
          <t>שישי</t>
        </is>
      </c>
      <c r="C25" s="21" t="inlineStr">
        <is>
          <t>ניקוי השירותים עם אקונומיקה, נייר טואלט וניירות ניגוב</t>
        </is>
      </c>
    </row>
    <row r="26" ht="20" customHeight="1">
      <c r="A26" s="66" t="inlineStr">
        <is>
          <t>מרחבים</t>
        </is>
      </c>
      <c r="B26" s="65" t="inlineStr">
        <is>
          <t>שישי</t>
        </is>
      </c>
      <c r="C26" s="21" t="inlineStr">
        <is>
          <t>סידור המרחב לקבלת שבת ישראלית</t>
        </is>
      </c>
    </row>
    <row r="27" ht="20" customHeight="1">
      <c r="A27" s="66" t="inlineStr">
        <is>
          <t>מרחבים</t>
        </is>
      </c>
      <c r="B27" s="65" t="inlineStr">
        <is>
          <t>שישי</t>
        </is>
      </c>
      <c r="C27" s="21" t="inlineStr">
        <is>
          <t>סידור מרחבי החבורות (כיסאות לפי מספר החבורות)</t>
        </is>
      </c>
    </row>
    <row r="28" ht="20" customHeight="1">
      <c r="A28" s="7" t="inlineStr">
        <is>
          <t>לוגיסטיקה</t>
        </is>
      </c>
      <c r="B28" s="65" t="inlineStr">
        <is>
          <t>שישי</t>
        </is>
      </c>
      <c r="C28" s="21" t="inlineStr">
        <is>
          <t>הכנת פלטות חימום, מיחמים ותנור חימום במטבח</t>
        </is>
      </c>
    </row>
    <row r="29" ht="20" customHeight="1">
      <c r="A29" s="7" t="inlineStr">
        <is>
          <t>לוגיסטיקה</t>
        </is>
      </c>
      <c r="B29" s="65" t="inlineStr">
        <is>
          <t>שישי</t>
        </is>
      </c>
      <c r="C29" s="21" t="inlineStr">
        <is>
          <t>ציוד הבדלה: נר, יין, בשמים</t>
        </is>
      </c>
    </row>
    <row r="30" ht="20" customHeight="1">
      <c r="A30" s="7" t="inlineStr">
        <is>
          <t>לוגיסטיקה</t>
        </is>
      </c>
      <c r="B30" s="65" t="inlineStr">
        <is>
          <t>שישי</t>
        </is>
      </c>
      <c r="C30" s="21" t="inlineStr">
        <is>
          <t>הדלקת אורות ומזגנים לשבת</t>
        </is>
      </c>
    </row>
    <row r="31" ht="20" customHeight="1">
      <c r="A31" s="7" t="inlineStr">
        <is>
          <t>לוגיסטיקה</t>
        </is>
      </c>
      <c r="B31" s="65" t="inlineStr">
        <is>
          <t>שישי</t>
        </is>
      </c>
      <c r="C31" s="21" t="inlineStr">
        <is>
          <t>עיתון השבת - הכנה והפצה</t>
        </is>
      </c>
    </row>
    <row r="32" ht="20" customHeight="1">
      <c r="A32" s="66" t="inlineStr">
        <is>
          <t>קידוש</t>
        </is>
      </c>
      <c r="B32" s="65" t="inlineStr">
        <is>
          <t>שבת</t>
        </is>
      </c>
      <c r="C32" s="21" t="inlineStr">
        <is>
          <t>הכנסת מאפים לחימום ב-10:00 (בייגל בייטס, עוגיות, עוגות שמרים, חלות, פנקייקים) - ללא אלומיניום מעל העוגות</t>
        </is>
      </c>
    </row>
    <row r="33" ht="20" customHeight="1">
      <c r="A33" s="66" t="inlineStr">
        <is>
          <t>קידוש</t>
        </is>
      </c>
      <c r="B33" s="65" t="inlineStr">
        <is>
          <t>שבת</t>
        </is>
      </c>
      <c r="C33" s="21" t="inlineStr">
        <is>
          <t>סידור פינת קפה: ניקוי, חלב, מילוי קפה וסוכר</t>
        </is>
      </c>
    </row>
    <row r="34" ht="20" customHeight="1">
      <c r="A34" s="66" t="inlineStr">
        <is>
          <t>קידוש</t>
        </is>
      </c>
      <c r="B34" s="65" t="inlineStr">
        <is>
          <t>שבת</t>
        </is>
      </c>
      <c r="C34" s="21" t="inlineStr">
        <is>
          <t>טאטוא הרצפה וסידור כיסאות במרחב</t>
        </is>
      </c>
    </row>
    <row r="35" ht="20" customHeight="1">
      <c r="A35" s="66" t="inlineStr">
        <is>
          <t>קידוש</t>
        </is>
      </c>
      <c r="B35" s="65" t="inlineStr">
        <is>
          <t>שבת</t>
        </is>
      </c>
      <c r="C35" s="21" t="inlineStr">
        <is>
          <t>הוצאת פירות וחיתוך (פומלה, קיווי, מלון)</t>
        </is>
      </c>
    </row>
    <row r="36" ht="20" customHeight="1">
      <c r="A36" s="66" t="inlineStr">
        <is>
          <t>קידוש</t>
        </is>
      </c>
      <c r="B36" s="65" t="inlineStr">
        <is>
          <t>שבת</t>
        </is>
      </c>
      <c r="C36" s="21" t="inlineStr">
        <is>
          <t>הוצאת עוגות, בית לזית, קורנפלקס וכלים (קערות, צלחות, כפות, כפיות)</t>
        </is>
      </c>
    </row>
    <row r="37" ht="20" customHeight="1">
      <c r="A37" s="66" t="inlineStr">
        <is>
          <t>קידוש</t>
        </is>
      </c>
      <c r="B37" s="65" t="inlineStr">
        <is>
          <t>שבת</t>
        </is>
      </c>
      <c r="C37" s="21" t="inlineStr">
        <is>
          <t>סידור השולחנות והכיסאות במעגל</t>
        </is>
      </c>
    </row>
    <row r="38" ht="20" customHeight="1">
      <c r="A38" s="66" t="inlineStr">
        <is>
          <t>קידוש</t>
        </is>
      </c>
      <c r="B38" s="65" t="inlineStr">
        <is>
          <t>שבת</t>
        </is>
      </c>
      <c r="C38" s="21" t="inlineStr">
        <is>
          <t>קיפול בסיום והכנסה למקרר - לא להשאיר אוכל פתוח</t>
        </is>
      </c>
    </row>
    <row r="39" ht="20" customHeight="1">
      <c r="A39" s="7" t="inlineStr">
        <is>
          <t>ארוחת צהריים שבת</t>
        </is>
      </c>
      <c r="B39" s="65" t="inlineStr">
        <is>
          <t>שבת</t>
        </is>
      </c>
      <c r="C39" s="21" t="inlineStr">
        <is>
          <t>הנחת אוכל בתנור החימום (11:00)</t>
        </is>
      </c>
    </row>
    <row r="40" ht="20" customHeight="1">
      <c r="A40" s="7" t="inlineStr">
        <is>
          <t>ארוחת צהריים שבת</t>
        </is>
      </c>
      <c r="B40" s="65" t="inlineStr">
        <is>
          <t>שבת</t>
        </is>
      </c>
      <c r="C40" s="21" t="inlineStr">
        <is>
          <t>עריכת שולחנות וכפות הגשה (13:00)</t>
        </is>
      </c>
    </row>
    <row r="41" ht="20" customHeight="1">
      <c r="A41" s="7" t="inlineStr">
        <is>
          <t>ארוחת צהריים שבת</t>
        </is>
      </c>
      <c r="B41" s="65" t="inlineStr">
        <is>
          <t>שבת</t>
        </is>
      </c>
      <c r="C41" s="21" t="inlineStr">
        <is>
          <t>חלוקת סלטים לשולחנות</t>
        </is>
      </c>
    </row>
    <row r="42" ht="20" customHeight="1">
      <c r="A42" s="7" t="inlineStr">
        <is>
          <t>ארוחת צהריים שבת</t>
        </is>
      </c>
      <c r="B42" s="65" t="inlineStr">
        <is>
          <t>שבת</t>
        </is>
      </c>
      <c r="C42" s="21" t="inlineStr">
        <is>
          <t>פינוי חדר האוכל בסיום</t>
        </is>
      </c>
    </row>
    <row r="43" ht="20" customHeight="1">
      <c r="A43" s="66" t="inlineStr">
        <is>
          <t>סעודה שלישית</t>
        </is>
      </c>
      <c r="B43" s="65" t="inlineStr">
        <is>
          <t>שבת</t>
        </is>
      </c>
      <c r="C43" s="21" t="inlineStr">
        <is>
          <t>הכנת המרחב והוצאת האוכל</t>
        </is>
      </c>
    </row>
    <row r="44" ht="20" customHeight="1">
      <c r="A44" s="66" t="inlineStr">
        <is>
          <t>סעודה שלישית</t>
        </is>
      </c>
      <c r="B44" s="65" t="inlineStr">
        <is>
          <t>שבת</t>
        </is>
      </c>
      <c r="C44" s="21" t="inlineStr">
        <is>
          <t>פינוי וסידור בסיום</t>
        </is>
      </c>
    </row>
    <row r="45" ht="20" customHeight="1">
      <c r="A45" s="7" t="inlineStr">
        <is>
          <t>מוצאי שבת</t>
        </is>
      </c>
      <c r="B45" s="65" t="inlineStr">
        <is>
          <t>מוצאי שבת</t>
        </is>
      </c>
      <c r="C45" s="21" t="inlineStr">
        <is>
          <t>החזרת הספות למקומן</t>
        </is>
      </c>
    </row>
    <row r="46" ht="20" customHeight="1">
      <c r="A46" s="7" t="inlineStr">
        <is>
          <t>מוצאי שבת</t>
        </is>
      </c>
      <c r="B46" s="65" t="inlineStr">
        <is>
          <t>מוצאי שבת</t>
        </is>
      </c>
      <c r="C46" s="21" t="inlineStr">
        <is>
          <t>שטיפת בית המדרש</t>
        </is>
      </c>
    </row>
    <row r="47" ht="20" customHeight="1">
      <c r="A47" s="7" t="inlineStr">
        <is>
          <t>מוצאי שבת</t>
        </is>
      </c>
      <c r="B47" s="65" t="inlineStr">
        <is>
          <t>מוצאי שבת</t>
        </is>
      </c>
      <c r="C47" s="21" t="inlineStr">
        <is>
          <t>ניקיון מטבח: כיריים, כיורים, מזווה, פינוי כלים ביבוש</t>
        </is>
      </c>
    </row>
    <row r="48" ht="20" customHeight="1">
      <c r="A48" s="7" t="inlineStr">
        <is>
          <t>מוצאי שבת</t>
        </is>
      </c>
      <c r="B48" s="65" t="inlineStr">
        <is>
          <t>מוצאי שבת</t>
        </is>
      </c>
      <c r="C48" s="21" t="inlineStr">
        <is>
          <t>ניקיון וסידור חדר האוכל</t>
        </is>
      </c>
    </row>
    <row r="49" ht="20" customHeight="1">
      <c r="A49" s="7" t="inlineStr">
        <is>
          <t>מוצאי שבת</t>
        </is>
      </c>
      <c r="B49" s="65" t="inlineStr">
        <is>
          <t>מוצאי שבת</t>
        </is>
      </c>
      <c r="C49" s="21" t="inlineStr">
        <is>
          <t>הכנסת כל מה שנותר לחימום אל המקרר</t>
        </is>
      </c>
    </row>
    <row r="51">
      <c r="A51" s="9" t="inlineStr">
        <is>
          <t>זו רשימת ההיצע לגיליון «שיבוץ». מותר ורצוי להוסיף, למחוק ולתקן שורות — הרשימה הנגללת מתעדכנת לבד.</t>
        </is>
      </c>
    </row>
  </sheetData>
  <mergeCells count="2">
    <mergeCell ref="A1:C1"/>
    <mergeCell ref="A51:C51"/>
  </mergeCells>
  <pageMargins left="0.4" right="0.4" top="0.5" bottom="0.5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14" customWidth="1" min="4" max="4"/>
    <col width="46" customWidth="1" min="5" max="5"/>
  </cols>
  <sheetData>
    <row r="1" ht="32" customHeight="1">
      <c r="A1" s="67" t="inlineStr">
        <is>
          <t>לוח שבתות — זמני ירושלים</t>
        </is>
      </c>
    </row>
    <row r="2" ht="24" customHeight="1">
      <c r="A2" s="16" t="inlineStr">
        <is>
          <t>תאריך</t>
        </is>
      </c>
      <c r="B2" s="16" t="inlineStr">
        <is>
          <t>פרשה</t>
        </is>
      </c>
      <c r="C2" s="16" t="inlineStr">
        <is>
          <t>כניסת שבת</t>
        </is>
      </c>
      <c r="D2" s="16" t="inlineStr">
        <is>
          <t>צאת שבת</t>
        </is>
      </c>
      <c r="E2" s="27" t="inlineStr">
        <is>
          <t>ניתן לעריכה</t>
        </is>
      </c>
    </row>
    <row r="3">
      <c r="A3" s="68" t="n">
        <v>46269</v>
      </c>
      <c r="B3" s="20" t="inlineStr">
        <is>
          <t>נצבים, וילך</t>
        </is>
      </c>
      <c r="C3" s="69" t="n">
        <v>0.7638888888888888</v>
      </c>
      <c r="D3" s="69" t="n">
        <v>0.81875</v>
      </c>
      <c r="E3" s="70" t="inlineStr">
        <is>
          <t>הזמנים מחושבים לירושלים (כניסה 40 דק' לפני השקיעה, צאה 40 דק' אחריה) ומדויקים לדקה-שתיים. אם הלוח שלך אומר אחרת — פשוט תקנו את השורה, הצבע הצהוב מסמן שדה שמותר לשנות.</t>
        </is>
      </c>
    </row>
    <row r="4">
      <c r="A4" s="68" t="n">
        <v>46276</v>
      </c>
      <c r="B4" s="20" t="inlineStr">
        <is>
          <t>ראש השנה</t>
        </is>
      </c>
      <c r="C4" s="69" t="n">
        <v>0.7576388888888889</v>
      </c>
      <c r="D4" s="69" t="n">
        <v>0.8125</v>
      </c>
    </row>
    <row r="5">
      <c r="A5" s="68" t="n">
        <v>46283</v>
      </c>
      <c r="B5" s="20" t="inlineStr">
        <is>
          <t>האזינו</t>
        </is>
      </c>
      <c r="C5" s="69" t="n">
        <v>0.7513888888888889</v>
      </c>
      <c r="D5" s="69" t="n">
        <v>0.8055555555555556</v>
      </c>
    </row>
    <row r="6">
      <c r="A6" s="68" t="n">
        <v>46290</v>
      </c>
      <c r="B6" s="20" t="inlineStr">
        <is>
          <t>סוכות</t>
        </is>
      </c>
      <c r="C6" s="69" t="n">
        <v>0.7451388888888889</v>
      </c>
      <c r="D6" s="69" t="n">
        <v>0.7993055555555556</v>
      </c>
    </row>
    <row r="7">
      <c r="A7" s="68" t="n">
        <v>46297</v>
      </c>
      <c r="B7" s="20" t="inlineStr">
        <is>
          <t>שמיני עצרת</t>
        </is>
      </c>
      <c r="C7" s="69" t="n">
        <v>0.7388888888888889</v>
      </c>
      <c r="D7" s="69" t="n">
        <v>0.7930555555555555</v>
      </c>
    </row>
    <row r="8">
      <c r="A8" s="68" t="n">
        <v>46304</v>
      </c>
      <c r="B8" s="20" t="inlineStr">
        <is>
          <t>בראשית</t>
        </is>
      </c>
      <c r="C8" s="69" t="n">
        <v>0.7326388888888888</v>
      </c>
      <c r="D8" s="69" t="n">
        <v>0.7875</v>
      </c>
    </row>
    <row r="9">
      <c r="A9" s="68" t="n">
        <v>46311</v>
      </c>
      <c r="B9" s="20" t="inlineStr">
        <is>
          <t>נח</t>
        </is>
      </c>
      <c r="C9" s="69" t="n">
        <v>0.7263888888888889</v>
      </c>
      <c r="D9" s="69" t="n">
        <v>0.78125</v>
      </c>
    </row>
    <row r="10">
      <c r="A10" s="68" t="n">
        <v>46318</v>
      </c>
      <c r="B10" s="20" t="inlineStr">
        <is>
          <t>לך לך</t>
        </is>
      </c>
      <c r="C10" s="69" t="n">
        <v>0.7215277777777778</v>
      </c>
      <c r="D10" s="69" t="n">
        <v>0.7763888888888889</v>
      </c>
    </row>
    <row r="11">
      <c r="A11" s="68" t="n">
        <v>46325</v>
      </c>
      <c r="B11" s="20" t="inlineStr">
        <is>
          <t>וירא</t>
        </is>
      </c>
      <c r="C11" s="69" t="n">
        <v>0.675</v>
      </c>
      <c r="D11" s="69" t="n">
        <v>0.7298611111111111</v>
      </c>
    </row>
    <row r="12">
      <c r="A12" s="68" t="n">
        <v>46332</v>
      </c>
      <c r="B12" s="20" t="inlineStr">
        <is>
          <t>חיי שרה</t>
        </is>
      </c>
      <c r="C12" s="69" t="n">
        <v>0.6708333333333333</v>
      </c>
      <c r="D12" s="69" t="n">
        <v>0.7256944444444444</v>
      </c>
    </row>
    <row r="13">
      <c r="A13" s="68" t="n">
        <v>46339</v>
      </c>
      <c r="B13" s="20" t="inlineStr">
        <is>
          <t>תולדות</t>
        </is>
      </c>
      <c r="C13" s="69" t="n">
        <v>0.6673611111111111</v>
      </c>
      <c r="D13" s="69" t="n">
        <v>0.7229166666666667</v>
      </c>
    </row>
    <row r="14">
      <c r="A14" s="68" t="n">
        <v>46346</v>
      </c>
      <c r="B14" s="20" t="inlineStr">
        <is>
          <t>ויצא</t>
        </is>
      </c>
      <c r="C14" s="69" t="n">
        <v>0.6652777777777777</v>
      </c>
      <c r="D14" s="69" t="n">
        <v>0.7201388888888889</v>
      </c>
    </row>
    <row r="15">
      <c r="A15" s="68" t="n">
        <v>46353</v>
      </c>
      <c r="B15" s="20" t="inlineStr">
        <is>
          <t>וישלח</t>
        </is>
      </c>
      <c r="C15" s="69" t="n">
        <v>0.6638888888888889</v>
      </c>
      <c r="D15" s="69" t="n">
        <v>0.71875</v>
      </c>
    </row>
    <row r="16">
      <c r="A16" s="68" t="n">
        <v>46360</v>
      </c>
      <c r="B16" s="20" t="inlineStr">
        <is>
          <t>וישב (חנוכה)</t>
        </is>
      </c>
      <c r="C16" s="69" t="n">
        <v>0.6631944444444444</v>
      </c>
      <c r="D16" s="69" t="n">
        <v>0.71875</v>
      </c>
    </row>
    <row r="17">
      <c r="A17" s="68" t="n">
        <v>46367</v>
      </c>
      <c r="B17" s="20" t="inlineStr">
        <is>
          <t>מקץ (חנוכה)</t>
        </is>
      </c>
      <c r="C17" s="69" t="n">
        <v>0.6638888888888889</v>
      </c>
      <c r="D17" s="69" t="n">
        <v>0.7194444444444444</v>
      </c>
    </row>
    <row r="18">
      <c r="A18" s="68" t="n">
        <v>46374</v>
      </c>
      <c r="B18" s="20" t="inlineStr">
        <is>
          <t>ויגש</t>
        </is>
      </c>
      <c r="C18" s="69" t="n">
        <v>0.6652777777777777</v>
      </c>
      <c r="D18" s="69" t="n">
        <v>0.7208333333333333</v>
      </c>
    </row>
    <row r="19">
      <c r="A19" s="68" t="n">
        <v>46381</v>
      </c>
      <c r="B19" s="20" t="inlineStr">
        <is>
          <t>ויחי</t>
        </is>
      </c>
      <c r="C19" s="69" t="n">
        <v>0.6673611111111111</v>
      </c>
      <c r="D19" s="69" t="n">
        <v>0.7236111111111111</v>
      </c>
    </row>
    <row r="20">
      <c r="A20" s="68" t="n">
        <v>46388</v>
      </c>
      <c r="B20" s="20" t="inlineStr">
        <is>
          <t>שמות</t>
        </is>
      </c>
      <c r="C20" s="69" t="n">
        <v>0.6708333333333333</v>
      </c>
      <c r="D20" s="69" t="n">
        <v>0.7270833333333333</v>
      </c>
    </row>
    <row r="21">
      <c r="A21" s="68" t="n">
        <v>46395</v>
      </c>
      <c r="B21" s="20" t="inlineStr">
        <is>
          <t>וארא</t>
        </is>
      </c>
      <c r="C21" s="69" t="n">
        <v>0.675</v>
      </c>
      <c r="D21" s="69" t="n">
        <v>0.7305555555555555</v>
      </c>
    </row>
    <row r="22">
      <c r="A22" s="68" t="n">
        <v>46402</v>
      </c>
      <c r="B22" s="20" t="inlineStr">
        <is>
          <t>בא</t>
        </is>
      </c>
      <c r="C22" s="69" t="n">
        <v>0.6791666666666667</v>
      </c>
      <c r="D22" s="69" t="n">
        <v>0.7354166666666667</v>
      </c>
    </row>
    <row r="23">
      <c r="A23" s="68" t="n">
        <v>46409</v>
      </c>
      <c r="B23" s="20" t="inlineStr">
        <is>
          <t>בשלח (ט״ו בשבט)</t>
        </is>
      </c>
      <c r="C23" s="69" t="n">
        <v>0.6833333333333333</v>
      </c>
      <c r="D23" s="69" t="n">
        <v>0.7395833333333334</v>
      </c>
    </row>
    <row r="24">
      <c r="A24" s="68" t="n">
        <v>46416</v>
      </c>
      <c r="B24" s="20" t="inlineStr">
        <is>
          <t>יתרו</t>
        </is>
      </c>
      <c r="C24" s="69" t="n">
        <v>0.6875</v>
      </c>
      <c r="D24" s="69" t="n">
        <v>0.74375</v>
      </c>
    </row>
    <row r="25">
      <c r="A25" s="68" t="n">
        <v>46423</v>
      </c>
      <c r="B25" s="20" t="inlineStr">
        <is>
          <t>משפטים</t>
        </is>
      </c>
      <c r="C25" s="69" t="n">
        <v>0.6923611111111111</v>
      </c>
      <c r="D25" s="69" t="n">
        <v>0.7486111111111111</v>
      </c>
    </row>
    <row r="26">
      <c r="A26" s="68" t="n">
        <v>46430</v>
      </c>
      <c r="B26" s="20" t="inlineStr">
        <is>
          <t>תרומה</t>
        </is>
      </c>
      <c r="C26" s="69" t="n">
        <v>0.6965277777777777</v>
      </c>
      <c r="D26" s="69" t="n">
        <v>0.7527777777777778</v>
      </c>
    </row>
    <row r="27">
      <c r="A27" s="68" t="n">
        <v>46437</v>
      </c>
      <c r="B27" s="20" t="inlineStr">
        <is>
          <t>תצוה</t>
        </is>
      </c>
      <c r="C27" s="69" t="n">
        <v>0.7006944444444444</v>
      </c>
      <c r="D27" s="69" t="n">
        <v>0.7569444444444444</v>
      </c>
    </row>
    <row r="28">
      <c r="A28" s="68" t="n">
        <v>46444</v>
      </c>
      <c r="B28" s="20" t="inlineStr">
        <is>
          <t>כי תשא</t>
        </is>
      </c>
      <c r="C28" s="69" t="n">
        <v>0.7041666666666667</v>
      </c>
      <c r="D28" s="69" t="n">
        <v>0.7604166666666666</v>
      </c>
    </row>
    <row r="29">
      <c r="A29" s="68" t="n">
        <v>46451</v>
      </c>
      <c r="B29" s="20" t="inlineStr">
        <is>
          <t>ויקהל</t>
        </is>
      </c>
      <c r="C29" s="69" t="n">
        <v>0.7083333333333334</v>
      </c>
      <c r="D29" s="69" t="n">
        <v>0.7638888888888888</v>
      </c>
    </row>
    <row r="30">
      <c r="A30" s="68" t="n">
        <v>46458</v>
      </c>
      <c r="B30" s="20" t="inlineStr">
        <is>
          <t>פקודי</t>
        </is>
      </c>
      <c r="C30" s="69" t="n">
        <v>0.7118055555555556</v>
      </c>
      <c r="D30" s="69" t="n">
        <v>0.7680555555555556</v>
      </c>
    </row>
    <row r="31">
      <c r="A31" s="68" t="n">
        <v>46465</v>
      </c>
      <c r="B31" s="20" t="inlineStr">
        <is>
          <t>ויקרא</t>
        </is>
      </c>
      <c r="C31" s="69" t="n">
        <v>0.7152777777777778</v>
      </c>
      <c r="D31" s="69" t="n">
        <v>0.7708333333333334</v>
      </c>
    </row>
    <row r="32">
      <c r="A32" s="68" t="n">
        <v>46472</v>
      </c>
      <c r="B32" s="20" t="inlineStr">
        <is>
          <t>צו</t>
        </is>
      </c>
      <c r="C32" s="69" t="n">
        <v>0.7597222222222222</v>
      </c>
      <c r="D32" s="69" t="n">
        <v>0.8159722222222222</v>
      </c>
    </row>
    <row r="33">
      <c r="A33" s="68" t="n">
        <v>46479</v>
      </c>
      <c r="B33" s="20" t="inlineStr">
        <is>
          <t>שמיני</t>
        </is>
      </c>
      <c r="C33" s="69" t="n">
        <v>0.7631944444444444</v>
      </c>
      <c r="D33" s="69" t="n">
        <v>0.8194444444444444</v>
      </c>
    </row>
    <row r="34">
      <c r="A34" s="68" t="n">
        <v>46486</v>
      </c>
      <c r="B34" s="20" t="inlineStr">
        <is>
          <t>תזריע</t>
        </is>
      </c>
      <c r="C34" s="69" t="n">
        <v>0.7666666666666667</v>
      </c>
      <c r="D34" s="69" t="n">
        <v>0.8222222222222222</v>
      </c>
    </row>
    <row r="35">
      <c r="A35" s="68" t="n">
        <v>46493</v>
      </c>
      <c r="B35" s="20" t="inlineStr">
        <is>
          <t>מצורע</t>
        </is>
      </c>
      <c r="C35" s="69" t="n">
        <v>0.7701388888888889</v>
      </c>
      <c r="D35" s="69" t="n">
        <v>0.8256944444444444</v>
      </c>
    </row>
    <row r="36">
      <c r="A36" s="68" t="n">
        <v>46500</v>
      </c>
      <c r="B36" s="20" t="inlineStr">
        <is>
          <t>פסח</t>
        </is>
      </c>
      <c r="C36" s="69" t="n">
        <v>0.7729166666666667</v>
      </c>
      <c r="D36" s="69" t="n">
        <v>0.8291666666666667</v>
      </c>
    </row>
    <row r="37">
      <c r="A37" s="68" t="n">
        <v>46507</v>
      </c>
      <c r="B37" s="20" t="inlineStr">
        <is>
          <t>אחרי מות</t>
        </is>
      </c>
      <c r="C37" s="69" t="n">
        <v>0.7763888888888889</v>
      </c>
      <c r="D37" s="69" t="n">
        <v>0.8326388888888889</v>
      </c>
    </row>
    <row r="38">
      <c r="A38" s="68" t="n">
        <v>46514</v>
      </c>
      <c r="B38" s="20" t="inlineStr">
        <is>
          <t>קדושים</t>
        </is>
      </c>
      <c r="C38" s="69" t="n">
        <v>0.7798611111111111</v>
      </c>
      <c r="D38" s="69" t="n">
        <v>0.8361111111111111</v>
      </c>
    </row>
    <row r="39">
      <c r="A39" s="68" t="n">
        <v>46521</v>
      </c>
      <c r="B39" s="20" t="inlineStr">
        <is>
          <t>אמור</t>
        </is>
      </c>
      <c r="C39" s="69" t="n">
        <v>0.7833333333333333</v>
      </c>
      <c r="D39" s="69" t="n">
        <v>0.8395833333333333</v>
      </c>
    </row>
    <row r="40">
      <c r="A40" s="68" t="n">
        <v>46528</v>
      </c>
      <c r="B40" s="20" t="inlineStr">
        <is>
          <t>בהר</t>
        </is>
      </c>
      <c r="C40" s="69" t="n">
        <v>0.7868055555555555</v>
      </c>
      <c r="D40" s="69" t="n">
        <v>0.8423611111111111</v>
      </c>
    </row>
    <row r="41">
      <c r="A41" s="68" t="n">
        <v>46535</v>
      </c>
      <c r="B41" s="20" t="inlineStr">
        <is>
          <t>בחוקותי</t>
        </is>
      </c>
      <c r="C41" s="69" t="n">
        <v>0.7895833333333333</v>
      </c>
      <c r="D41" s="69" t="n">
        <v>0.8458333333333333</v>
      </c>
    </row>
    <row r="42">
      <c r="A42" s="68" t="n">
        <v>46542</v>
      </c>
      <c r="B42" s="20" t="inlineStr">
        <is>
          <t>במדבר</t>
        </is>
      </c>
      <c r="C42" s="69" t="n">
        <v>0.7923611111111111</v>
      </c>
      <c r="D42" s="69" t="n">
        <v>0.8486111111111111</v>
      </c>
    </row>
    <row r="43">
      <c r="A43" s="68" t="n">
        <v>46549</v>
      </c>
      <c r="B43" s="20" t="inlineStr">
        <is>
          <t>נשא</t>
        </is>
      </c>
      <c r="C43" s="69" t="n">
        <v>0.7944444444444444</v>
      </c>
      <c r="D43" s="69" t="n">
        <v>0.8506944444444444</v>
      </c>
    </row>
    <row r="44">
      <c r="A44" s="68" t="n">
        <v>46556</v>
      </c>
      <c r="B44" s="20" t="inlineStr">
        <is>
          <t>בהעלותך</t>
        </is>
      </c>
      <c r="C44" s="69" t="n">
        <v>0.7965277777777777</v>
      </c>
      <c r="D44" s="69" t="n">
        <v>0.8520833333333333</v>
      </c>
    </row>
    <row r="45">
      <c r="A45" s="68" t="n">
        <v>46563</v>
      </c>
      <c r="B45" s="20" t="inlineStr">
        <is>
          <t>שלח</t>
        </is>
      </c>
      <c r="C45" s="69" t="n">
        <v>0.7972222222222223</v>
      </c>
      <c r="D45" s="69" t="n">
        <v>0.8527777777777777</v>
      </c>
    </row>
    <row r="46">
      <c r="A46" s="68" t="n">
        <v>46570</v>
      </c>
      <c r="B46" s="20" t="inlineStr">
        <is>
          <t>קרח</t>
        </is>
      </c>
      <c r="C46" s="69" t="n">
        <v>0.7979166666666667</v>
      </c>
      <c r="D46" s="69" t="n">
        <v>0.8534722222222222</v>
      </c>
    </row>
    <row r="47">
      <c r="A47" s="68" t="n">
        <v>46577</v>
      </c>
      <c r="B47" s="20" t="inlineStr">
        <is>
          <t>חקת</t>
        </is>
      </c>
      <c r="C47" s="69" t="n">
        <v>0.7972222222222223</v>
      </c>
      <c r="D47" s="69" t="n">
        <v>0.8520833333333333</v>
      </c>
    </row>
    <row r="48">
      <c r="A48" s="68" t="n">
        <v>46584</v>
      </c>
      <c r="B48" s="20" t="inlineStr">
        <is>
          <t>בלק</t>
        </is>
      </c>
      <c r="C48" s="69" t="n">
        <v>0.7958333333333333</v>
      </c>
      <c r="D48" s="69" t="n">
        <v>0.8506944444444444</v>
      </c>
    </row>
    <row r="49">
      <c r="A49" s="68" t="n">
        <v>46591</v>
      </c>
      <c r="B49" s="20" t="inlineStr">
        <is>
          <t>פינחס</t>
        </is>
      </c>
      <c r="C49" s="69" t="n">
        <v>0.7930555555555555</v>
      </c>
      <c r="D49" s="69" t="n">
        <v>0.8486111111111111</v>
      </c>
    </row>
    <row r="50">
      <c r="A50" s="68" t="n">
        <v>46598</v>
      </c>
      <c r="B50" s="20" t="inlineStr">
        <is>
          <t>מטות, מסעי</t>
        </is>
      </c>
      <c r="C50" s="69" t="n">
        <v>0.7902777777777777</v>
      </c>
      <c r="D50" s="69" t="n">
        <v>0.8451388888888889</v>
      </c>
    </row>
    <row r="51">
      <c r="A51" s="68" t="n">
        <v>46605</v>
      </c>
      <c r="B51" s="20" t="inlineStr">
        <is>
          <t>דברים</t>
        </is>
      </c>
      <c r="C51" s="69" t="n">
        <v>0.7861111111111111</v>
      </c>
      <c r="D51" s="69" t="n">
        <v>0.8409722222222222</v>
      </c>
    </row>
    <row r="52">
      <c r="A52" s="68" t="n">
        <v>46612</v>
      </c>
      <c r="B52" s="20" t="inlineStr">
        <is>
          <t>ואתחנן</t>
        </is>
      </c>
      <c r="C52" s="69" t="n">
        <v>0.78125</v>
      </c>
      <c r="D52" s="69" t="n">
        <v>0.8361111111111111</v>
      </c>
    </row>
    <row r="53">
      <c r="A53" s="68" t="n">
        <v>46619</v>
      </c>
      <c r="B53" s="20" t="inlineStr">
        <is>
          <t>עקב</t>
        </is>
      </c>
      <c r="C53" s="69" t="n">
        <v>0.7763888888888889</v>
      </c>
      <c r="D53" s="69" t="n">
        <v>0.83125</v>
      </c>
    </row>
    <row r="54">
      <c r="A54" s="68" t="n">
        <v>46626</v>
      </c>
      <c r="B54" s="20" t="inlineStr">
        <is>
          <t>ראה</t>
        </is>
      </c>
      <c r="C54" s="69" t="n">
        <v>0.7708333333333334</v>
      </c>
      <c r="D54" s="69" t="n">
        <v>0.8256944444444444</v>
      </c>
    </row>
  </sheetData>
  <mergeCells count="2">
    <mergeCell ref="E3:E8"/>
    <mergeCell ref="A1:E1"/>
  </mergeCells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2026-09-02T21:40:41Z</dcterms:created>
  <dcterms:modified xsi:type="dcterms:W3CDTF">2026-09-02T21:40:41Z</dcterms:modified>
</cp:coreProperties>
</file>