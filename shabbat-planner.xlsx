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לוח בקרה" sheetId="1" state="visible" r:id="rId1"/>
    <sheet name="לוז" sheetId="2" state="visible" r:id="rId2"/>
    <sheet name="משימות" sheetId="3" state="visible" r:id="rId3"/>
    <sheet name="קבוצות" sheetId="4" state="visible" r:id="rId4"/>
    <sheet name="חניכים" sheetId="5" state="visible" r:id="rId5"/>
    <sheet name="היסטוריה" sheetId="6" state="visible" r:id="rId6"/>
    <sheet name="מתכונים" sheetId="7" state="visible" r:id="rId7"/>
    <sheet name="קייטרינג" sheetId="8" state="visible" r:id="rId8"/>
    <sheet name="זמנים" sheetId="9" state="visible" r:id="rId9"/>
  </sheets>
  <definedNames/>
  <calcPr calcId="124519" fullCalcOnLoad="1"/>
</workbook>
</file>

<file path=xl/styles.xml><?xml version="1.0" encoding="utf-8"?>
<styleSheet xmlns="http://schemas.openxmlformats.org/spreadsheetml/2006/main">
  <numFmts count="3">
    <numFmt numFmtId="164" formatCode="dd/mm/yyyy"/>
    <numFmt numFmtId="165" formatCode="hh:mm"/>
    <numFmt numFmtId="166" formatCode="yyyy-mm-dd"/>
  </numFmts>
  <fonts count="14">
    <font>
      <name val="Calibri"/>
      <family val="2"/>
      <color theme="1"/>
      <sz val="11"/>
      <scheme val="minor"/>
    </font>
    <font>
      <name val="Arial"/>
      <b val="1"/>
      <color rgb="002E5C8A"/>
      <sz val="20"/>
    </font>
    <font>
      <name val="Arial"/>
      <i val="1"/>
      <color rgb="006B7280"/>
      <sz val="10"/>
    </font>
    <font>
      <name val="Arial"/>
      <b val="1"/>
      <color rgb="001F2430"/>
      <sz val="11"/>
    </font>
    <font>
      <name val="Arial"/>
      <b val="1"/>
      <color rgb="001F2430"/>
      <sz val="12"/>
    </font>
    <font>
      <name val="Arial"/>
      <b val="1"/>
      <color rgb="00FFFFFF"/>
      <sz val="11"/>
    </font>
    <font>
      <name val="Arial"/>
      <b val="1"/>
      <color rgb="002E5C8A"/>
      <sz val="13"/>
    </font>
    <font>
      <name val="Arial"/>
      <b val="1"/>
      <color rgb="002E5C8A"/>
      <sz val="11"/>
    </font>
    <font>
      <name val="Arial"/>
      <color rgb="001F2430"/>
      <sz val="11"/>
    </font>
    <font>
      <name val="Arial"/>
      <b val="1"/>
      <color rgb="002E5C8A"/>
      <sz val="12"/>
    </font>
    <font>
      <name val="Arial"/>
      <color rgb="006B7280"/>
      <sz val="10"/>
    </font>
    <font>
      <name val="Arial"/>
      <b val="1"/>
      <color rgb="002E5C8A"/>
      <sz val="18"/>
    </font>
    <font>
      <name val="Arial"/>
      <color rgb="001F2430"/>
      <sz val="10"/>
    </font>
    <font>
      <name val="Arial"/>
      <b val="1"/>
      <color rgb="002E5C8A"/>
      <sz val="16"/>
    </font>
  </fonts>
  <fills count="10">
    <fill>
      <patternFill/>
    </fill>
    <fill>
      <patternFill patternType="gray125"/>
    </fill>
    <fill>
      <patternFill patternType="solid">
        <fgColor rgb="00EDF1F6"/>
      </patternFill>
    </fill>
    <fill>
      <patternFill patternType="solid">
        <fgColor rgb="00EEF3F8"/>
      </patternFill>
    </fill>
    <fill>
      <patternFill patternType="solid">
        <fgColor rgb="002E5C8A"/>
      </patternFill>
    </fill>
    <fill>
      <patternFill patternType="solid">
        <fgColor rgb="00FFF9E3"/>
      </patternFill>
    </fill>
    <fill>
      <patternFill patternType="solid">
        <fgColor rgb="00E3F4F1"/>
      </patternFill>
    </fill>
    <fill>
      <patternFill patternType="solid">
        <fgColor rgb="00E8F0F8"/>
      </patternFill>
    </fill>
    <fill>
      <patternFill patternType="solid">
        <fgColor rgb="00F3EDE3"/>
      </patternFill>
    </fill>
    <fill>
      <patternFill patternType="solid">
        <fgColor rgb="00EDEAF5"/>
      </patternFill>
    </fill>
  </fills>
  <borders count="5">
    <border>
      <left/>
      <right/>
      <top/>
      <bottom/>
      <diagonal/>
    </border>
    <border>
      <left style="thin">
        <color rgb="00C9CFD8"/>
      </left>
      <right style="thin">
        <color rgb="00C9CFD8"/>
      </right>
      <top style="thin">
        <color rgb="00C9CFD8"/>
      </top>
      <bottom style="thin">
        <color rgb="00C9CFD8"/>
      </bottom>
    </border>
    <border>
      <left/>
      <right/>
      <top style="thin">
        <color rgb="00C9CFD8"/>
      </top>
      <bottom/>
      <diagonal/>
    </border>
    <border>
      <left/>
      <right style="thin">
        <color rgb="00C9CFD8"/>
      </right>
      <top style="thin">
        <color rgb="00C9CFD8"/>
      </top>
      <bottom/>
      <diagonal/>
    </border>
    <border>
      <left/>
      <right style="thin">
        <color rgb="00C9CFD8"/>
      </right>
      <top style="thin">
        <color rgb="00C9CFD8"/>
      </top>
      <bottom style="thin">
        <color rgb="00C9CFD8"/>
      </bottom>
      <diagonal/>
    </border>
  </borders>
  <cellStyleXfs count="1">
    <xf numFmtId="0" fontId="0" fillId="0" borderId="0"/>
  </cellStyleXfs>
  <cellXfs count="45">
    <xf numFmtId="0" fontId="0" fillId="0" borderId="0" pivotButton="0" quotePrefix="0" xfId="0"/>
    <xf numFmtId="0" fontId="1" fillId="0" borderId="0" applyAlignment="1" pivotButton="0" quotePrefix="0" xfId="0">
      <alignment horizontal="right" vertical="center" readingOrder="2"/>
    </xf>
    <xf numFmtId="0" fontId="2" fillId="0" borderId="0" applyAlignment="1" pivotButton="0" quotePrefix="0" xfId="0">
      <alignment horizontal="right" vertical="center" readingOrder="2"/>
    </xf>
    <xf numFmtId="0" fontId="3" fillId="2" borderId="1" applyAlignment="1" pivotButton="0" quotePrefix="0" xfId="0">
      <alignment horizontal="right" vertical="center" readingOrder="2"/>
    </xf>
    <xf numFmtId="164" fontId="4" fillId="3" borderId="1" applyAlignment="1" pivotButton="0" quotePrefix="0" xfId="0">
      <alignment horizontal="center" vertical="center" readingOrder="2"/>
    </xf>
    <xf numFmtId="0" fontId="6" fillId="0" borderId="0" applyAlignment="1" pivotButton="0" quotePrefix="0" xfId="0">
      <alignment horizontal="right" vertical="center" readingOrder="2"/>
    </xf>
    <xf numFmtId="165" fontId="4" fillId="3" borderId="1" applyAlignment="1" pivotButton="0" quotePrefix="0" xfId="0">
      <alignment horizontal="center" vertical="center" readingOrder="2"/>
    </xf>
    <xf numFmtId="0" fontId="7" fillId="0" borderId="0" applyAlignment="1" pivotButton="0" quotePrefix="0" xfId="0">
      <alignment horizontal="center" vertical="top" readingOrder="2"/>
    </xf>
    <xf numFmtId="0" fontId="8" fillId="0" borderId="0" applyAlignment="1" pivotButton="0" quotePrefix="0" xfId="0">
      <alignment horizontal="right" vertical="top" wrapText="1" readingOrder="2"/>
    </xf>
    <xf numFmtId="0" fontId="5" fillId="4" borderId="1" applyAlignment="1" pivotButton="0" quotePrefix="0" xfId="0">
      <alignment horizontal="center" vertical="center" wrapText="1" readingOrder="2"/>
    </xf>
    <xf numFmtId="0" fontId="0" fillId="0" borderId="4" pivotButton="0" quotePrefix="0" xfId="0"/>
    <xf numFmtId="0" fontId="4" fillId="3" borderId="1" applyAlignment="1" pivotButton="0" quotePrefix="0" xfId="0">
      <alignment horizontal="center" vertical="center" readingOrder="2"/>
    </xf>
    <xf numFmtId="0" fontId="2" fillId="0" borderId="1" applyAlignment="1" pivotButton="0" quotePrefix="0" xfId="0">
      <alignment horizontal="right" vertical="center" readingOrder="2"/>
    </xf>
    <xf numFmtId="164" fontId="4" fillId="5" borderId="1" applyAlignment="1" pivotButton="0" quotePrefix="0" xfId="0">
      <alignment horizontal="center" vertical="center" readingOrder="2"/>
    </xf>
    <xf numFmtId="0" fontId="8" fillId="3" borderId="1" applyAlignment="1" pivotButton="0" quotePrefix="0" xfId="0">
      <alignment horizontal="right" vertical="center" readingOrder="2"/>
    </xf>
    <xf numFmtId="165" fontId="9" fillId="3" borderId="1" applyAlignment="1" pivotButton="0" quotePrefix="0" xfId="0">
      <alignment horizontal="center" vertical="center" readingOrder="2"/>
    </xf>
    <xf numFmtId="0" fontId="3" fillId="6" borderId="1" applyAlignment="1" pivotButton="0" quotePrefix="0" xfId="0">
      <alignment horizontal="right" vertical="center" readingOrder="2"/>
    </xf>
    <xf numFmtId="0" fontId="3" fillId="7" borderId="1" applyAlignment="1" pivotButton="0" quotePrefix="0" xfId="0">
      <alignment horizontal="center" vertical="center" readingOrder="2"/>
    </xf>
    <xf numFmtId="165" fontId="4" fillId="5" borderId="1" applyAlignment="1" pivotButton="0" quotePrefix="0" xfId="0">
      <alignment horizontal="center" vertical="center" readingOrder="2"/>
    </xf>
    <xf numFmtId="0" fontId="3" fillId="5" borderId="1" applyAlignment="1" pivotButton="0" quotePrefix="0" xfId="0">
      <alignment horizontal="right" vertical="center" readingOrder="2"/>
    </xf>
    <xf numFmtId="0" fontId="8" fillId="5" borderId="1" applyAlignment="1" pivotButton="0" quotePrefix="0" xfId="0">
      <alignment horizontal="right" vertical="center" readingOrder="2"/>
    </xf>
    <xf numFmtId="0" fontId="8" fillId="5" borderId="1" applyAlignment="1" pivotButton="0" quotePrefix="0" xfId="0">
      <alignment horizontal="right" vertical="top" wrapText="1" readingOrder="2"/>
    </xf>
    <xf numFmtId="165" fontId="10" fillId="3" borderId="1" applyAlignment="1" pivotButton="0" quotePrefix="0" xfId="0">
      <alignment horizontal="center" vertical="center" readingOrder="2"/>
    </xf>
    <xf numFmtId="0" fontId="8" fillId="3" borderId="1" applyAlignment="1" pivotButton="0" quotePrefix="0" xfId="0">
      <alignment horizontal="center" vertical="center" readingOrder="2"/>
    </xf>
    <xf numFmtId="0" fontId="3" fillId="8"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2" fillId="0" borderId="0" applyAlignment="1" pivotButton="0" quotePrefix="0" xfId="0">
      <alignment horizontal="right" vertical="center" wrapText="1" readingOrder="2"/>
    </xf>
    <xf numFmtId="0" fontId="11" fillId="0" borderId="0" applyAlignment="1" pivotButton="0" quotePrefix="0" xfId="0">
      <alignment horizontal="right" vertical="center" readingOrder="2"/>
    </xf>
    <xf numFmtId="0" fontId="8" fillId="5" borderId="1" applyAlignment="1" pivotButton="0" quotePrefix="0" xfId="0">
      <alignment horizontal="center" vertical="center" readingOrder="2"/>
    </xf>
    <xf numFmtId="0" fontId="8" fillId="7" borderId="1" applyAlignment="1" pivotButton="0" quotePrefix="0" xfId="0">
      <alignment horizontal="center" vertical="center" readingOrder="2"/>
    </xf>
    <xf numFmtId="165" fontId="3" fillId="5" borderId="1" applyAlignment="1" pivotButton="0" quotePrefix="0" xfId="0">
      <alignment horizontal="center" vertical="center" readingOrder="2"/>
    </xf>
    <xf numFmtId="0" fontId="8" fillId="6" borderId="1" applyAlignment="1" pivotButton="0" quotePrefix="0" xfId="0">
      <alignment horizontal="right" vertical="top" wrapText="1" readingOrder="2"/>
    </xf>
    <xf numFmtId="0" fontId="8" fillId="8" borderId="1" applyAlignment="1" pivotButton="0" quotePrefix="0" xfId="0">
      <alignment horizontal="center" vertical="center" readingOrder="2"/>
    </xf>
    <xf numFmtId="0" fontId="8" fillId="9" borderId="1" applyAlignment="1" pivotButton="0" quotePrefix="0" xfId="0">
      <alignment horizontal="center" vertical="center" readingOrder="2"/>
    </xf>
    <xf numFmtId="0" fontId="8" fillId="6" borderId="1" applyAlignment="1" pivotButton="0" quotePrefix="0" xfId="0">
      <alignment horizontal="right" vertical="center" readingOrder="2"/>
    </xf>
    <xf numFmtId="0" fontId="8" fillId="6" borderId="1" applyAlignment="1" pivotButton="0" quotePrefix="0" xfId="0">
      <alignment horizontal="center" vertical="center" readingOrder="2"/>
    </xf>
    <xf numFmtId="164" fontId="12" fillId="0" borderId="0" applyAlignment="1" pivotButton="0" quotePrefix="0" xfId="0">
      <alignment horizontal="center" vertical="center" readingOrder="2"/>
    </xf>
    <xf numFmtId="0" fontId="12" fillId="0" borderId="0" applyAlignment="1" pivotButton="0" quotePrefix="0" xfId="0">
      <alignment horizontal="right" vertical="center" readingOrder="2"/>
    </xf>
    <xf numFmtId="0" fontId="12" fillId="0" borderId="0" applyAlignment="1" pivotButton="0" quotePrefix="0" xfId="0">
      <alignment horizontal="center" vertical="center" readingOrder="2"/>
    </xf>
    <xf numFmtId="0" fontId="13" fillId="0" borderId="0" applyAlignment="1" pivotButton="0" quotePrefix="0" xfId="0">
      <alignment horizontal="right" vertical="center" readingOrder="2"/>
    </xf>
    <xf numFmtId="164" fontId="8" fillId="0" borderId="1" applyAlignment="1" pivotButton="0" quotePrefix="0" xfId="0">
      <alignment horizontal="center" vertical="center" readingOrder="2"/>
    </xf>
    <xf numFmtId="0" fontId="8" fillId="0" borderId="1" applyAlignment="1" pivotButton="0" quotePrefix="0" xfId="0">
      <alignment horizontal="right" vertical="center" readingOrder="2"/>
    </xf>
    <xf numFmtId="165" fontId="8" fillId="5" borderId="1" applyAlignment="1" pivotButton="0" quotePrefix="0" xfId="0">
      <alignment horizontal="center" vertical="center" readingOrder="2"/>
    </xf>
    <xf numFmtId="0" fontId="8" fillId="0" borderId="1" applyAlignment="1" pivotButton="0" quotePrefix="0" xfId="0">
      <alignment horizontal="center" vertical="center" readingOrder="2"/>
    </xf>
    <xf numFmtId="0" fontId="2" fillId="0" borderId="0"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AA5B1"/>
    <outlinePr summaryBelow="1" summaryRight="1"/>
    <pageSetUpPr fitToPage="1"/>
  </sheetPr>
  <dimension ref="A1:E16"/>
  <sheetViews>
    <sheetView showGridLines="0" rightToLeft="1" workbookViewId="0">
      <selection activeCell="A1" sqref="A1"/>
    </sheetView>
  </sheetViews>
  <sheetFormatPr baseColWidth="8" defaultRowHeight="15"/>
  <cols>
    <col width="26" customWidth="1" min="1" max="1"/>
    <col width="14" customWidth="1" min="2" max="2"/>
    <col width="44" customWidth="1" min="3" max="3"/>
    <col width="4" customWidth="1" min="4" max="4"/>
    <col width="70" customWidth="1" min="5" max="5"/>
  </cols>
  <sheetData>
    <row r="1" ht="40" customHeight="1">
      <c r="A1" s="1" t="inlineStr">
        <is>
          <t>הכנת שבת — מדרשת עין פרת</t>
        </is>
      </c>
    </row>
    <row r="2">
      <c r="A2" s="2" t="inlineStr">
        <is>
          <t>צהוב = ממלאים · טורקיז = הסקריפט כותב · אפור = מחושב</t>
        </is>
      </c>
    </row>
    <row r="4" ht="22" customHeight="1">
      <c r="A4" s="3" t="inlineStr">
        <is>
          <t>שבת</t>
        </is>
      </c>
      <c r="B4" s="4">
        <f>IF('לוז'!B3="","— בחר תאריך ב«לוז» —",'לוז'!B3)</f>
        <v/>
      </c>
      <c r="E4" s="5" t="inlineStr">
        <is>
          <t>סדר העבודה</t>
        </is>
      </c>
    </row>
    <row r="5" ht="34" customHeight="1">
      <c r="A5" s="3" t="inlineStr">
        <is>
          <t>כניסת שבת</t>
        </is>
      </c>
      <c r="B5" s="6">
        <f>'לוז'!B4</f>
        <v/>
      </c>
      <c r="D5" s="7" t="inlineStr">
        <is>
          <t>1</t>
        </is>
      </c>
      <c r="E5" s="8" t="inlineStr">
        <is>
          <t>«לוז» — בוחרים תאריך, מתקנים שעות ומקומות. «הצעה» מתעדכנת לבד; «שעה» היא מה שנשלח.</t>
        </is>
      </c>
    </row>
    <row r="6" ht="34" customHeight="1">
      <c r="A6" s="3" t="inlineStr">
        <is>
          <t>צאת שבת</t>
        </is>
      </c>
      <c r="B6" s="6">
        <f>'לוז'!D4</f>
        <v/>
      </c>
      <c r="D6" s="7" t="inlineStr">
        <is>
          <t>2</t>
        </is>
      </c>
      <c r="E6" s="8" t="inlineStr">
        <is>
          <t>«משימות» — לכל משימה: שלב, יום, שעה, קבוצה, כמה אנשים, מתכון (לצוות הכנה) ועוגן בלו"ז.</t>
        </is>
      </c>
    </row>
    <row r="7" ht="34" customHeight="1">
      <c r="D7" s="7" t="inlineStr">
        <is>
          <t>3</t>
        </is>
      </c>
      <c r="E7" s="8" t="inlineStr">
        <is>
          <t>python3 tools/assign_groups.py &lt;תאריך&gt; — ממלא «שמות», «קבוצות», «חניכים» ו«היסטוריה».</t>
        </is>
      </c>
    </row>
    <row r="8" ht="34" customHeight="1">
      <c r="A8" s="9" t="inlineStr">
        <is>
          <t>מצב ההכנה</t>
        </is>
      </c>
      <c r="B8" s="10" t="n"/>
      <c r="C8" s="9" t="inlineStr">
        <is>
          <t>הערה</t>
        </is>
      </c>
      <c r="D8" s="7" t="inlineStr">
        <is>
          <t>4</t>
        </is>
      </c>
      <c r="E8" s="8" t="inlineStr">
        <is>
          <t>python3 tools/export_pdf.py &lt;תאריך&gt; — לו"ז שבת, מי בכל תורנות, ודף לכל תורנות. ערכת בשיטס? הורד כ-xlsx והרץ שוב.</t>
        </is>
      </c>
    </row>
    <row r="9" ht="22" customHeight="1">
      <c r="A9" s="3" t="inlineStr">
        <is>
          <t>נוכחים השבת</t>
        </is>
      </c>
      <c r="B9" s="11">
        <f>COUNTIF('חניכים'!$D$3:$D$132,"כן")+COUNTIF('חניכים'!$D$3:$D$132,"לא")</f>
        <v/>
      </c>
      <c r="C9" s="12" t="inlineStr">
        <is>
          <t>מתוך רשימת הנוכחות</t>
        </is>
      </c>
    </row>
    <row r="10" ht="22" customHeight="1">
      <c r="A10" s="3" t="inlineStr">
        <is>
          <t>זמינים לתורנות</t>
        </is>
      </c>
      <c r="B10" s="11">
        <f>COUNTIF('חניכים'!$D$3:$D$132,"כן")</f>
        <v/>
      </c>
      <c r="C10" s="12" t="n"/>
    </row>
    <row r="11" ht="22" customHeight="1">
      <c r="A11" s="3" t="inlineStr">
        <is>
          <t>בתורנות</t>
        </is>
      </c>
      <c r="B11" s="11">
        <f>COUNTA('חניכים'!$E$3:$E$132)</f>
        <v/>
      </c>
      <c r="C11" s="12" t="inlineStr">
        <is>
          <t>חניכים עם קבוצה אחת לפחות</t>
        </is>
      </c>
      <c r="E11" s="5" t="inlineStr">
        <is>
          <t>איך זה עובד</t>
        </is>
      </c>
    </row>
    <row r="12" ht="34" customHeight="1">
      <c r="A12" s="3" t="inlineStr">
        <is>
          <t>זמינים בלי תורנות</t>
        </is>
      </c>
      <c r="B12" s="11">
        <f>COUNTIFS('חניכים'!$D$3:$D$132,"כן",'חניכים'!$E$3:$E$132,"")</f>
        <v/>
      </c>
      <c r="C12" s="12" t="n"/>
      <c r="D12" s="7" t="inlineStr">
        <is>
          <t>•</t>
        </is>
      </c>
      <c r="E12" s="8" t="inlineStr">
        <is>
          <t>שלבים: הכנות שישי (בוקר) · תורנות שישי (צהריים–אחה"צ) · תורנות שבת (ערב ושבת). חניך יכול להיות בקבוצה אחת בכל שלב.</t>
        </is>
      </c>
    </row>
    <row r="13" ht="34" customHeight="1">
      <c r="A13" s="3" t="inlineStr">
        <is>
          <t>משימות</t>
        </is>
      </c>
      <c r="B13" s="11">
        <f>COUNTA('משימות'!$E$3:$E$122)</f>
        <v/>
      </c>
      <c r="C13" s="12" t="n"/>
      <c r="D13" s="7" t="inlineStr">
        <is>
          <t>•</t>
        </is>
      </c>
      <c r="E13" s="8" t="inlineStr">
        <is>
          <t>גודל קבוצה = שיא האנשים שנדרשים בו-זמנית במשימות שלה. משימה בלי שעה = כל הקבוצה. משימה בלי קבוצה = הודעה לכולם בלו"ז שבת, ליד האירוע שלה.</t>
        </is>
      </c>
    </row>
    <row r="14" ht="34" customHeight="1">
      <c r="A14" s="3" t="inlineStr">
        <is>
          <t>משימות בלי שמות</t>
        </is>
      </c>
      <c r="B14" s="11">
        <f>COUNTA('משימות'!$E$3:$E$122)-COUNTA('משימות'!$G$3:$G$122)</f>
        <v/>
      </c>
      <c r="C14" s="12" t="inlineStr">
        <is>
          <t>להריץ שיבוץ, או להשלים ידנית</t>
        </is>
      </c>
      <c r="D14" s="7" t="inlineStr">
        <is>
          <t>•</t>
        </is>
      </c>
      <c r="E14" s="8" t="inlineStr">
        <is>
          <t>עוגן = האירוע בלו"ז שהמשימה קשורה אליו — ממנו השעה היחסית, ומשימה בלי שעה מוצגת בשעת האירוע. הרשימה הנגללת נלקחת מעמודת «אירוע» ב«לוז».</t>
        </is>
      </c>
    </row>
    <row r="15" ht="34" customHeight="1">
      <c r="A15" s="3" t="inlineStr">
        <is>
          <t>משימות בלי עוגן</t>
        </is>
      </c>
      <c r="B15" s="11">
        <f>COUNTA('משימות'!$E$3:$E$122)-COUNTA('משימות'!$I$3:$I$122)</f>
        <v/>
      </c>
      <c r="C15" s="12" t="inlineStr">
        <is>
          <t>בלי שעה ובלי עוגן — בדף התורנות כתוב «ללא שעה»</t>
        </is>
      </c>
      <c r="D15" s="7" t="inlineStr">
        <is>
          <t>•</t>
        </is>
      </c>
      <c r="E15" s="8" t="inlineStr">
        <is>
          <t>«ניקוד» יושב ב«קבוצות» (1 טיש וקידוש, 2 ארוחות שבת, 3 הכנות שישי) ונצבר ל«חניכים» ול«היסטוריה» — מי שצבר פחות משובץ קודם.</t>
        </is>
      </c>
    </row>
    <row r="16" ht="34" customHeight="1">
      <c r="A16" s="3" t="inlineStr">
        <is>
          <t>קבוצות עבודה</t>
        </is>
      </c>
      <c r="B16" s="11">
        <f>COUNTA('קבוצות'!$A$3:$A$32)</f>
        <v/>
      </c>
      <c r="C16" s="12" t="inlineStr">
        <is>
          <t>פלייר לכל אחת</t>
        </is>
      </c>
      <c r="D16" s="7" t="inlineStr">
        <is>
          <t>•</t>
        </is>
      </c>
      <c r="E16" s="8" t="inlineStr">
        <is>
          <t>מצרכים על הפלייר: ב«משימות» בוחרים מנה בעמודת «מתכון» (כמה מנות — מופרדות ב-;), ורשימת המצרכים מ«מתכונים» מודפסת בפלייר של הקבוצה.</t>
        </is>
      </c>
    </row>
  </sheetData>
  <mergeCells count="3">
    <mergeCell ref="A2:E2"/>
    <mergeCell ref="A8:B8"/>
    <mergeCell ref="A1:E1"/>
  </mergeCells>
  <pageMargins left="0.75" right="0.75" top="1" bottom="1" header="0.5" footer="0.5"/>
  <pageSetup paperSize="9" fitToHeight="0" fitToWidth="1"/>
</worksheet>
</file>

<file path=xl/worksheets/sheet2.xml><?xml version="1.0" encoding="utf-8"?>
<worksheet xmlns="http://schemas.openxmlformats.org/spreadsheetml/2006/main">
  <sheetPr>
    <tabColor rgb="00E8A33D"/>
    <outlinePr summaryBelow="1" summaryRight="1"/>
    <pageSetUpPr fitToPage="1"/>
  </sheetPr>
  <dimension ref="A1:G38"/>
  <sheetViews>
    <sheetView showGridLines="0" rightToLeft="1" workbookViewId="0">
      <pane ySplit="6" topLeftCell="A7" activePane="bottomLeft" state="frozen"/>
      <selection pane="bottomLeft" activeCell="A1" sqref="A1"/>
    </sheetView>
  </sheetViews>
  <sheetFormatPr baseColWidth="8" defaultRowHeight="15"/>
  <cols>
    <col width="12" customWidth="1" min="1" max="1"/>
    <col width="11" customWidth="1" min="2" max="2"/>
    <col width="30" customWidth="1" min="3" max="3"/>
    <col width="18" customWidth="1" min="4" max="4"/>
    <col width="32" customWidth="1" min="5" max="5"/>
    <col width="11" customWidth="1" min="6" max="6"/>
    <col width="10" customWidth="1" min="7" max="7"/>
  </cols>
  <sheetData>
    <row r="1" ht="40" customHeight="1">
      <c r="A1" s="1" t="inlineStr">
        <is>
          <t>לו"ז השבת</t>
        </is>
      </c>
    </row>
    <row r="3" ht="22" customHeight="1">
      <c r="A3" s="3" t="inlineStr">
        <is>
          <t>תאריך השבת</t>
        </is>
      </c>
      <c r="B3" s="13" t="n"/>
      <c r="C3" s="3" t="inlineStr">
        <is>
          <t>פרשה</t>
        </is>
      </c>
      <c r="D3" s="14">
        <f>IFERROR(VLOOKUP($B$3,'זמנים'!$A$3:$D$400,2,FALSE),"")</f>
        <v/>
      </c>
      <c r="E3" s="2" t="inlineStr">
        <is>
          <t>בחר תאריך מהרשימה — כניסה, צאה ופרשה נטענות מ«זמנים»</t>
        </is>
      </c>
    </row>
    <row r="4" ht="22" customHeight="1">
      <c r="A4" s="3" t="inlineStr">
        <is>
          <t>כניסת שבת</t>
        </is>
      </c>
      <c r="B4" s="15">
        <f>IFERROR(VLOOKUP($B$3,'זמנים'!$A$3:$D$400,3,FALSE),"")</f>
        <v/>
      </c>
      <c r="C4" s="3" t="inlineStr">
        <is>
          <t>צאת שבת</t>
        </is>
      </c>
      <c r="D4" s="15">
        <f>IFERROR(VLOOKUP($B$3,'זמנים'!$A$3:$D$400,4,FALSE),"")</f>
        <v/>
      </c>
      <c r="E4" s="3" t="inlineStr">
        <is>
          <t>שם השבת</t>
        </is>
      </c>
      <c r="F4" s="16" t="n"/>
    </row>
    <row r="6" ht="24" customHeight="1">
      <c r="A6" s="9" t="inlineStr">
        <is>
          <t>יום</t>
        </is>
      </c>
      <c r="B6" s="9" t="inlineStr">
        <is>
          <t>שעה</t>
        </is>
      </c>
      <c r="C6" s="9" t="inlineStr">
        <is>
          <t>אירוע</t>
        </is>
      </c>
      <c r="D6" s="9" t="inlineStr">
        <is>
          <t>מקום</t>
        </is>
      </c>
      <c r="E6" s="9" t="inlineStr">
        <is>
          <t>הערה</t>
        </is>
      </c>
      <c r="F6" s="9" t="inlineStr">
        <is>
          <t>הצעה</t>
        </is>
      </c>
      <c r="G6" s="9" t="inlineStr">
        <is>
          <t>משימות</t>
        </is>
      </c>
    </row>
    <row r="7" ht="22" customHeight="1">
      <c r="A7" s="17" t="inlineStr">
        <is>
          <t>שישי</t>
        </is>
      </c>
      <c r="B7" s="18" t="n"/>
      <c r="C7" s="19" t="inlineStr">
        <is>
          <t>תחילת עבודה</t>
        </is>
      </c>
      <c r="D7" s="20" t="n"/>
      <c r="E7" s="21" t="inlineStr">
        <is>
          <t>הפרשת חלה 8:00</t>
        </is>
      </c>
      <c r="F7" s="22" t="n">
        <v>0.3333333333333333</v>
      </c>
      <c r="G7" s="23">
        <f>IF(C7="","",COUNTIF('משימות'!$I$3:$I$122,C7))</f>
        <v/>
      </c>
    </row>
    <row r="8" ht="22" customHeight="1">
      <c r="A8" s="17" t="inlineStr">
        <is>
          <t>שישי</t>
        </is>
      </c>
      <c r="B8" s="18" t="n"/>
      <c r="C8" s="19" t="inlineStr">
        <is>
          <t>ארוחת צהריים</t>
        </is>
      </c>
      <c r="D8" s="20" t="n"/>
      <c r="E8" s="21" t="n"/>
      <c r="F8" s="22" t="n">
        <v>0.5</v>
      </c>
      <c r="G8" s="23">
        <f>IF(C8="","",COUNTIF('משימות'!$I$3:$I$122,C8))</f>
        <v/>
      </c>
    </row>
    <row r="9" ht="22" customHeight="1">
      <c r="A9" s="17" t="inlineStr">
        <is>
          <t>שישי</t>
        </is>
      </c>
      <c r="B9" s="18" t="n"/>
      <c r="C9" s="19" t="inlineStr">
        <is>
          <t>קבלת שבת ישראלית</t>
        </is>
      </c>
      <c r="D9" s="20" t="inlineStr">
        <is>
          <t>המצפה (בגשם: חדר האוכל)</t>
        </is>
      </c>
      <c r="E9" s="21" t="n"/>
      <c r="F9" s="22">
        <f>IF($B$4="","",ROUND(($B$4-TIME(0,30,0))*288,0)/288)</f>
        <v/>
      </c>
      <c r="G9" s="23">
        <f>IF(C9="","",COUNTIF('משימות'!$I$3:$I$122,C9))</f>
        <v/>
      </c>
    </row>
    <row r="10" ht="22" customHeight="1">
      <c r="A10" s="17" t="inlineStr">
        <is>
          <t>שישי</t>
        </is>
      </c>
      <c r="B10" s="18" t="n"/>
      <c r="C10" s="19" t="inlineStr">
        <is>
          <t>הדלקת נרות</t>
        </is>
      </c>
      <c r="D10" s="20" t="n"/>
      <c r="E10" s="21" t="n"/>
      <c r="F10" s="22">
        <f>IF($B$4="","",$B$4)</f>
        <v/>
      </c>
      <c r="G10" s="23">
        <f>IF(C10="","",COUNTIF('משימות'!$I$3:$I$122,C10))</f>
        <v/>
      </c>
    </row>
    <row r="11" ht="22" customHeight="1">
      <c r="A11" s="17" t="inlineStr">
        <is>
          <t>שישי</t>
        </is>
      </c>
      <c r="B11" s="18" t="n"/>
      <c r="C11" s="19" t="inlineStr">
        <is>
          <t>קבלת שבת וערבית</t>
        </is>
      </c>
      <c r="D11" s="20" t="inlineStr">
        <is>
          <t>בית מיכאל</t>
        </is>
      </c>
      <c r="E11" s="21" t="n"/>
      <c r="F11" s="22">
        <f>IF($B$4="","",ROUND(($B$4+TIME(0,10,0))*288,0)/288)</f>
        <v/>
      </c>
      <c r="G11" s="23">
        <f>IF(C11="","",COUNTIF('משימות'!$I$3:$I$122,C11))</f>
        <v/>
      </c>
    </row>
    <row r="12" ht="22" customHeight="1">
      <c r="A12" s="17" t="inlineStr">
        <is>
          <t>שישי</t>
        </is>
      </c>
      <c r="B12" s="18" t="n"/>
      <c r="C12" s="19" t="inlineStr">
        <is>
          <t>סעודת שבת</t>
        </is>
      </c>
      <c r="D12" s="20" t="inlineStr">
        <is>
          <t>חדר אוכל</t>
        </is>
      </c>
      <c r="E12" s="21" t="n"/>
      <c r="F12" s="22">
        <f>IF($B$4="","",MAX(TIME(19,0,0),ROUNDUP(ROUND(($B$4+TIME(1,45,0))*1440,0)/15,0)*15/1440))</f>
        <v/>
      </c>
      <c r="G12" s="23">
        <f>IF(C12="","",COUNTIF('משימות'!$I$3:$I$122,C12))</f>
        <v/>
      </c>
    </row>
    <row r="13" ht="22" customHeight="1">
      <c r="A13" s="17" t="inlineStr">
        <is>
          <t>שישי</t>
        </is>
      </c>
      <c r="B13" s="18" t="n"/>
      <c r="C13" s="19" t="inlineStr">
        <is>
          <t>טיש</t>
        </is>
      </c>
      <c r="D13" s="20" t="inlineStr">
        <is>
          <t>חדר אוכל</t>
        </is>
      </c>
      <c r="E13" s="21" t="n"/>
      <c r="F13" s="22">
        <f>IF($F$12="","",ROUND(($F$12+TIME(1,30,0))*288,0)/288)</f>
        <v/>
      </c>
      <c r="G13" s="23">
        <f>IF(C13="","",COUNTIF('משימות'!$I$3:$I$122,C13))</f>
        <v/>
      </c>
    </row>
    <row r="14" ht="22" customHeight="1">
      <c r="A14" s="24" t="inlineStr">
        <is>
          <t>שבת</t>
        </is>
      </c>
      <c r="B14" s="18" t="n"/>
      <c r="C14" s="19" t="inlineStr">
        <is>
          <t>קידוש</t>
        </is>
      </c>
      <c r="D14" s="20" t="inlineStr">
        <is>
          <t>חדר אוכל</t>
        </is>
      </c>
      <c r="E14" s="21" t="n"/>
      <c r="F14" s="22" t="n">
        <v>0.4583333333333333</v>
      </c>
      <c r="G14" s="23">
        <f>IF(C14="","",COUNTIF('משימות'!$I$3:$I$122,C14))</f>
        <v/>
      </c>
    </row>
    <row r="15" ht="22" customHeight="1">
      <c r="A15" s="24" t="inlineStr">
        <is>
          <t>שבת</t>
        </is>
      </c>
      <c r="B15" s="18" t="n"/>
      <c r="C15" s="19" t="inlineStr">
        <is>
          <t>חבורות</t>
        </is>
      </c>
      <c r="D15" s="20" t="n"/>
      <c r="E15" s="21" t="n"/>
      <c r="F15" s="22" t="n">
        <v>0.4895833333333333</v>
      </c>
      <c r="G15" s="23">
        <f>IF(C15="","",COUNTIF('משימות'!$I$3:$I$122,C15))</f>
        <v/>
      </c>
    </row>
    <row r="16" ht="22" customHeight="1">
      <c r="A16" s="24" t="inlineStr">
        <is>
          <t>שבת</t>
        </is>
      </c>
      <c r="B16" s="18" t="n"/>
      <c r="C16" s="19" t="inlineStr">
        <is>
          <t>ארוחת צהריים</t>
        </is>
      </c>
      <c r="D16" s="20" t="inlineStr">
        <is>
          <t>חדר אוכל</t>
        </is>
      </c>
      <c r="E16" s="21" t="n"/>
      <c r="F16" s="22" t="n">
        <v>0.5520833333333334</v>
      </c>
      <c r="G16" s="23">
        <f>IF(C16="","",COUNTIF('משימות'!$I$3:$I$122,C16))</f>
        <v/>
      </c>
    </row>
    <row r="17" ht="22" customHeight="1">
      <c r="A17" s="24" t="inlineStr">
        <is>
          <t>שבת</t>
        </is>
      </c>
      <c r="B17" s="18" t="n"/>
      <c r="C17" s="19" t="inlineStr">
        <is>
          <t>הבדלה</t>
        </is>
      </c>
      <c r="D17" s="20" t="n"/>
      <c r="E17" s="21" t="n"/>
      <c r="F17" s="22">
        <f>IF($D$4="","",$D$4)</f>
        <v/>
      </c>
      <c r="G17" s="23">
        <f>IF(C17="","",COUNTIF('משימות'!$I$3:$I$122,C17))</f>
        <v/>
      </c>
    </row>
    <row r="18" ht="22" customHeight="1">
      <c r="A18" s="24" t="inlineStr">
        <is>
          <t>שבת</t>
        </is>
      </c>
      <c r="B18" s="18" t="n"/>
      <c r="C18" s="19" t="inlineStr">
        <is>
          <t>ניקיונות מוצ"ש</t>
        </is>
      </c>
      <c r="D18" s="20" t="inlineStr">
        <is>
          <t>בית המדרש וחדר האוכל</t>
        </is>
      </c>
      <c r="E18" s="21" t="n"/>
      <c r="F18" s="22">
        <f>IF($D$4="","",ROUNDUP(ROUND(($D$4+TIME(0,20,0))*1440,0)/15,0)*15/1440)</f>
        <v/>
      </c>
      <c r="G18" s="23">
        <f>IF(C18="","",COUNTIF('משימות'!$I$3:$I$122,C18))</f>
        <v/>
      </c>
    </row>
    <row r="19" ht="22" customHeight="1">
      <c r="A19" s="24" t="inlineStr">
        <is>
          <t>שבת</t>
        </is>
      </c>
      <c r="B19" s="18" t="n"/>
      <c r="C19" s="19" t="inlineStr">
        <is>
          <t>ארוחת ערב מוצ"ש</t>
        </is>
      </c>
      <c r="D19" s="20" t="inlineStr">
        <is>
          <t>חדר אוכל</t>
        </is>
      </c>
      <c r="E19" s="21" t="n"/>
      <c r="F19" s="22">
        <f>IF($F$18="","",ROUND(($F$18+TIME(1,15,0))*288,0)/288)</f>
        <v/>
      </c>
      <c r="G19" s="23">
        <f>IF(C19="","",COUNTIF('משימות'!$I$3:$I$122,C19))</f>
        <v/>
      </c>
    </row>
    <row r="20" ht="22" customHeight="1">
      <c r="A20" s="24" t="inlineStr">
        <is>
          <t>שבת</t>
        </is>
      </c>
      <c r="B20" s="18" t="n"/>
      <c r="C20" s="19" t="inlineStr">
        <is>
          <t>כריכה לכריכה בתנ"ך עם אבישי</t>
        </is>
      </c>
      <c r="D20" s="20" t="inlineStr">
        <is>
          <t>ספריית שבייד</t>
        </is>
      </c>
      <c r="E20" s="21" t="n"/>
      <c r="F20" s="22">
        <f>IF($F$19="","",ROUND(($F$19+TIME(0,30,0))*288,0)/288)</f>
        <v/>
      </c>
      <c r="G20" s="23">
        <f>IF(C20="","",COUNTIF('משימות'!$I$3:$I$122,C20))</f>
        <v/>
      </c>
    </row>
    <row r="21" ht="22" customHeight="1">
      <c r="A21" s="25" t="n"/>
      <c r="B21" s="18" t="n"/>
      <c r="C21" s="19" t="n"/>
      <c r="D21" s="20" t="n"/>
      <c r="E21" s="21" t="n"/>
      <c r="F21" s="22" t="n"/>
      <c r="G21" s="23">
        <f>IF(C21="","",COUNTIF('משימות'!$I$3:$I$122,C21))</f>
        <v/>
      </c>
    </row>
    <row r="22" ht="22" customHeight="1">
      <c r="A22" s="25" t="n"/>
      <c r="B22" s="18" t="n"/>
      <c r="C22" s="19" t="n"/>
      <c r="D22" s="20" t="n"/>
      <c r="E22" s="21" t="n"/>
      <c r="F22" s="22" t="n"/>
      <c r="G22" s="23">
        <f>IF(C22="","",COUNTIF('משימות'!$I$3:$I$122,C22))</f>
        <v/>
      </c>
    </row>
    <row r="23" ht="22" customHeight="1">
      <c r="A23" s="25" t="n"/>
      <c r="B23" s="18" t="n"/>
      <c r="C23" s="19" t="n"/>
      <c r="D23" s="20" t="n"/>
      <c r="E23" s="21" t="n"/>
      <c r="F23" s="22" t="n"/>
      <c r="G23" s="23">
        <f>IF(C23="","",COUNTIF('משימות'!$I$3:$I$122,C23))</f>
        <v/>
      </c>
    </row>
    <row r="24" ht="22" customHeight="1">
      <c r="A24" s="25" t="n"/>
      <c r="B24" s="18" t="n"/>
      <c r="C24" s="19" t="n"/>
      <c r="D24" s="20" t="n"/>
      <c r="E24" s="21" t="n"/>
      <c r="F24" s="22" t="n"/>
      <c r="G24" s="23">
        <f>IF(C24="","",COUNTIF('משימות'!$I$3:$I$122,C24))</f>
        <v/>
      </c>
    </row>
    <row r="25" ht="22" customHeight="1">
      <c r="A25" s="25" t="n"/>
      <c r="B25" s="18" t="n"/>
      <c r="C25" s="19" t="n"/>
      <c r="D25" s="20" t="n"/>
      <c r="E25" s="21" t="n"/>
      <c r="F25" s="22" t="n"/>
      <c r="G25" s="23">
        <f>IF(C25="","",COUNTIF('משימות'!$I$3:$I$122,C25))</f>
        <v/>
      </c>
    </row>
    <row r="26" ht="22" customHeight="1">
      <c r="A26" s="25" t="n"/>
      <c r="B26" s="18" t="n"/>
      <c r="C26" s="19" t="n"/>
      <c r="D26" s="20" t="n"/>
      <c r="E26" s="21" t="n"/>
      <c r="F26" s="22" t="n"/>
      <c r="G26" s="23">
        <f>IF(C26="","",COUNTIF('משימות'!$I$3:$I$122,C26))</f>
        <v/>
      </c>
    </row>
    <row r="27" ht="22" customHeight="1">
      <c r="A27" s="25" t="n"/>
      <c r="B27" s="18" t="n"/>
      <c r="C27" s="19" t="n"/>
      <c r="D27" s="20" t="n"/>
      <c r="E27" s="21" t="n"/>
      <c r="F27" s="22" t="n"/>
      <c r="G27" s="23">
        <f>IF(C27="","",COUNTIF('משימות'!$I$3:$I$122,C27))</f>
        <v/>
      </c>
    </row>
    <row r="28" ht="22" customHeight="1">
      <c r="A28" s="25" t="n"/>
      <c r="B28" s="18" t="n"/>
      <c r="C28" s="19" t="n"/>
      <c r="D28" s="20" t="n"/>
      <c r="E28" s="21" t="n"/>
      <c r="F28" s="22" t="n"/>
      <c r="G28" s="23">
        <f>IF(C28="","",COUNTIF('משימות'!$I$3:$I$122,C28))</f>
        <v/>
      </c>
    </row>
    <row r="29" ht="22" customHeight="1">
      <c r="A29" s="25" t="n"/>
      <c r="B29" s="18" t="n"/>
      <c r="C29" s="19" t="n"/>
      <c r="D29" s="20" t="n"/>
      <c r="E29" s="21" t="n"/>
      <c r="F29" s="22" t="n"/>
      <c r="G29" s="23">
        <f>IF(C29="","",COUNTIF('משימות'!$I$3:$I$122,C29))</f>
        <v/>
      </c>
    </row>
    <row r="30" ht="22" customHeight="1">
      <c r="A30" s="25" t="n"/>
      <c r="B30" s="18" t="n"/>
      <c r="C30" s="19" t="n"/>
      <c r="D30" s="20" t="n"/>
      <c r="E30" s="21" t="n"/>
      <c r="F30" s="22" t="n"/>
      <c r="G30" s="23">
        <f>IF(C30="","",COUNTIF('משימות'!$I$3:$I$122,C30))</f>
        <v/>
      </c>
    </row>
    <row r="31" ht="22" customHeight="1">
      <c r="A31" s="25" t="n"/>
      <c r="B31" s="18" t="n"/>
      <c r="C31" s="19" t="n"/>
      <c r="D31" s="20" t="n"/>
      <c r="E31" s="21" t="n"/>
      <c r="F31" s="22" t="n"/>
      <c r="G31" s="23">
        <f>IF(C31="","",COUNTIF('משימות'!$I$3:$I$122,C31))</f>
        <v/>
      </c>
    </row>
    <row r="32" ht="22" customHeight="1">
      <c r="A32" s="25" t="n"/>
      <c r="B32" s="18" t="n"/>
      <c r="C32" s="19" t="n"/>
      <c r="D32" s="20" t="n"/>
      <c r="E32" s="21" t="n"/>
      <c r="F32" s="22" t="n"/>
      <c r="G32" s="23">
        <f>IF(C32="","",COUNTIF('משימות'!$I$3:$I$122,C32))</f>
        <v/>
      </c>
    </row>
    <row r="33" ht="22" customHeight="1">
      <c r="A33" s="25" t="n"/>
      <c r="B33" s="18" t="n"/>
      <c r="C33" s="19" t="n"/>
      <c r="D33" s="20" t="n"/>
      <c r="E33" s="21" t="n"/>
      <c r="F33" s="22" t="n"/>
      <c r="G33" s="23">
        <f>IF(C33="","",COUNTIF('משימות'!$I$3:$I$122,C33))</f>
        <v/>
      </c>
    </row>
    <row r="34" ht="22" customHeight="1">
      <c r="A34" s="25" t="n"/>
      <c r="B34" s="18" t="n"/>
      <c r="C34" s="19" t="n"/>
      <c r="D34" s="20" t="n"/>
      <c r="E34" s="21" t="n"/>
      <c r="F34" s="22" t="n"/>
      <c r="G34" s="23">
        <f>IF(C34="","",COUNTIF('משימות'!$I$3:$I$122,C34))</f>
        <v/>
      </c>
    </row>
    <row r="35" ht="22" customHeight="1">
      <c r="A35" s="25" t="n"/>
      <c r="B35" s="18" t="n"/>
      <c r="C35" s="19" t="n"/>
      <c r="D35" s="20" t="n"/>
      <c r="E35" s="21" t="n"/>
      <c r="F35" s="22" t="n"/>
      <c r="G35" s="23">
        <f>IF(C35="","",COUNTIF('משימות'!$I$3:$I$122,C35))</f>
        <v/>
      </c>
    </row>
    <row r="36" ht="22" customHeight="1">
      <c r="A36" s="25" t="n"/>
      <c r="B36" s="18" t="n"/>
      <c r="C36" s="19" t="n"/>
      <c r="D36" s="20" t="n"/>
      <c r="E36" s="21" t="n"/>
      <c r="F36" s="22" t="n"/>
      <c r="G36" s="23">
        <f>IF(C36="","",COUNTIF('משימות'!$I$3:$I$122,C36))</f>
        <v/>
      </c>
    </row>
    <row r="38" ht="28" customHeight="1">
      <c r="A38" s="26" t="inlineStr">
        <is>
          <t>«שעה» היא הלו"ז שנשלח בפועל — עורכים בה חופשי. «הצעה» מחושבת מכניסת/צאת השבת (הכללים ב-data/schedule_template.csv). «משימות» = כמה משימות מעוגנות לאירוע.</t>
        </is>
      </c>
    </row>
  </sheetData>
  <mergeCells count="2">
    <mergeCell ref="A38:G38"/>
    <mergeCell ref="A1:G1"/>
  </mergeCells>
  <dataValidations count="2">
    <dataValidation sqref="B3" showDropDown="0" showInputMessage="0" showErrorMessage="1" allowBlank="1" type="list">
      <formula1>'זמנים'!$A$3:$A$400</formula1>
    </dataValidation>
    <dataValidation sqref="A7:A36" showDropDown="0" showInputMessage="0" showErrorMessage="0" allowBlank="1" type="list">
      <formula1>"חמישי,שישי,שבת,מוצאי שבת"</formula1>
    </dataValidation>
  </dataValidations>
  <pageMargins left="0.75" right="0.75" top="1" bottom="1" header="0.5" footer="0.5"/>
  <pageSetup paperSize="9" fitToHeight="0" fitToWidth="1"/>
</worksheet>
</file>

<file path=xl/worksheets/sheet3.xml><?xml version="1.0" encoding="utf-8"?>
<worksheet xmlns="http://schemas.openxmlformats.org/spreadsheetml/2006/main">
  <sheetPr>
    <tabColor rgb="00E8A33D"/>
    <outlinePr summaryBelow="1" summaryRight="1"/>
    <pageSetUpPr fitToPage="1"/>
  </sheetPr>
  <dimension ref="A1:J124"/>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10" customWidth="1" min="2" max="2"/>
    <col width="8" customWidth="1" min="3" max="3"/>
    <col width="26" customWidth="1" min="4" max="4"/>
    <col width="50" customWidth="1" min="5" max="5"/>
    <col width="7" customWidth="1" min="6" max="6"/>
    <col width="42" customWidth="1" min="7" max="7"/>
    <col width="16" customWidth="1" min="8" max="8"/>
    <col width="18" customWidth="1" min="9" max="9"/>
    <col width="22" customWidth="1" min="10" max="10"/>
  </cols>
  <sheetData>
    <row r="1" ht="36" customHeight="1">
      <c r="A1" s="27" t="inlineStr">
        <is>
          <t>משימות השבת — מי עושה מה ומתי</t>
        </is>
      </c>
    </row>
    <row r="2" ht="24" customHeight="1">
      <c r="A2" s="9" t="inlineStr">
        <is>
          <t>שלב</t>
        </is>
      </c>
      <c r="B2" s="9" t="inlineStr">
        <is>
          <t>יום</t>
        </is>
      </c>
      <c r="C2" s="9" t="inlineStr">
        <is>
          <t>שעה</t>
        </is>
      </c>
      <c r="D2" s="9" t="inlineStr">
        <is>
          <t>קבוצה</t>
        </is>
      </c>
      <c r="E2" s="9" t="inlineStr">
        <is>
          <t>משימה</t>
        </is>
      </c>
      <c r="F2" s="9" t="inlineStr">
        <is>
          <t>אנשים</t>
        </is>
      </c>
      <c r="G2" s="9" t="inlineStr">
        <is>
          <t>שמות</t>
        </is>
      </c>
      <c r="H2" s="9" t="inlineStr">
        <is>
          <t>מתכון</t>
        </is>
      </c>
      <c r="I2" s="9" t="inlineStr">
        <is>
          <t>עוגן בלו"ז</t>
        </is>
      </c>
      <c r="J2" s="9" t="inlineStr">
        <is>
          <t>הערה</t>
        </is>
      </c>
    </row>
    <row r="3" ht="30" customHeight="1">
      <c r="A3" s="28" t="inlineStr">
        <is>
          <t>הכנות שישי</t>
        </is>
      </c>
      <c r="B3" s="29" t="inlineStr">
        <is>
          <t>שישי</t>
        </is>
      </c>
      <c r="C3" s="30" t="n">
        <v>0.5</v>
      </c>
      <c r="D3" s="20" t="inlineStr">
        <is>
          <t>ארוחת צהריים שישי</t>
        </is>
      </c>
      <c r="E3" s="21" t="inlineStr">
        <is>
          <t>הגשת ארוחת הצהריים</t>
        </is>
      </c>
      <c r="F3" s="28" t="n">
        <v>2</v>
      </c>
      <c r="G3" s="31" t="n"/>
      <c r="H3" s="20" t="n"/>
      <c r="I3" s="20" t="inlineStr">
        <is>
          <t>ארוחת צהריים</t>
        </is>
      </c>
      <c r="J3" s="21" t="n"/>
    </row>
    <row r="4" ht="30" customHeight="1">
      <c r="A4" s="28" t="inlineStr">
        <is>
          <t>הכנות שישי</t>
        </is>
      </c>
      <c r="B4" s="29" t="inlineStr">
        <is>
          <t>שישי</t>
        </is>
      </c>
      <c r="C4" s="30" t="n">
        <v>0.5416666666666666</v>
      </c>
      <c r="D4" s="20" t="inlineStr">
        <is>
          <t>ארוחת צהריים שישי</t>
        </is>
      </c>
      <c r="E4" s="21" t="inlineStr">
        <is>
          <t>קיפול הארוחה, שטיפת כלים</t>
        </is>
      </c>
      <c r="F4" s="28" t="n">
        <v>2</v>
      </c>
      <c r="G4" s="31" t="n"/>
      <c r="H4" s="20" t="n"/>
      <c r="I4" s="20" t="inlineStr">
        <is>
          <t>ארוחת צהריים</t>
        </is>
      </c>
      <c r="J4" s="21" t="n"/>
    </row>
    <row r="5" ht="120" customHeight="1">
      <c r="A5" s="28" t="inlineStr">
        <is>
          <t>תורנות שישי</t>
        </is>
      </c>
      <c r="B5" s="29" t="inlineStr">
        <is>
          <t>שישי</t>
        </is>
      </c>
      <c r="C5" s="30" t="n">
        <v>0.3333333333333333</v>
      </c>
      <c r="D5" s="20" t="inlineStr">
        <is>
          <t>בית מדרש</t>
        </is>
      </c>
      <c r="E5" s="21" t="inlineStr">
        <is>
          <t>סידור בית המדרש:
טאטוא ושטיפת הרצפה
תליית המחיצה
סידור השולחנות בשורות של 4 שולחנות בכל צד של המחיצה — 6 שורות של שולחנות עם כסאות
מאחוריהם — כסאות לעזרת ישראל
שאר השולחנות — לערום בקצה בית המדרש (מרימים, לא גוררים)
הנחת סידורים על הכסאות
העמדת 2 מיחמים</t>
        </is>
      </c>
      <c r="F5" s="28" t="n"/>
      <c r="G5" s="31" t="n"/>
      <c r="H5" s="20" t="n"/>
      <c r="I5" s="20" t="inlineStr">
        <is>
          <t>תחילת עבודה</t>
        </is>
      </c>
      <c r="J5" s="21" t="n"/>
    </row>
    <row r="6" ht="75" customHeight="1">
      <c r="A6" s="28" t="inlineStr">
        <is>
          <t>תורנות שישי</t>
        </is>
      </c>
      <c r="B6" s="29" t="inlineStr">
        <is>
          <t>שישי</t>
        </is>
      </c>
      <c r="C6" s="30" t="n">
        <v>0.5833333333333334</v>
      </c>
      <c r="D6" s="20" t="inlineStr">
        <is>
          <t>ניקיון חדר האוכל בשישי</t>
        </is>
      </c>
      <c r="E6" s="21" t="inlineStr">
        <is>
          <t>ניקיון חדר האוכל:
שטיפת הרצפה
ניקוי המטבח
ניקוי חדר המקררים
זריקת הפחים</t>
        </is>
      </c>
      <c r="F6" s="28" t="n">
        <v>12</v>
      </c>
      <c r="G6" s="31" t="n"/>
      <c r="H6" s="20" t="n"/>
      <c r="I6" s="20" t="inlineStr">
        <is>
          <t>ארוחת צהריים</t>
        </is>
      </c>
      <c r="J6" s="21" t="n"/>
    </row>
    <row r="7" ht="30" customHeight="1">
      <c r="A7" s="28" t="inlineStr">
        <is>
          <t>תורנות שבת</t>
        </is>
      </c>
      <c r="B7" s="29" t="inlineStr">
        <is>
          <t>שישי</t>
        </is>
      </c>
      <c r="C7" s="30" t="n">
        <v>0.5833333333333334</v>
      </c>
      <c r="D7" s="20" t="inlineStr">
        <is>
          <t>גסטרונומים</t>
        </is>
      </c>
      <c r="E7" s="21" t="inlineStr">
        <is>
          <t>פריקת האוכל למקרר — אוכל ארוחת צהריים שבת: {ארוחת צהריים}</t>
        </is>
      </c>
      <c r="F7" s="28" t="n">
        <v>2</v>
      </c>
      <c r="G7" s="31" t="n"/>
      <c r="H7" s="20" t="n"/>
      <c r="I7" s="20" t="inlineStr">
        <is>
          <t>הדלקת נרות</t>
        </is>
      </c>
      <c r="J7" s="21" t="n"/>
    </row>
    <row r="8" ht="30" customHeight="1">
      <c r="A8" s="28" t="inlineStr">
        <is>
          <t>תורנות שבת</t>
        </is>
      </c>
      <c r="B8" s="29" t="inlineStr">
        <is>
          <t>שישי</t>
        </is>
      </c>
      <c r="C8" s="30" t="n"/>
      <c r="D8" s="20" t="inlineStr">
        <is>
          <t>גסטרונומים</t>
        </is>
      </c>
      <c r="E8" s="21" t="inlineStr">
        <is>
          <t>הכנסת הגסטרונומים של ארוחת הערב מהמקרר לתנור החימום: {ארוחת ערב}
חיבור המיחמים בפינת הקפה</t>
        </is>
      </c>
      <c r="F8" s="28" t="n">
        <v>2</v>
      </c>
      <c r="G8" s="31" t="n"/>
      <c r="H8" s="20" t="n"/>
      <c r="I8" s="20" t="inlineStr">
        <is>
          <t>הדלקת נרות</t>
        </is>
      </c>
      <c r="J8" s="21" t="n"/>
    </row>
    <row r="9" ht="30" customHeight="1">
      <c r="A9" s="28" t="inlineStr">
        <is>
          <t>תורנות שבת</t>
        </is>
      </c>
      <c r="B9" s="29" t="inlineStr">
        <is>
          <t>שישי</t>
        </is>
      </c>
      <c r="C9" s="30" t="n"/>
      <c r="D9" s="20" t="inlineStr">
        <is>
          <t>גסטרונומים</t>
        </is>
      </c>
      <c r="E9" s="21" t="inlineStr">
        <is>
          <t>הוצאת הגסטרונומים של ארוחת הערב מתנור החימום לשולחן ההגשה</t>
        </is>
      </c>
      <c r="F9" s="28" t="n">
        <v>2</v>
      </c>
      <c r="G9" s="31" t="n"/>
      <c r="H9" s="20" t="n"/>
      <c r="I9" s="20" t="inlineStr">
        <is>
          <t>סעודת שבת</t>
        </is>
      </c>
      <c r="J9" s="21" t="n"/>
    </row>
    <row r="10" ht="30" customHeight="1">
      <c r="A10" s="28" t="inlineStr">
        <is>
          <t>תורנות שבת</t>
        </is>
      </c>
      <c r="B10" s="32" t="inlineStr">
        <is>
          <t>שבת</t>
        </is>
      </c>
      <c r="C10" s="30" t="n">
        <v>0.4583333333333333</v>
      </c>
      <c r="D10" s="20" t="inlineStr">
        <is>
          <t>גסטרונומים</t>
        </is>
      </c>
      <c r="E10" s="21" t="inlineStr">
        <is>
          <t>הכנסת האוכל של ארוחת הצהריים לתנור החימום: {ארוחת צהריים}</t>
        </is>
      </c>
      <c r="F10" s="28" t="n">
        <v>2</v>
      </c>
      <c r="G10" s="31" t="n"/>
      <c r="H10" s="20" t="n"/>
      <c r="I10" s="20" t="inlineStr">
        <is>
          <t>קידוש</t>
        </is>
      </c>
      <c r="J10" s="21" t="n"/>
    </row>
    <row r="11" ht="30" customHeight="1">
      <c r="A11" s="28" t="inlineStr">
        <is>
          <t>תורנות שבת</t>
        </is>
      </c>
      <c r="B11" s="32" t="inlineStr">
        <is>
          <t>שבת</t>
        </is>
      </c>
      <c r="C11" s="30" t="n"/>
      <c r="D11" s="20" t="inlineStr">
        <is>
          <t>גסטרונומים</t>
        </is>
      </c>
      <c r="E11" s="21" t="inlineStr">
        <is>
          <t>הוצאת הגסטרונומים של ארוחת הצהריים מתנור החימום לשולחן ההגשה</t>
        </is>
      </c>
      <c r="F11" s="28" t="n">
        <v>2</v>
      </c>
      <c r="G11" s="31" t="n"/>
      <c r="H11" s="20" t="n"/>
      <c r="I11" s="20" t="inlineStr">
        <is>
          <t>ארוחת צהריים</t>
        </is>
      </c>
      <c r="J11" s="21" t="n"/>
    </row>
    <row r="12" ht="30" customHeight="1">
      <c r="A12" s="28" t="inlineStr">
        <is>
          <t>תורנות שבת</t>
        </is>
      </c>
      <c r="B12" s="29" t="inlineStr">
        <is>
          <t>שישי</t>
        </is>
      </c>
      <c r="C12" s="30" t="n"/>
      <c r="D12" s="20" t="inlineStr">
        <is>
          <t>ארוחת ערב</t>
        </is>
      </c>
      <c r="E12" s="21" t="inlineStr">
        <is>
          <t>הכנת סלט כרוב וסלט טחינה</t>
        </is>
      </c>
      <c r="F12" s="28" t="n">
        <v>3</v>
      </c>
      <c r="G12" s="31" t="n"/>
      <c r="H12" s="20" t="inlineStr">
        <is>
          <t>סלט כרוב מרענן;סלט טחינה ביתית</t>
        </is>
      </c>
      <c r="I12" s="20" t="inlineStr">
        <is>
          <t>סעודת שבת</t>
        </is>
      </c>
      <c r="J12" s="21" t="n"/>
    </row>
    <row r="13" ht="60" customHeight="1">
      <c r="A13" s="28" t="inlineStr">
        <is>
          <t>תורנות שבת</t>
        </is>
      </c>
      <c r="B13" s="29" t="inlineStr">
        <is>
          <t>שישי</t>
        </is>
      </c>
      <c r="C13" s="30" t="n"/>
      <c r="D13" s="20" t="inlineStr">
        <is>
          <t>ארוחת ערב</t>
        </is>
      </c>
      <c r="E13" s="21" t="inlineStr">
        <is>
          <t>עריכת השולחן:
סלטי קייטרינג: {סלטים}
חצי מהסלטים והחלות של שישי
צלחות וסכו"ם</t>
        </is>
      </c>
      <c r="F13" s="28" t="n">
        <v>4</v>
      </c>
      <c r="G13" s="31" t="n"/>
      <c r="H13" s="20" t="n"/>
      <c r="I13" s="20" t="inlineStr">
        <is>
          <t>סעודת שבת</t>
        </is>
      </c>
      <c r="J13" s="21" t="n"/>
    </row>
    <row r="14" ht="90" customHeight="1">
      <c r="A14" s="28" t="inlineStr">
        <is>
          <t>תורנות שבת</t>
        </is>
      </c>
      <c r="B14" s="29" t="inlineStr">
        <is>
          <t>שישי</t>
        </is>
      </c>
      <c r="C14" s="30" t="n"/>
      <c r="D14" s="20" t="inlineStr">
        <is>
          <t>פינוי ארוחת ערב</t>
        </is>
      </c>
      <c r="E14" s="21" t="inlineStr">
        <is>
          <t>פינוי הארוחה:
האוכל שנשאר — למקרר
צלחות וסכו"ם
ניגוב השולחנות
ניקוי הפחים
טאטוא</t>
        </is>
      </c>
      <c r="F14" s="28" t="n">
        <v>7</v>
      </c>
      <c r="G14" s="31" t="n"/>
      <c r="H14" s="20" t="n"/>
      <c r="I14" s="20" t="inlineStr">
        <is>
          <t>טיש</t>
        </is>
      </c>
      <c r="J14" s="21" t="n"/>
    </row>
    <row r="15" ht="30" customHeight="1">
      <c r="A15" s="28" t="inlineStr">
        <is>
          <t>תורנות שבת</t>
        </is>
      </c>
      <c r="B15" s="29" t="inlineStr">
        <is>
          <t>שישי</t>
        </is>
      </c>
      <c r="C15" s="30" t="n"/>
      <c r="D15" s="20" t="inlineStr">
        <is>
          <t>פינוי ארוחת ערב</t>
        </is>
      </c>
      <c r="E15" s="21" t="inlineStr">
        <is>
          <t>שטיפת הגסטרונומים בסיום הטיש</t>
        </is>
      </c>
      <c r="F15" s="28" t="n"/>
      <c r="G15" s="31" t="n"/>
      <c r="H15" s="20" t="n"/>
      <c r="I15" s="20" t="inlineStr">
        <is>
          <t>טיש</t>
        </is>
      </c>
      <c r="J15" s="21" t="n"/>
    </row>
    <row r="16" ht="60" customHeight="1">
      <c r="A16" s="28" t="inlineStr">
        <is>
          <t>תורנות שבת</t>
        </is>
      </c>
      <c r="B16" s="29" t="inlineStr">
        <is>
          <t>שישי</t>
        </is>
      </c>
      <c r="C16" s="30" t="n"/>
      <c r="D16" s="20" t="inlineStr">
        <is>
          <t>טיש</t>
        </is>
      </c>
      <c r="E16" s="21" t="inlineStr">
        <is>
          <t>חימום העוגות — הכל פרווה
חיתוך 10 תפוחים
סידור המרחב: שולחנות בקוביה במרכז, כיסאות במעגל מסביב
פריסת שולחן במרכז: העוגות, גרעינים, חצי מהענבים ו-10 התפוחים</t>
        </is>
      </c>
      <c r="F16" s="28" t="n">
        <v>3</v>
      </c>
      <c r="G16" s="31" t="n"/>
      <c r="H16" s="20" t="n"/>
      <c r="I16" s="20" t="inlineStr">
        <is>
          <t>טיש</t>
        </is>
      </c>
      <c r="J16" s="21" t="n"/>
    </row>
    <row r="17" ht="30" customHeight="1">
      <c r="A17" s="28" t="inlineStr">
        <is>
          <t>תורנות שבת</t>
        </is>
      </c>
      <c r="B17" s="29" t="inlineStr">
        <is>
          <t>שישי</t>
        </is>
      </c>
      <c r="C17" s="30" t="n"/>
      <c r="D17" s="20" t="inlineStr">
        <is>
          <t>טיש</t>
        </is>
      </c>
      <c r="E17" s="21" t="inlineStr">
        <is>
          <t>טאטוא חדר האוכל וניקוי השולחנות בסיום הטיש</t>
        </is>
      </c>
      <c r="F17" s="28" t="n"/>
      <c r="G17" s="31" t="n"/>
      <c r="H17" s="20" t="n"/>
      <c r="I17" s="20" t="inlineStr">
        <is>
          <t>טיש</t>
        </is>
      </c>
      <c r="J17" s="21" t="n"/>
    </row>
    <row r="18" ht="75" customHeight="1">
      <c r="A18" s="28" t="inlineStr">
        <is>
          <t>תורנות שבת</t>
        </is>
      </c>
      <c r="B18" s="32" t="inlineStr">
        <is>
          <t>שבת</t>
        </is>
      </c>
      <c r="C18" s="30" t="n">
        <v>0.4375</v>
      </c>
      <c r="D18" s="20" t="inlineStr">
        <is>
          <t>קידוש</t>
        </is>
      </c>
      <c r="E18" s="21" t="inlineStr">
        <is>
          <t>סידור וניקיון פינת הקפה — להוציא חלב, למלא קפה וסוכר
חימום העוגות
הוצאת העוגות
הוצאת חלב, קורנפלקס וחצי מהענבים
טאטוא הרצפה, סידור כיסאות וארגון המרחב</t>
        </is>
      </c>
      <c r="F18" s="28" t="n">
        <v>3</v>
      </c>
      <c r="G18" s="31" t="n"/>
      <c r="H18" s="20" t="n"/>
      <c r="I18" s="20" t="inlineStr">
        <is>
          <t>קידוש</t>
        </is>
      </c>
      <c r="J18" s="21" t="n"/>
    </row>
    <row r="19" ht="60" customHeight="1">
      <c r="A19" s="28" t="inlineStr">
        <is>
          <t>תורנות שבת</t>
        </is>
      </c>
      <c r="B19" s="32" t="inlineStr">
        <is>
          <t>שבת</t>
        </is>
      </c>
      <c r="C19" s="30" t="n">
        <v>0.5208333333333334</v>
      </c>
      <c r="D19" s="20" t="inlineStr">
        <is>
          <t>ארוחת צהריים שבת</t>
        </is>
      </c>
      <c r="E19" s="21" t="inlineStr">
        <is>
          <t>עריכת השולחן:
הכנת סלט כרוב וסלט טחינה
הוצאת שאר הסלטים והחלות של שישי
סלטי קייטרינג: {סלטים}</t>
        </is>
      </c>
      <c r="F19" s="28" t="n">
        <v>2</v>
      </c>
      <c r="G19" s="31" t="n"/>
      <c r="H19" s="20" t="inlineStr">
        <is>
          <t>סלט כרוב מרענן;סלט טחינה ביתית</t>
        </is>
      </c>
      <c r="I19" s="20" t="inlineStr">
        <is>
          <t>ארוחת צהריים</t>
        </is>
      </c>
      <c r="J19" s="21" t="n"/>
    </row>
    <row r="20" ht="30" customHeight="1">
      <c r="A20" s="28" t="inlineStr">
        <is>
          <t>תורנות שבת</t>
        </is>
      </c>
      <c r="B20" s="32" t="inlineStr">
        <is>
          <t>שבת</t>
        </is>
      </c>
      <c r="C20" s="30" t="n">
        <v>0.5208333333333334</v>
      </c>
      <c r="D20" s="20" t="inlineStr">
        <is>
          <t>ארוחת צהריים שבת</t>
        </is>
      </c>
      <c r="E20" s="21" t="inlineStr">
        <is>
          <t>כפות הגשה, צלחות וסכו"ם
סידור שולחנות וכיסאות</t>
        </is>
      </c>
      <c r="F20" s="28" t="n">
        <v>2</v>
      </c>
      <c r="G20" s="31" t="n"/>
      <c r="H20" s="20" t="n"/>
      <c r="I20" s="20" t="inlineStr">
        <is>
          <t>ארוחת צהריים</t>
        </is>
      </c>
      <c r="J20" s="21" t="n"/>
    </row>
    <row r="21" ht="90" customHeight="1">
      <c r="A21" s="28" t="inlineStr">
        <is>
          <t>תורנות שבת</t>
        </is>
      </c>
      <c r="B21" s="32" t="inlineStr">
        <is>
          <t>שבת</t>
        </is>
      </c>
      <c r="C21" s="30" t="n"/>
      <c r="D21" s="20" t="inlineStr">
        <is>
          <t>פינוי ארוחת צהריים וסעודה שלישית</t>
        </is>
      </c>
      <c r="E21" s="21" t="inlineStr">
        <is>
          <t>פינוי השולחנות:
האוכל שנשאר — למקרר
צלחות וסכו"ם
ניקוי השולחנות
ניקוי הפחים
טאטוא</t>
        </is>
      </c>
      <c r="F21" s="28" t="n">
        <v>5</v>
      </c>
      <c r="G21" s="31" t="n"/>
      <c r="H21" s="20" t="n"/>
      <c r="I21" s="20" t="inlineStr">
        <is>
          <t>ארוחת צהריים</t>
        </is>
      </c>
      <c r="J21" s="21" t="n"/>
    </row>
    <row r="22" ht="30" customHeight="1">
      <c r="A22" s="28" t="inlineStr">
        <is>
          <t>תורנות שבת</t>
        </is>
      </c>
      <c r="B22" s="32" t="inlineStr">
        <is>
          <t>שבת</t>
        </is>
      </c>
      <c r="C22" s="30" t="n"/>
      <c r="D22" s="20" t="inlineStr">
        <is>
          <t>פינוי ארוחת צהריים וסעודה שלישית</t>
        </is>
      </c>
      <c r="E22" s="21" t="inlineStr">
        <is>
          <t>שטיפת הגסטרונומים בסיום הארוחה</t>
        </is>
      </c>
      <c r="F22" s="28" t="n"/>
      <c r="G22" s="31" t="n"/>
      <c r="H22" s="20" t="n"/>
      <c r="I22" s="20" t="inlineStr">
        <is>
          <t>ארוחת צהריים</t>
        </is>
      </c>
      <c r="J22" s="21" t="n"/>
    </row>
    <row r="23" ht="30" customHeight="1">
      <c r="A23" s="28" t="inlineStr">
        <is>
          <t>תורנות שבת</t>
        </is>
      </c>
      <c r="B23" s="32" t="inlineStr">
        <is>
          <t>שבת</t>
        </is>
      </c>
      <c r="C23" s="30" t="n"/>
      <c r="D23" s="20" t="inlineStr">
        <is>
          <t>פינוי ארוחת צהריים וסעודה שלישית</t>
        </is>
      </c>
      <c r="E23" s="21" t="inlineStr">
        <is>
          <t>הוצאת העוגות לסעודה שלישית</t>
        </is>
      </c>
      <c r="F23" s="28" t="n">
        <v>2</v>
      </c>
      <c r="G23" s="31" t="n"/>
      <c r="H23" s="20" t="n"/>
      <c r="I23" s="20" t="inlineStr">
        <is>
          <t>סעודה שלישית</t>
        </is>
      </c>
      <c r="J23" s="21" t="n"/>
    </row>
    <row r="24" ht="45" customHeight="1">
      <c r="A24" s="28" t="inlineStr">
        <is>
          <t>תורנות מוצ"ש</t>
        </is>
      </c>
      <c r="B24" s="33" t="inlineStr">
        <is>
          <t>מוצאי שבת</t>
        </is>
      </c>
      <c r="C24" s="30" t="n"/>
      <c r="D24" s="20" t="inlineStr">
        <is>
          <t>ניקיון בית המדרש במוצ"ש</t>
        </is>
      </c>
      <c r="E24" s="21" t="inlineStr">
        <is>
          <t>להחזיר את בית המדרש לקדמותו — כמו לפני שבת:
השולחנות, הכסאות, המחיצה והסידורים
קיפול המיחמים, שטיפתם והחזרתם למקום</t>
        </is>
      </c>
      <c r="F24" s="28" t="n">
        <v>10</v>
      </c>
      <c r="G24" s="31" t="n"/>
      <c r="H24" s="20" t="n"/>
      <c r="I24" s="20" t="inlineStr">
        <is>
          <t>ניקיונות מוצ"ש</t>
        </is>
      </c>
      <c r="J24" s="21" t="n"/>
    </row>
    <row r="25" ht="90" customHeight="1">
      <c r="A25" s="28" t="inlineStr">
        <is>
          <t>תורנות מוצ"ש</t>
        </is>
      </c>
      <c r="B25" s="33" t="inlineStr">
        <is>
          <t>מוצאי שבת</t>
        </is>
      </c>
      <c r="C25" s="30" t="n"/>
      <c r="D25" s="20" t="inlineStr">
        <is>
          <t>ניקיון חדר האוכל במוצ"ש</t>
        </is>
      </c>
      <c r="E25" s="21" t="inlineStr">
        <is>
          <t>שטיפת הגסטרונומים
שטיפת הרצפה
ניקוי המטבח
ניקוי חדר המקררים
זריקת הפחים
פינוי התנורים</t>
        </is>
      </c>
      <c r="F25" s="28" t="n">
        <v>12</v>
      </c>
      <c r="G25" s="31" t="n"/>
      <c r="H25" s="20" t="n"/>
      <c r="I25" s="20" t="inlineStr">
        <is>
          <t>ניקיונות מוצ"ש</t>
        </is>
      </c>
      <c r="J25" s="21" t="n"/>
    </row>
    <row r="26" ht="30" customHeight="1">
      <c r="A26" s="28" t="inlineStr">
        <is>
          <t>תורנות מוצ"ש</t>
        </is>
      </c>
      <c r="B26" s="33" t="inlineStr">
        <is>
          <t>מוצאי שבת</t>
        </is>
      </c>
      <c r="C26" s="30" t="n"/>
      <c r="D26" s="20" t="inlineStr">
        <is>
          <t>ארוחת ערב מוצ"ש</t>
        </is>
      </c>
      <c r="E26" s="21" t="inlineStr">
        <is>
          <t>הכנת ארוחת ערב לכולם</t>
        </is>
      </c>
      <c r="F26" s="28" t="n">
        <v>5</v>
      </c>
      <c r="G26" s="31" t="n"/>
      <c r="H26" s="20" t="n"/>
      <c r="I26" s="20" t="inlineStr">
        <is>
          <t>ניקיונות מוצ"ש</t>
        </is>
      </c>
      <c r="J26" s="21" t="n"/>
    </row>
    <row r="27" ht="18" customHeight="1">
      <c r="A27" s="28" t="n"/>
      <c r="B27" s="28" t="n"/>
      <c r="C27" s="30" t="n"/>
      <c r="D27" s="20" t="n"/>
      <c r="E27" s="21" t="n"/>
      <c r="F27" s="28" t="n"/>
      <c r="G27" s="31" t="n"/>
      <c r="H27" s="20" t="n"/>
      <c r="I27" s="20" t="n"/>
      <c r="J27" s="21" t="n"/>
    </row>
    <row r="28" ht="18" customHeight="1">
      <c r="A28" s="28" t="n"/>
      <c r="B28" s="28" t="n"/>
      <c r="C28" s="30" t="n"/>
      <c r="D28" s="20" t="n"/>
      <c r="E28" s="21" t="n"/>
      <c r="F28" s="28" t="n"/>
      <c r="G28" s="31" t="n"/>
      <c r="H28" s="20" t="n"/>
      <c r="I28" s="20" t="n"/>
      <c r="J28" s="21" t="n"/>
    </row>
    <row r="29" ht="18" customHeight="1">
      <c r="A29" s="28" t="n"/>
      <c r="B29" s="28" t="n"/>
      <c r="C29" s="30" t="n"/>
      <c r="D29" s="20" t="n"/>
      <c r="E29" s="21" t="n"/>
      <c r="F29" s="28" t="n"/>
      <c r="G29" s="31" t="n"/>
      <c r="H29" s="20" t="n"/>
      <c r="I29" s="20" t="n"/>
      <c r="J29" s="21" t="n"/>
    </row>
    <row r="30" ht="18" customHeight="1">
      <c r="A30" s="28" t="n"/>
      <c r="B30" s="28" t="n"/>
      <c r="C30" s="30" t="n"/>
      <c r="D30" s="20" t="n"/>
      <c r="E30" s="21" t="n"/>
      <c r="F30" s="28" t="n"/>
      <c r="G30" s="31" t="n"/>
      <c r="H30" s="20" t="n"/>
      <c r="I30" s="20" t="n"/>
      <c r="J30" s="21" t="n"/>
    </row>
    <row r="31" ht="18" customHeight="1">
      <c r="A31" s="28" t="n"/>
      <c r="B31" s="28" t="n"/>
      <c r="C31" s="30" t="n"/>
      <c r="D31" s="20" t="n"/>
      <c r="E31" s="21" t="n"/>
      <c r="F31" s="28" t="n"/>
      <c r="G31" s="31" t="n"/>
      <c r="H31" s="20" t="n"/>
      <c r="I31" s="20" t="n"/>
      <c r="J31" s="21" t="n"/>
    </row>
    <row r="32" ht="18" customHeight="1">
      <c r="A32" s="28" t="n"/>
      <c r="B32" s="28" t="n"/>
      <c r="C32" s="30" t="n"/>
      <c r="D32" s="20" t="n"/>
      <c r="E32" s="21" t="n"/>
      <c r="F32" s="28" t="n"/>
      <c r="G32" s="31" t="n"/>
      <c r="H32" s="20" t="n"/>
      <c r="I32" s="20" t="n"/>
      <c r="J32" s="21" t="n"/>
    </row>
    <row r="33" ht="18" customHeight="1">
      <c r="A33" s="28" t="n"/>
      <c r="B33" s="28" t="n"/>
      <c r="C33" s="30" t="n"/>
      <c r="D33" s="20" t="n"/>
      <c r="E33" s="21" t="n"/>
      <c r="F33" s="28" t="n"/>
      <c r="G33" s="31" t="n"/>
      <c r="H33" s="20" t="n"/>
      <c r="I33" s="20" t="n"/>
      <c r="J33" s="21" t="n"/>
    </row>
    <row r="34" ht="18" customHeight="1">
      <c r="A34" s="28" t="n"/>
      <c r="B34" s="28" t="n"/>
      <c r="C34" s="30" t="n"/>
      <c r="D34" s="20" t="n"/>
      <c r="E34" s="21" t="n"/>
      <c r="F34" s="28" t="n"/>
      <c r="G34" s="31" t="n"/>
      <c r="H34" s="20" t="n"/>
      <c r="I34" s="20" t="n"/>
      <c r="J34" s="21" t="n"/>
    </row>
    <row r="35" ht="18" customHeight="1">
      <c r="A35" s="28" t="n"/>
      <c r="B35" s="28" t="n"/>
      <c r="C35" s="30" t="n"/>
      <c r="D35" s="20" t="n"/>
      <c r="E35" s="21" t="n"/>
      <c r="F35" s="28" t="n"/>
      <c r="G35" s="31" t="n"/>
      <c r="H35" s="20" t="n"/>
      <c r="I35" s="20" t="n"/>
      <c r="J35" s="21" t="n"/>
    </row>
    <row r="36" ht="18" customHeight="1">
      <c r="A36" s="28" t="n"/>
      <c r="B36" s="28" t="n"/>
      <c r="C36" s="30" t="n"/>
      <c r="D36" s="20" t="n"/>
      <c r="E36" s="21" t="n"/>
      <c r="F36" s="28" t="n"/>
      <c r="G36" s="31" t="n"/>
      <c r="H36" s="20" t="n"/>
      <c r="I36" s="20" t="n"/>
      <c r="J36" s="21" t="n"/>
    </row>
    <row r="37" ht="18" customHeight="1">
      <c r="A37" s="28" t="n"/>
      <c r="B37" s="28" t="n"/>
      <c r="C37" s="30" t="n"/>
      <c r="D37" s="20" t="n"/>
      <c r="E37" s="21" t="n"/>
      <c r="F37" s="28" t="n"/>
      <c r="G37" s="31" t="n"/>
      <c r="H37" s="20" t="n"/>
      <c r="I37" s="20" t="n"/>
      <c r="J37" s="21" t="n"/>
    </row>
    <row r="38" ht="18" customHeight="1">
      <c r="A38" s="28" t="n"/>
      <c r="B38" s="28" t="n"/>
      <c r="C38" s="30" t="n"/>
      <c r="D38" s="20" t="n"/>
      <c r="E38" s="21" t="n"/>
      <c r="F38" s="28" t="n"/>
      <c r="G38" s="31" t="n"/>
      <c r="H38" s="20" t="n"/>
      <c r="I38" s="20" t="n"/>
      <c r="J38" s="21" t="n"/>
    </row>
    <row r="39" ht="18" customHeight="1">
      <c r="A39" s="28" t="n"/>
      <c r="B39" s="28" t="n"/>
      <c r="C39" s="30" t="n"/>
      <c r="D39" s="20" t="n"/>
      <c r="E39" s="21" t="n"/>
      <c r="F39" s="28" t="n"/>
      <c r="G39" s="31" t="n"/>
      <c r="H39" s="20" t="n"/>
      <c r="I39" s="20" t="n"/>
      <c r="J39" s="21" t="n"/>
    </row>
    <row r="40" ht="18" customHeight="1">
      <c r="A40" s="28" t="n"/>
      <c r="B40" s="28" t="n"/>
      <c r="C40" s="30" t="n"/>
      <c r="D40" s="20" t="n"/>
      <c r="E40" s="21" t="n"/>
      <c r="F40" s="28" t="n"/>
      <c r="G40" s="31" t="n"/>
      <c r="H40" s="20" t="n"/>
      <c r="I40" s="20" t="n"/>
      <c r="J40" s="21" t="n"/>
    </row>
    <row r="41" ht="18" customHeight="1">
      <c r="A41" s="28" t="n"/>
      <c r="B41" s="28" t="n"/>
      <c r="C41" s="30" t="n"/>
      <c r="D41" s="20" t="n"/>
      <c r="E41" s="21" t="n"/>
      <c r="F41" s="28" t="n"/>
      <c r="G41" s="31" t="n"/>
      <c r="H41" s="20" t="n"/>
      <c r="I41" s="20" t="n"/>
      <c r="J41" s="21" t="n"/>
    </row>
    <row r="42" ht="18" customHeight="1">
      <c r="A42" s="28" t="n"/>
      <c r="B42" s="28" t="n"/>
      <c r="C42" s="30" t="n"/>
      <c r="D42" s="20" t="n"/>
      <c r="E42" s="21" t="n"/>
      <c r="F42" s="28" t="n"/>
      <c r="G42" s="31" t="n"/>
      <c r="H42" s="20" t="n"/>
      <c r="I42" s="20" t="n"/>
      <c r="J42" s="21" t="n"/>
    </row>
    <row r="43" ht="18" customHeight="1">
      <c r="A43" s="28" t="n"/>
      <c r="B43" s="28" t="n"/>
      <c r="C43" s="30" t="n"/>
      <c r="D43" s="20" t="n"/>
      <c r="E43" s="21" t="n"/>
      <c r="F43" s="28" t="n"/>
      <c r="G43" s="31" t="n"/>
      <c r="H43" s="20" t="n"/>
      <c r="I43" s="20" t="n"/>
      <c r="J43" s="21" t="n"/>
    </row>
    <row r="44" ht="18" customHeight="1">
      <c r="A44" s="28" t="n"/>
      <c r="B44" s="28" t="n"/>
      <c r="C44" s="30" t="n"/>
      <c r="D44" s="20" t="n"/>
      <c r="E44" s="21" t="n"/>
      <c r="F44" s="28" t="n"/>
      <c r="G44" s="31" t="n"/>
      <c r="H44" s="20" t="n"/>
      <c r="I44" s="20" t="n"/>
      <c r="J44" s="21" t="n"/>
    </row>
    <row r="45" ht="18" customHeight="1">
      <c r="A45" s="28" t="n"/>
      <c r="B45" s="28" t="n"/>
      <c r="C45" s="30" t="n"/>
      <c r="D45" s="20" t="n"/>
      <c r="E45" s="21" t="n"/>
      <c r="F45" s="28" t="n"/>
      <c r="G45" s="31" t="n"/>
      <c r="H45" s="20" t="n"/>
      <c r="I45" s="20" t="n"/>
      <c r="J45" s="21" t="n"/>
    </row>
    <row r="46" ht="18" customHeight="1">
      <c r="A46" s="28" t="n"/>
      <c r="B46" s="28" t="n"/>
      <c r="C46" s="30" t="n"/>
      <c r="D46" s="20" t="n"/>
      <c r="E46" s="21" t="n"/>
      <c r="F46" s="28" t="n"/>
      <c r="G46" s="31" t="n"/>
      <c r="H46" s="20" t="n"/>
      <c r="I46" s="20" t="n"/>
      <c r="J46" s="21" t="n"/>
    </row>
    <row r="47" ht="18" customHeight="1">
      <c r="A47" s="28" t="n"/>
      <c r="B47" s="28" t="n"/>
      <c r="C47" s="30" t="n"/>
      <c r="D47" s="20" t="n"/>
      <c r="E47" s="21" t="n"/>
      <c r="F47" s="28" t="n"/>
      <c r="G47" s="31" t="n"/>
      <c r="H47" s="20" t="n"/>
      <c r="I47" s="20" t="n"/>
      <c r="J47" s="21" t="n"/>
    </row>
    <row r="48" ht="18" customHeight="1">
      <c r="A48" s="28" t="n"/>
      <c r="B48" s="28" t="n"/>
      <c r="C48" s="30" t="n"/>
      <c r="D48" s="20" t="n"/>
      <c r="E48" s="21" t="n"/>
      <c r="F48" s="28" t="n"/>
      <c r="G48" s="31" t="n"/>
      <c r="H48" s="20" t="n"/>
      <c r="I48" s="20" t="n"/>
      <c r="J48" s="21" t="n"/>
    </row>
    <row r="49" ht="18" customHeight="1">
      <c r="A49" s="28" t="n"/>
      <c r="B49" s="28" t="n"/>
      <c r="C49" s="30" t="n"/>
      <c r="D49" s="20" t="n"/>
      <c r="E49" s="21" t="n"/>
      <c r="F49" s="28" t="n"/>
      <c r="G49" s="31" t="n"/>
      <c r="H49" s="20" t="n"/>
      <c r="I49" s="20" t="n"/>
      <c r="J49" s="21" t="n"/>
    </row>
    <row r="50" ht="18" customHeight="1">
      <c r="A50" s="28" t="n"/>
      <c r="B50" s="28" t="n"/>
      <c r="C50" s="30" t="n"/>
      <c r="D50" s="20" t="n"/>
      <c r="E50" s="21" t="n"/>
      <c r="F50" s="28" t="n"/>
      <c r="G50" s="31" t="n"/>
      <c r="H50" s="20" t="n"/>
      <c r="I50" s="20" t="n"/>
      <c r="J50" s="21" t="n"/>
    </row>
    <row r="51" ht="18" customHeight="1">
      <c r="A51" s="28" t="n"/>
      <c r="B51" s="28" t="n"/>
      <c r="C51" s="30" t="n"/>
      <c r="D51" s="20" t="n"/>
      <c r="E51" s="21" t="n"/>
      <c r="F51" s="28" t="n"/>
      <c r="G51" s="31" t="n"/>
      <c r="H51" s="20" t="n"/>
      <c r="I51" s="20" t="n"/>
      <c r="J51" s="21" t="n"/>
    </row>
    <row r="52" ht="18" customHeight="1">
      <c r="A52" s="28" t="n"/>
      <c r="B52" s="28" t="n"/>
      <c r="C52" s="30" t="n"/>
      <c r="D52" s="20" t="n"/>
      <c r="E52" s="21" t="n"/>
      <c r="F52" s="28" t="n"/>
      <c r="G52" s="31" t="n"/>
      <c r="H52" s="20" t="n"/>
      <c r="I52" s="20" t="n"/>
      <c r="J52" s="21" t="n"/>
    </row>
    <row r="53" ht="18" customHeight="1">
      <c r="A53" s="28" t="n"/>
      <c r="B53" s="28" t="n"/>
      <c r="C53" s="30" t="n"/>
      <c r="D53" s="20" t="n"/>
      <c r="E53" s="21" t="n"/>
      <c r="F53" s="28" t="n"/>
      <c r="G53" s="31" t="n"/>
      <c r="H53" s="20" t="n"/>
      <c r="I53" s="20" t="n"/>
      <c r="J53" s="21" t="n"/>
    </row>
    <row r="54" ht="18" customHeight="1">
      <c r="A54" s="28" t="n"/>
      <c r="B54" s="28" t="n"/>
      <c r="C54" s="30" t="n"/>
      <c r="D54" s="20" t="n"/>
      <c r="E54" s="21" t="n"/>
      <c r="F54" s="28" t="n"/>
      <c r="G54" s="31" t="n"/>
      <c r="H54" s="20" t="n"/>
      <c r="I54" s="20" t="n"/>
      <c r="J54" s="21" t="n"/>
    </row>
    <row r="55" ht="18" customHeight="1">
      <c r="A55" s="28" t="n"/>
      <c r="B55" s="28" t="n"/>
      <c r="C55" s="30" t="n"/>
      <c r="D55" s="20" t="n"/>
      <c r="E55" s="21" t="n"/>
      <c r="F55" s="28" t="n"/>
      <c r="G55" s="31" t="n"/>
      <c r="H55" s="20" t="n"/>
      <c r="I55" s="20" t="n"/>
      <c r="J55" s="21" t="n"/>
    </row>
    <row r="56" ht="18" customHeight="1">
      <c r="A56" s="28" t="n"/>
      <c r="B56" s="28" t="n"/>
      <c r="C56" s="30" t="n"/>
      <c r="D56" s="20" t="n"/>
      <c r="E56" s="21" t="n"/>
      <c r="F56" s="28" t="n"/>
      <c r="G56" s="31" t="n"/>
      <c r="H56" s="20" t="n"/>
      <c r="I56" s="20" t="n"/>
      <c r="J56" s="21" t="n"/>
    </row>
    <row r="57" ht="18" customHeight="1">
      <c r="A57" s="28" t="n"/>
      <c r="B57" s="28" t="n"/>
      <c r="C57" s="30" t="n"/>
      <c r="D57" s="20" t="n"/>
      <c r="E57" s="21" t="n"/>
      <c r="F57" s="28" t="n"/>
      <c r="G57" s="31" t="n"/>
      <c r="H57" s="20" t="n"/>
      <c r="I57" s="20" t="n"/>
      <c r="J57" s="21" t="n"/>
    </row>
    <row r="58" ht="18" customHeight="1">
      <c r="A58" s="28" t="n"/>
      <c r="B58" s="28" t="n"/>
      <c r="C58" s="30" t="n"/>
      <c r="D58" s="20" t="n"/>
      <c r="E58" s="21" t="n"/>
      <c r="F58" s="28" t="n"/>
      <c r="G58" s="31" t="n"/>
      <c r="H58" s="20" t="n"/>
      <c r="I58" s="20" t="n"/>
      <c r="J58" s="21" t="n"/>
    </row>
    <row r="59" ht="18" customHeight="1">
      <c r="A59" s="28" t="n"/>
      <c r="B59" s="28" t="n"/>
      <c r="C59" s="30" t="n"/>
      <c r="D59" s="20" t="n"/>
      <c r="E59" s="21" t="n"/>
      <c r="F59" s="28" t="n"/>
      <c r="G59" s="31" t="n"/>
      <c r="H59" s="20" t="n"/>
      <c r="I59" s="20" t="n"/>
      <c r="J59" s="21" t="n"/>
    </row>
    <row r="60" ht="18" customHeight="1">
      <c r="A60" s="28" t="n"/>
      <c r="B60" s="28" t="n"/>
      <c r="C60" s="30" t="n"/>
      <c r="D60" s="20" t="n"/>
      <c r="E60" s="21" t="n"/>
      <c r="F60" s="28" t="n"/>
      <c r="G60" s="31" t="n"/>
      <c r="H60" s="20" t="n"/>
      <c r="I60" s="20" t="n"/>
      <c r="J60" s="21" t="n"/>
    </row>
    <row r="61" ht="18" customHeight="1">
      <c r="A61" s="28" t="n"/>
      <c r="B61" s="28" t="n"/>
      <c r="C61" s="30" t="n"/>
      <c r="D61" s="20" t="n"/>
      <c r="E61" s="21" t="n"/>
      <c r="F61" s="28" t="n"/>
      <c r="G61" s="31" t="n"/>
      <c r="H61" s="20" t="n"/>
      <c r="I61" s="20" t="n"/>
      <c r="J61" s="21" t="n"/>
    </row>
    <row r="62" ht="18" customHeight="1">
      <c r="A62" s="28" t="n"/>
      <c r="B62" s="28" t="n"/>
      <c r="C62" s="30" t="n"/>
      <c r="D62" s="20" t="n"/>
      <c r="E62" s="21" t="n"/>
      <c r="F62" s="28" t="n"/>
      <c r="G62" s="31" t="n"/>
      <c r="H62" s="20" t="n"/>
      <c r="I62" s="20" t="n"/>
      <c r="J62" s="21" t="n"/>
    </row>
    <row r="63" ht="18" customHeight="1">
      <c r="A63" s="28" t="n"/>
      <c r="B63" s="28" t="n"/>
      <c r="C63" s="30" t="n"/>
      <c r="D63" s="20" t="n"/>
      <c r="E63" s="21" t="n"/>
      <c r="F63" s="28" t="n"/>
      <c r="G63" s="31" t="n"/>
      <c r="H63" s="20" t="n"/>
      <c r="I63" s="20" t="n"/>
      <c r="J63" s="21" t="n"/>
    </row>
    <row r="64" ht="18" customHeight="1">
      <c r="A64" s="28" t="n"/>
      <c r="B64" s="28" t="n"/>
      <c r="C64" s="30" t="n"/>
      <c r="D64" s="20" t="n"/>
      <c r="E64" s="21" t="n"/>
      <c r="F64" s="28" t="n"/>
      <c r="G64" s="31" t="n"/>
      <c r="H64" s="20" t="n"/>
      <c r="I64" s="20" t="n"/>
      <c r="J64" s="21" t="n"/>
    </row>
    <row r="65" ht="18" customHeight="1">
      <c r="A65" s="28" t="n"/>
      <c r="B65" s="28" t="n"/>
      <c r="C65" s="30" t="n"/>
      <c r="D65" s="20" t="n"/>
      <c r="E65" s="21" t="n"/>
      <c r="F65" s="28" t="n"/>
      <c r="G65" s="31" t="n"/>
      <c r="H65" s="20" t="n"/>
      <c r="I65" s="20" t="n"/>
      <c r="J65" s="21" t="n"/>
    </row>
    <row r="66" ht="18" customHeight="1">
      <c r="A66" s="28" t="n"/>
      <c r="B66" s="28" t="n"/>
      <c r="C66" s="30" t="n"/>
      <c r="D66" s="20" t="n"/>
      <c r="E66" s="21" t="n"/>
      <c r="F66" s="28" t="n"/>
      <c r="G66" s="31" t="n"/>
      <c r="H66" s="20" t="n"/>
      <c r="I66" s="20" t="n"/>
      <c r="J66" s="21" t="n"/>
    </row>
    <row r="67" ht="18" customHeight="1">
      <c r="A67" s="28" t="n"/>
      <c r="B67" s="28" t="n"/>
      <c r="C67" s="30" t="n"/>
      <c r="D67" s="20" t="n"/>
      <c r="E67" s="21" t="n"/>
      <c r="F67" s="28" t="n"/>
      <c r="G67" s="31" t="n"/>
      <c r="H67" s="20" t="n"/>
      <c r="I67" s="20" t="n"/>
      <c r="J67" s="21" t="n"/>
    </row>
    <row r="68" ht="18" customHeight="1">
      <c r="A68" s="28" t="n"/>
      <c r="B68" s="28" t="n"/>
      <c r="C68" s="30" t="n"/>
      <c r="D68" s="20" t="n"/>
      <c r="E68" s="21" t="n"/>
      <c r="F68" s="28" t="n"/>
      <c r="G68" s="31" t="n"/>
      <c r="H68" s="20" t="n"/>
      <c r="I68" s="20" t="n"/>
      <c r="J68" s="21" t="n"/>
    </row>
    <row r="69" ht="18" customHeight="1">
      <c r="A69" s="28" t="n"/>
      <c r="B69" s="28" t="n"/>
      <c r="C69" s="30" t="n"/>
      <c r="D69" s="20" t="n"/>
      <c r="E69" s="21" t="n"/>
      <c r="F69" s="28" t="n"/>
      <c r="G69" s="31" t="n"/>
      <c r="H69" s="20" t="n"/>
      <c r="I69" s="20" t="n"/>
      <c r="J69" s="21" t="n"/>
    </row>
    <row r="70" ht="18" customHeight="1">
      <c r="A70" s="28" t="n"/>
      <c r="B70" s="28" t="n"/>
      <c r="C70" s="30" t="n"/>
      <c r="D70" s="20" t="n"/>
      <c r="E70" s="21" t="n"/>
      <c r="F70" s="28" t="n"/>
      <c r="G70" s="31" t="n"/>
      <c r="H70" s="20" t="n"/>
      <c r="I70" s="20" t="n"/>
      <c r="J70" s="21" t="n"/>
    </row>
    <row r="71" ht="18" customHeight="1">
      <c r="A71" s="28" t="n"/>
      <c r="B71" s="28" t="n"/>
      <c r="C71" s="30" t="n"/>
      <c r="D71" s="20" t="n"/>
      <c r="E71" s="21" t="n"/>
      <c r="F71" s="28" t="n"/>
      <c r="G71" s="31" t="n"/>
      <c r="H71" s="20" t="n"/>
      <c r="I71" s="20" t="n"/>
      <c r="J71" s="21" t="n"/>
    </row>
    <row r="72" ht="18" customHeight="1">
      <c r="A72" s="28" t="n"/>
      <c r="B72" s="28" t="n"/>
      <c r="C72" s="30" t="n"/>
      <c r="D72" s="20" t="n"/>
      <c r="E72" s="21" t="n"/>
      <c r="F72" s="28" t="n"/>
      <c r="G72" s="31" t="n"/>
      <c r="H72" s="20" t="n"/>
      <c r="I72" s="20" t="n"/>
      <c r="J72" s="21" t="n"/>
    </row>
    <row r="73" ht="18" customHeight="1">
      <c r="A73" s="28" t="n"/>
      <c r="B73" s="28" t="n"/>
      <c r="C73" s="30" t="n"/>
      <c r="D73" s="20" t="n"/>
      <c r="E73" s="21" t="n"/>
      <c r="F73" s="28" t="n"/>
      <c r="G73" s="31" t="n"/>
      <c r="H73" s="20" t="n"/>
      <c r="I73" s="20" t="n"/>
      <c r="J73" s="21" t="n"/>
    </row>
    <row r="74" ht="18" customHeight="1">
      <c r="A74" s="28" t="n"/>
      <c r="B74" s="28" t="n"/>
      <c r="C74" s="30" t="n"/>
      <c r="D74" s="20" t="n"/>
      <c r="E74" s="21" t="n"/>
      <c r="F74" s="28" t="n"/>
      <c r="G74" s="31" t="n"/>
      <c r="H74" s="20" t="n"/>
      <c r="I74" s="20" t="n"/>
      <c r="J74" s="21" t="n"/>
    </row>
    <row r="75" ht="18" customHeight="1">
      <c r="A75" s="28" t="n"/>
      <c r="B75" s="28" t="n"/>
      <c r="C75" s="30" t="n"/>
      <c r="D75" s="20" t="n"/>
      <c r="E75" s="21" t="n"/>
      <c r="F75" s="28" t="n"/>
      <c r="G75" s="31" t="n"/>
      <c r="H75" s="20" t="n"/>
      <c r="I75" s="20" t="n"/>
      <c r="J75" s="21" t="n"/>
    </row>
    <row r="76" ht="18" customHeight="1">
      <c r="A76" s="28" t="n"/>
      <c r="B76" s="28" t="n"/>
      <c r="C76" s="30" t="n"/>
      <c r="D76" s="20" t="n"/>
      <c r="E76" s="21" t="n"/>
      <c r="F76" s="28" t="n"/>
      <c r="G76" s="31" t="n"/>
      <c r="H76" s="20" t="n"/>
      <c r="I76" s="20" t="n"/>
      <c r="J76" s="21" t="n"/>
    </row>
    <row r="77" ht="18" customHeight="1">
      <c r="A77" s="28" t="n"/>
      <c r="B77" s="28" t="n"/>
      <c r="C77" s="30" t="n"/>
      <c r="D77" s="20" t="n"/>
      <c r="E77" s="21" t="n"/>
      <c r="F77" s="28" t="n"/>
      <c r="G77" s="31" t="n"/>
      <c r="H77" s="20" t="n"/>
      <c r="I77" s="20" t="n"/>
      <c r="J77" s="21" t="n"/>
    </row>
    <row r="78" ht="18" customHeight="1">
      <c r="A78" s="28" t="n"/>
      <c r="B78" s="28" t="n"/>
      <c r="C78" s="30" t="n"/>
      <c r="D78" s="20" t="n"/>
      <c r="E78" s="21" t="n"/>
      <c r="F78" s="28" t="n"/>
      <c r="G78" s="31" t="n"/>
      <c r="H78" s="20" t="n"/>
      <c r="I78" s="20" t="n"/>
      <c r="J78" s="21" t="n"/>
    </row>
    <row r="79" ht="18" customHeight="1">
      <c r="A79" s="28" t="n"/>
      <c r="B79" s="28" t="n"/>
      <c r="C79" s="30" t="n"/>
      <c r="D79" s="20" t="n"/>
      <c r="E79" s="21" t="n"/>
      <c r="F79" s="28" t="n"/>
      <c r="G79" s="31" t="n"/>
      <c r="H79" s="20" t="n"/>
      <c r="I79" s="20" t="n"/>
      <c r="J79" s="21" t="n"/>
    </row>
    <row r="80" ht="18" customHeight="1">
      <c r="A80" s="28" t="n"/>
      <c r="B80" s="28" t="n"/>
      <c r="C80" s="30" t="n"/>
      <c r="D80" s="20" t="n"/>
      <c r="E80" s="21" t="n"/>
      <c r="F80" s="28" t="n"/>
      <c r="G80" s="31" t="n"/>
      <c r="H80" s="20" t="n"/>
      <c r="I80" s="20" t="n"/>
      <c r="J80" s="21" t="n"/>
    </row>
    <row r="81" ht="18" customHeight="1">
      <c r="A81" s="28" t="n"/>
      <c r="B81" s="28" t="n"/>
      <c r="C81" s="30" t="n"/>
      <c r="D81" s="20" t="n"/>
      <c r="E81" s="21" t="n"/>
      <c r="F81" s="28" t="n"/>
      <c r="G81" s="31" t="n"/>
      <c r="H81" s="20" t="n"/>
      <c r="I81" s="20" t="n"/>
      <c r="J81" s="21" t="n"/>
    </row>
    <row r="82" ht="18" customHeight="1">
      <c r="A82" s="28" t="n"/>
      <c r="B82" s="28" t="n"/>
      <c r="C82" s="30" t="n"/>
      <c r="D82" s="20" t="n"/>
      <c r="E82" s="21" t="n"/>
      <c r="F82" s="28" t="n"/>
      <c r="G82" s="31" t="n"/>
      <c r="H82" s="20" t="n"/>
      <c r="I82" s="20" t="n"/>
      <c r="J82" s="21" t="n"/>
    </row>
    <row r="83" ht="18" customHeight="1">
      <c r="A83" s="28" t="n"/>
      <c r="B83" s="28" t="n"/>
      <c r="C83" s="30" t="n"/>
      <c r="D83" s="20" t="n"/>
      <c r="E83" s="21" t="n"/>
      <c r="F83" s="28" t="n"/>
      <c r="G83" s="31" t="n"/>
      <c r="H83" s="20" t="n"/>
      <c r="I83" s="20" t="n"/>
      <c r="J83" s="21" t="n"/>
    </row>
    <row r="84" ht="18" customHeight="1">
      <c r="A84" s="28" t="n"/>
      <c r="B84" s="28" t="n"/>
      <c r="C84" s="30" t="n"/>
      <c r="D84" s="20" t="n"/>
      <c r="E84" s="21" t="n"/>
      <c r="F84" s="28" t="n"/>
      <c r="G84" s="31" t="n"/>
      <c r="H84" s="20" t="n"/>
      <c r="I84" s="20" t="n"/>
      <c r="J84" s="21" t="n"/>
    </row>
    <row r="85" ht="18" customHeight="1">
      <c r="A85" s="28" t="n"/>
      <c r="B85" s="28" t="n"/>
      <c r="C85" s="30" t="n"/>
      <c r="D85" s="20" t="n"/>
      <c r="E85" s="21" t="n"/>
      <c r="F85" s="28" t="n"/>
      <c r="G85" s="31" t="n"/>
      <c r="H85" s="20" t="n"/>
      <c r="I85" s="20" t="n"/>
      <c r="J85" s="21" t="n"/>
    </row>
    <row r="86" ht="18" customHeight="1">
      <c r="A86" s="28" t="n"/>
      <c r="B86" s="28" t="n"/>
      <c r="C86" s="30" t="n"/>
      <c r="D86" s="20" t="n"/>
      <c r="E86" s="21" t="n"/>
      <c r="F86" s="28" t="n"/>
      <c r="G86" s="31" t="n"/>
      <c r="H86" s="20" t="n"/>
      <c r="I86" s="20" t="n"/>
      <c r="J86" s="21" t="n"/>
    </row>
    <row r="87" ht="18" customHeight="1">
      <c r="A87" s="28" t="n"/>
      <c r="B87" s="28" t="n"/>
      <c r="C87" s="30" t="n"/>
      <c r="D87" s="20" t="n"/>
      <c r="E87" s="21" t="n"/>
      <c r="F87" s="28" t="n"/>
      <c r="G87" s="31" t="n"/>
      <c r="H87" s="20" t="n"/>
      <c r="I87" s="20" t="n"/>
      <c r="J87" s="21" t="n"/>
    </row>
    <row r="88" ht="18" customHeight="1">
      <c r="A88" s="28" t="n"/>
      <c r="B88" s="28" t="n"/>
      <c r="C88" s="30" t="n"/>
      <c r="D88" s="20" t="n"/>
      <c r="E88" s="21" t="n"/>
      <c r="F88" s="28" t="n"/>
      <c r="G88" s="31" t="n"/>
      <c r="H88" s="20" t="n"/>
      <c r="I88" s="20" t="n"/>
      <c r="J88" s="21" t="n"/>
    </row>
    <row r="89" ht="18" customHeight="1">
      <c r="A89" s="28" t="n"/>
      <c r="B89" s="28" t="n"/>
      <c r="C89" s="30" t="n"/>
      <c r="D89" s="20" t="n"/>
      <c r="E89" s="21" t="n"/>
      <c r="F89" s="28" t="n"/>
      <c r="G89" s="31" t="n"/>
      <c r="H89" s="20" t="n"/>
      <c r="I89" s="20" t="n"/>
      <c r="J89" s="21" t="n"/>
    </row>
    <row r="90" ht="18" customHeight="1">
      <c r="A90" s="28" t="n"/>
      <c r="B90" s="28" t="n"/>
      <c r="C90" s="30" t="n"/>
      <c r="D90" s="20" t="n"/>
      <c r="E90" s="21" t="n"/>
      <c r="F90" s="28" t="n"/>
      <c r="G90" s="31" t="n"/>
      <c r="H90" s="20" t="n"/>
      <c r="I90" s="20" t="n"/>
      <c r="J90" s="21" t="n"/>
    </row>
    <row r="91" ht="18" customHeight="1">
      <c r="A91" s="28" t="n"/>
      <c r="B91" s="28" t="n"/>
      <c r="C91" s="30" t="n"/>
      <c r="D91" s="20" t="n"/>
      <c r="E91" s="21" t="n"/>
      <c r="F91" s="28" t="n"/>
      <c r="G91" s="31" t="n"/>
      <c r="H91" s="20" t="n"/>
      <c r="I91" s="20" t="n"/>
      <c r="J91" s="21" t="n"/>
    </row>
    <row r="92" ht="18" customHeight="1">
      <c r="A92" s="28" t="n"/>
      <c r="B92" s="28" t="n"/>
      <c r="C92" s="30" t="n"/>
      <c r="D92" s="20" t="n"/>
      <c r="E92" s="21" t="n"/>
      <c r="F92" s="28" t="n"/>
      <c r="G92" s="31" t="n"/>
      <c r="H92" s="20" t="n"/>
      <c r="I92" s="20" t="n"/>
      <c r="J92" s="21" t="n"/>
    </row>
    <row r="93" ht="18" customHeight="1">
      <c r="A93" s="28" t="n"/>
      <c r="B93" s="28" t="n"/>
      <c r="C93" s="30" t="n"/>
      <c r="D93" s="20" t="n"/>
      <c r="E93" s="21" t="n"/>
      <c r="F93" s="28" t="n"/>
      <c r="G93" s="31" t="n"/>
      <c r="H93" s="20" t="n"/>
      <c r="I93" s="20" t="n"/>
      <c r="J93" s="21" t="n"/>
    </row>
    <row r="94" ht="18" customHeight="1">
      <c r="A94" s="28" t="n"/>
      <c r="B94" s="28" t="n"/>
      <c r="C94" s="30" t="n"/>
      <c r="D94" s="20" t="n"/>
      <c r="E94" s="21" t="n"/>
      <c r="F94" s="28" t="n"/>
      <c r="G94" s="31" t="n"/>
      <c r="H94" s="20" t="n"/>
      <c r="I94" s="20" t="n"/>
      <c r="J94" s="21" t="n"/>
    </row>
    <row r="95" ht="18" customHeight="1">
      <c r="A95" s="28" t="n"/>
      <c r="B95" s="28" t="n"/>
      <c r="C95" s="30" t="n"/>
      <c r="D95" s="20" t="n"/>
      <c r="E95" s="21" t="n"/>
      <c r="F95" s="28" t="n"/>
      <c r="G95" s="31" t="n"/>
      <c r="H95" s="20" t="n"/>
      <c r="I95" s="20" t="n"/>
      <c r="J95" s="21" t="n"/>
    </row>
    <row r="96" ht="18" customHeight="1">
      <c r="A96" s="28" t="n"/>
      <c r="B96" s="28" t="n"/>
      <c r="C96" s="30" t="n"/>
      <c r="D96" s="20" t="n"/>
      <c r="E96" s="21" t="n"/>
      <c r="F96" s="28" t="n"/>
      <c r="G96" s="31" t="n"/>
      <c r="H96" s="20" t="n"/>
      <c r="I96" s="20" t="n"/>
      <c r="J96" s="21" t="n"/>
    </row>
    <row r="97" ht="18" customHeight="1">
      <c r="A97" s="28" t="n"/>
      <c r="B97" s="28" t="n"/>
      <c r="C97" s="30" t="n"/>
      <c r="D97" s="20" t="n"/>
      <c r="E97" s="21" t="n"/>
      <c r="F97" s="28" t="n"/>
      <c r="G97" s="31" t="n"/>
      <c r="H97" s="20" t="n"/>
      <c r="I97" s="20" t="n"/>
      <c r="J97" s="21" t="n"/>
    </row>
    <row r="98" ht="18" customHeight="1">
      <c r="A98" s="28" t="n"/>
      <c r="B98" s="28" t="n"/>
      <c r="C98" s="30" t="n"/>
      <c r="D98" s="20" t="n"/>
      <c r="E98" s="21" t="n"/>
      <c r="F98" s="28" t="n"/>
      <c r="G98" s="31" t="n"/>
      <c r="H98" s="20" t="n"/>
      <c r="I98" s="20" t="n"/>
      <c r="J98" s="21" t="n"/>
    </row>
    <row r="99" ht="18" customHeight="1">
      <c r="A99" s="28" t="n"/>
      <c r="B99" s="28" t="n"/>
      <c r="C99" s="30" t="n"/>
      <c r="D99" s="20" t="n"/>
      <c r="E99" s="21" t="n"/>
      <c r="F99" s="28" t="n"/>
      <c r="G99" s="31" t="n"/>
      <c r="H99" s="20" t="n"/>
      <c r="I99" s="20" t="n"/>
      <c r="J99" s="21" t="n"/>
    </row>
    <row r="100" ht="18" customHeight="1">
      <c r="A100" s="28" t="n"/>
      <c r="B100" s="28" t="n"/>
      <c r="C100" s="30" t="n"/>
      <c r="D100" s="20" t="n"/>
      <c r="E100" s="21" t="n"/>
      <c r="F100" s="28" t="n"/>
      <c r="G100" s="31" t="n"/>
      <c r="H100" s="20" t="n"/>
      <c r="I100" s="20" t="n"/>
      <c r="J100" s="21" t="n"/>
    </row>
    <row r="101" ht="18" customHeight="1">
      <c r="A101" s="28" t="n"/>
      <c r="B101" s="28" t="n"/>
      <c r="C101" s="30" t="n"/>
      <c r="D101" s="20" t="n"/>
      <c r="E101" s="21" t="n"/>
      <c r="F101" s="28" t="n"/>
      <c r="G101" s="31" t="n"/>
      <c r="H101" s="20" t="n"/>
      <c r="I101" s="20" t="n"/>
      <c r="J101" s="21" t="n"/>
    </row>
    <row r="102" ht="18" customHeight="1">
      <c r="A102" s="28" t="n"/>
      <c r="B102" s="28" t="n"/>
      <c r="C102" s="30" t="n"/>
      <c r="D102" s="20" t="n"/>
      <c r="E102" s="21" t="n"/>
      <c r="F102" s="28" t="n"/>
      <c r="G102" s="31" t="n"/>
      <c r="H102" s="20" t="n"/>
      <c r="I102" s="20" t="n"/>
      <c r="J102" s="21" t="n"/>
    </row>
    <row r="103" ht="18" customHeight="1">
      <c r="A103" s="28" t="n"/>
      <c r="B103" s="28" t="n"/>
      <c r="C103" s="30" t="n"/>
      <c r="D103" s="20" t="n"/>
      <c r="E103" s="21" t="n"/>
      <c r="F103" s="28" t="n"/>
      <c r="G103" s="31" t="n"/>
      <c r="H103" s="20" t="n"/>
      <c r="I103" s="20" t="n"/>
      <c r="J103" s="21" t="n"/>
    </row>
    <row r="104" ht="18" customHeight="1">
      <c r="A104" s="28" t="n"/>
      <c r="B104" s="28" t="n"/>
      <c r="C104" s="30" t="n"/>
      <c r="D104" s="20" t="n"/>
      <c r="E104" s="21" t="n"/>
      <c r="F104" s="28" t="n"/>
      <c r="G104" s="31" t="n"/>
      <c r="H104" s="20" t="n"/>
      <c r="I104" s="20" t="n"/>
      <c r="J104" s="21" t="n"/>
    </row>
    <row r="105" ht="18" customHeight="1">
      <c r="A105" s="28" t="n"/>
      <c r="B105" s="28" t="n"/>
      <c r="C105" s="30" t="n"/>
      <c r="D105" s="20" t="n"/>
      <c r="E105" s="21" t="n"/>
      <c r="F105" s="28" t="n"/>
      <c r="G105" s="31" t="n"/>
      <c r="H105" s="20" t="n"/>
      <c r="I105" s="20" t="n"/>
      <c r="J105" s="21" t="n"/>
    </row>
    <row r="106" ht="18" customHeight="1">
      <c r="A106" s="28" t="n"/>
      <c r="B106" s="28" t="n"/>
      <c r="C106" s="30" t="n"/>
      <c r="D106" s="20" t="n"/>
      <c r="E106" s="21" t="n"/>
      <c r="F106" s="28" t="n"/>
      <c r="G106" s="31" t="n"/>
      <c r="H106" s="20" t="n"/>
      <c r="I106" s="20" t="n"/>
      <c r="J106" s="21" t="n"/>
    </row>
    <row r="107" ht="18" customHeight="1">
      <c r="A107" s="28" t="n"/>
      <c r="B107" s="28" t="n"/>
      <c r="C107" s="30" t="n"/>
      <c r="D107" s="20" t="n"/>
      <c r="E107" s="21" t="n"/>
      <c r="F107" s="28" t="n"/>
      <c r="G107" s="31" t="n"/>
      <c r="H107" s="20" t="n"/>
      <c r="I107" s="20" t="n"/>
      <c r="J107" s="21" t="n"/>
    </row>
    <row r="108" ht="18" customHeight="1">
      <c r="A108" s="28" t="n"/>
      <c r="B108" s="28" t="n"/>
      <c r="C108" s="30" t="n"/>
      <c r="D108" s="20" t="n"/>
      <c r="E108" s="21" t="n"/>
      <c r="F108" s="28" t="n"/>
      <c r="G108" s="31" t="n"/>
      <c r="H108" s="20" t="n"/>
      <c r="I108" s="20" t="n"/>
      <c r="J108" s="21" t="n"/>
    </row>
    <row r="109" ht="18" customHeight="1">
      <c r="A109" s="28" t="n"/>
      <c r="B109" s="28" t="n"/>
      <c r="C109" s="30" t="n"/>
      <c r="D109" s="20" t="n"/>
      <c r="E109" s="21" t="n"/>
      <c r="F109" s="28" t="n"/>
      <c r="G109" s="31" t="n"/>
      <c r="H109" s="20" t="n"/>
      <c r="I109" s="20" t="n"/>
      <c r="J109" s="21" t="n"/>
    </row>
    <row r="110" ht="18" customHeight="1">
      <c r="A110" s="28" t="n"/>
      <c r="B110" s="28" t="n"/>
      <c r="C110" s="30" t="n"/>
      <c r="D110" s="20" t="n"/>
      <c r="E110" s="21" t="n"/>
      <c r="F110" s="28" t="n"/>
      <c r="G110" s="31" t="n"/>
      <c r="H110" s="20" t="n"/>
      <c r="I110" s="20" t="n"/>
      <c r="J110" s="21" t="n"/>
    </row>
    <row r="111" ht="18" customHeight="1">
      <c r="A111" s="28" t="n"/>
      <c r="B111" s="28" t="n"/>
      <c r="C111" s="30" t="n"/>
      <c r="D111" s="20" t="n"/>
      <c r="E111" s="21" t="n"/>
      <c r="F111" s="28" t="n"/>
      <c r="G111" s="31" t="n"/>
      <c r="H111" s="20" t="n"/>
      <c r="I111" s="20" t="n"/>
      <c r="J111" s="21" t="n"/>
    </row>
    <row r="112" ht="18" customHeight="1">
      <c r="A112" s="28" t="n"/>
      <c r="B112" s="28" t="n"/>
      <c r="C112" s="30" t="n"/>
      <c r="D112" s="20" t="n"/>
      <c r="E112" s="21" t="n"/>
      <c r="F112" s="28" t="n"/>
      <c r="G112" s="31" t="n"/>
      <c r="H112" s="20" t="n"/>
      <c r="I112" s="20" t="n"/>
      <c r="J112" s="21" t="n"/>
    </row>
    <row r="113" ht="18" customHeight="1">
      <c r="A113" s="28" t="n"/>
      <c r="B113" s="28" t="n"/>
      <c r="C113" s="30" t="n"/>
      <c r="D113" s="20" t="n"/>
      <c r="E113" s="21" t="n"/>
      <c r="F113" s="28" t="n"/>
      <c r="G113" s="31" t="n"/>
      <c r="H113" s="20" t="n"/>
      <c r="I113" s="20" t="n"/>
      <c r="J113" s="21" t="n"/>
    </row>
    <row r="114" ht="18" customHeight="1">
      <c r="A114" s="28" t="n"/>
      <c r="B114" s="28" t="n"/>
      <c r="C114" s="30" t="n"/>
      <c r="D114" s="20" t="n"/>
      <c r="E114" s="21" t="n"/>
      <c r="F114" s="28" t="n"/>
      <c r="G114" s="31" t="n"/>
      <c r="H114" s="20" t="n"/>
      <c r="I114" s="20" t="n"/>
      <c r="J114" s="21" t="n"/>
    </row>
    <row r="115" ht="18" customHeight="1">
      <c r="A115" s="28" t="n"/>
      <c r="B115" s="28" t="n"/>
      <c r="C115" s="30" t="n"/>
      <c r="D115" s="20" t="n"/>
      <c r="E115" s="21" t="n"/>
      <c r="F115" s="28" t="n"/>
      <c r="G115" s="31" t="n"/>
      <c r="H115" s="20" t="n"/>
      <c r="I115" s="20" t="n"/>
      <c r="J115" s="21" t="n"/>
    </row>
    <row r="116" ht="18" customHeight="1">
      <c r="A116" s="28" t="n"/>
      <c r="B116" s="28" t="n"/>
      <c r="C116" s="30" t="n"/>
      <c r="D116" s="20" t="n"/>
      <c r="E116" s="21" t="n"/>
      <c r="F116" s="28" t="n"/>
      <c r="G116" s="31" t="n"/>
      <c r="H116" s="20" t="n"/>
      <c r="I116" s="20" t="n"/>
      <c r="J116" s="21" t="n"/>
    </row>
    <row r="117" ht="18" customHeight="1">
      <c r="A117" s="28" t="n"/>
      <c r="B117" s="28" t="n"/>
      <c r="C117" s="30" t="n"/>
      <c r="D117" s="20" t="n"/>
      <c r="E117" s="21" t="n"/>
      <c r="F117" s="28" t="n"/>
      <c r="G117" s="31" t="n"/>
      <c r="H117" s="20" t="n"/>
      <c r="I117" s="20" t="n"/>
      <c r="J117" s="21" t="n"/>
    </row>
    <row r="118" ht="18" customHeight="1">
      <c r="A118" s="28" t="n"/>
      <c r="B118" s="28" t="n"/>
      <c r="C118" s="30" t="n"/>
      <c r="D118" s="20" t="n"/>
      <c r="E118" s="21" t="n"/>
      <c r="F118" s="28" t="n"/>
      <c r="G118" s="31" t="n"/>
      <c r="H118" s="20" t="n"/>
      <c r="I118" s="20" t="n"/>
      <c r="J118" s="21" t="n"/>
    </row>
    <row r="119" ht="18" customHeight="1">
      <c r="A119" s="28" t="n"/>
      <c r="B119" s="28" t="n"/>
      <c r="C119" s="30" t="n"/>
      <c r="D119" s="20" t="n"/>
      <c r="E119" s="21" t="n"/>
      <c r="F119" s="28" t="n"/>
      <c r="G119" s="31" t="n"/>
      <c r="H119" s="20" t="n"/>
      <c r="I119" s="20" t="n"/>
      <c r="J119" s="21" t="n"/>
    </row>
    <row r="120" ht="18" customHeight="1">
      <c r="A120" s="28" t="n"/>
      <c r="B120" s="28" t="n"/>
      <c r="C120" s="30" t="n"/>
      <c r="D120" s="20" t="n"/>
      <c r="E120" s="21" t="n"/>
      <c r="F120" s="28" t="n"/>
      <c r="G120" s="31" t="n"/>
      <c r="H120" s="20" t="n"/>
      <c r="I120" s="20" t="n"/>
      <c r="J120" s="21" t="n"/>
    </row>
    <row r="121" ht="18" customHeight="1">
      <c r="A121" s="28" t="n"/>
      <c r="B121" s="28" t="n"/>
      <c r="C121" s="30" t="n"/>
      <c r="D121" s="20" t="n"/>
      <c r="E121" s="21" t="n"/>
      <c r="F121" s="28" t="n"/>
      <c r="G121" s="31" t="n"/>
      <c r="H121" s="20" t="n"/>
      <c r="I121" s="20" t="n"/>
      <c r="J121" s="21" t="n"/>
    </row>
    <row r="122" ht="18" customHeight="1">
      <c r="A122" s="28" t="n"/>
      <c r="B122" s="28" t="n"/>
      <c r="C122" s="30" t="n"/>
      <c r="D122" s="20" t="n"/>
      <c r="E122" s="21" t="n"/>
      <c r="F122" s="28" t="n"/>
      <c r="G122" s="31" t="n"/>
      <c r="H122" s="20" t="n"/>
      <c r="I122" s="20" t="n"/>
      <c r="J122" s="21" t="n"/>
    </row>
    <row r="124" ht="28" customHeight="1">
      <c r="A124" s="26" t="inlineStr">
        <is>
          <t>«אנשים» = כמה צריך למשימה; ריק = כל הקבוצה. «שמות» מתמלא ע"י השיבוץ ואפשר לתקן ידנית. «מתכון» = מנה מ«מתכונים»; כמה מנות מופרדות ב-; (משימה שמכינה שני סלטים). «עוגן» = האירוע בלו"ז שהמשימה קשורה אליו (ממנו השעה היחסית). הניקוד יושב ב«קבוצות».</t>
        </is>
      </c>
    </row>
  </sheetData>
  <mergeCells count="2">
    <mergeCell ref="A1:J1"/>
    <mergeCell ref="A124:J124"/>
  </mergeCells>
  <dataValidations count="5">
    <dataValidation sqref="A3:A122" showDropDown="0" showInputMessage="0" showErrorMessage="0" allowBlank="1" type="list">
      <formula1>"הכנות שישי,תורנות שישי,תורנות שבת,תורנות מוצ"ש"</formula1>
    </dataValidation>
    <dataValidation sqref="B3:B122" showDropDown="0" showInputMessage="0" showErrorMessage="0" allowBlank="1" type="list">
      <formula1>"חמישי,שישי,שבת,מוצאי שבת"</formula1>
    </dataValidation>
    <dataValidation sqref="D3:D122" showDropDown="0" showInputMessage="0" showErrorMessage="0" allowBlank="1" type="list">
      <formula1>'קבוצות'!$A$3:$A$32</formula1>
    </dataValidation>
    <dataValidation sqref="H3:H122" showDropDown="0" showInputMessage="0" showErrorMessage="0" allowBlank="1" type="list">
      <formula1>'מתכונים'!$B$3:$B$82</formula1>
    </dataValidation>
    <dataValidation sqref="I3:I122" showDropDown="0" showInputMessage="0" showErrorMessage="0" allowBlank="1" type="list">
      <formula1>'לוז'!$C$7:$C$36</formula1>
    </dataValidation>
  </dataValidations>
  <pageMargins left="0.75" right="0.75" top="1" bottom="1" header="0.5" footer="0.5"/>
  <pageSetup paperSize="9" fitToHeight="0" fitToWidth="1"/>
</worksheet>
</file>

<file path=xl/worksheets/sheet4.xml><?xml version="1.0" encoding="utf-8"?>
<worksheet xmlns="http://schemas.openxmlformats.org/spreadsheetml/2006/main">
  <sheetPr>
    <tabColor rgb="00E8A33D"/>
    <outlinePr summaryBelow="1" summaryRight="1"/>
    <pageSetUpPr fitToPage="1"/>
  </sheetPr>
  <dimension ref="A1:G34"/>
  <sheetViews>
    <sheetView showGridLines="0" rightToLeft="1" workbookViewId="0">
      <pane ySplit="2" topLeftCell="A3" activePane="bottomLeft" state="frozen"/>
      <selection pane="bottomLeft" activeCell="A1" sqref="A1"/>
    </sheetView>
  </sheetViews>
  <sheetFormatPr baseColWidth="8" defaultRowHeight="15"/>
  <cols>
    <col width="28" customWidth="1" min="1" max="1"/>
    <col width="14" customWidth="1" min="2" max="2"/>
    <col width="8" customWidth="1" min="3" max="3"/>
    <col width="18" customWidth="1" min="4" max="4"/>
    <col width="58" customWidth="1" min="5" max="5"/>
    <col width="8" customWidth="1" min="6" max="6"/>
    <col width="10" customWidth="1" min="7" max="7"/>
  </cols>
  <sheetData>
    <row r="1" ht="36" customHeight="1">
      <c r="A1" s="27" t="inlineStr">
        <is>
          <t>קבוצות העבודה השבת</t>
        </is>
      </c>
    </row>
    <row r="2" ht="24" customHeight="1">
      <c r="A2" s="9" t="inlineStr">
        <is>
          <t>קבוצה</t>
        </is>
      </c>
      <c r="B2" s="9" t="inlineStr">
        <is>
          <t>שלב</t>
        </is>
      </c>
      <c r="C2" s="9" t="inlineStr">
        <is>
          <t>ניקוד</t>
        </is>
      </c>
      <c r="D2" s="9" t="inlineStr">
        <is>
          <t>אחראי/ת</t>
        </is>
      </c>
      <c r="E2" s="9" t="inlineStr">
        <is>
          <t>חניכים</t>
        </is>
      </c>
      <c r="F2" s="9" t="inlineStr">
        <is>
          <t>גודל</t>
        </is>
      </c>
      <c r="G2" s="9" t="inlineStr">
        <is>
          <t>משימות</t>
        </is>
      </c>
    </row>
    <row r="3" ht="30" customHeight="1">
      <c r="A3" s="19" t="inlineStr">
        <is>
          <t>ארוחת צהריים שישי</t>
        </is>
      </c>
      <c r="B3" s="28" t="inlineStr">
        <is>
          <t>הכנות שישי</t>
        </is>
      </c>
      <c r="C3" s="28" t="n">
        <v>3</v>
      </c>
      <c r="D3" s="34" t="n"/>
      <c r="E3" s="31" t="n"/>
      <c r="F3" s="23">
        <f>IF(E3="","",LEN(E3)-LEN(SUBSTITUTE(E3,",",""))+1)</f>
        <v/>
      </c>
      <c r="G3" s="23">
        <f>IF(A3="","",COUNTIF('משימות'!$D$3:$D$122,A3))</f>
        <v/>
      </c>
    </row>
    <row r="4" ht="30" customHeight="1">
      <c r="A4" s="19" t="inlineStr">
        <is>
          <t>בית מדרש</t>
        </is>
      </c>
      <c r="B4" s="28" t="inlineStr">
        <is>
          <t>תורנות שישי</t>
        </is>
      </c>
      <c r="C4" s="28" t="n">
        <v>3</v>
      </c>
      <c r="D4" s="34" t="n"/>
      <c r="E4" s="31" t="n"/>
      <c r="F4" s="23">
        <f>IF(E4="","",LEN(E4)-LEN(SUBSTITUTE(E4,",",""))+1)</f>
        <v/>
      </c>
      <c r="G4" s="23">
        <f>IF(A4="","",COUNTIF('משימות'!$D$3:$D$122,A4))</f>
        <v/>
      </c>
    </row>
    <row r="5" ht="30" customHeight="1">
      <c r="A5" s="19" t="inlineStr">
        <is>
          <t>ניקיון חדר האוכל בשישי</t>
        </is>
      </c>
      <c r="B5" s="28" t="inlineStr">
        <is>
          <t>תורנות שישי</t>
        </is>
      </c>
      <c r="C5" s="28" t="n">
        <v>3</v>
      </c>
      <c r="D5" s="34" t="n"/>
      <c r="E5" s="31" t="n"/>
      <c r="F5" s="23">
        <f>IF(E5="","",LEN(E5)-LEN(SUBSTITUTE(E5,",",""))+1)</f>
        <v/>
      </c>
      <c r="G5" s="23">
        <f>IF(A5="","",COUNTIF('משימות'!$D$3:$D$122,A5))</f>
        <v/>
      </c>
    </row>
    <row r="6" ht="30" customHeight="1">
      <c r="A6" s="19" t="inlineStr">
        <is>
          <t>גסטרונומים</t>
        </is>
      </c>
      <c r="B6" s="28" t="inlineStr">
        <is>
          <t>תורנות שבת</t>
        </is>
      </c>
      <c r="C6" s="28" t="n">
        <v>2</v>
      </c>
      <c r="D6" s="34" t="n"/>
      <c r="E6" s="31" t="n"/>
      <c r="F6" s="23">
        <f>IF(E6="","",LEN(E6)-LEN(SUBSTITUTE(E6,",",""))+1)</f>
        <v/>
      </c>
      <c r="G6" s="23">
        <f>IF(A6="","",COUNTIF('משימות'!$D$3:$D$122,A6))</f>
        <v/>
      </c>
    </row>
    <row r="7" ht="30" customHeight="1">
      <c r="A7" s="19" t="inlineStr">
        <is>
          <t>ארוחת ערב</t>
        </is>
      </c>
      <c r="B7" s="28" t="inlineStr">
        <is>
          <t>תורנות שבת</t>
        </is>
      </c>
      <c r="C7" s="28" t="n">
        <v>2</v>
      </c>
      <c r="D7" s="34" t="n"/>
      <c r="E7" s="31" t="n"/>
      <c r="F7" s="23">
        <f>IF(E7="","",LEN(E7)-LEN(SUBSTITUTE(E7,",",""))+1)</f>
        <v/>
      </c>
      <c r="G7" s="23">
        <f>IF(A7="","",COUNTIF('משימות'!$D$3:$D$122,A7))</f>
        <v/>
      </c>
    </row>
    <row r="8" ht="30" customHeight="1">
      <c r="A8" s="19" t="inlineStr">
        <is>
          <t>פינוי ארוחת ערב</t>
        </is>
      </c>
      <c r="B8" s="28" t="inlineStr">
        <is>
          <t>תורנות שבת</t>
        </is>
      </c>
      <c r="C8" s="28" t="n">
        <v>2</v>
      </c>
      <c r="D8" s="34" t="n"/>
      <c r="E8" s="31" t="n"/>
      <c r="F8" s="23">
        <f>IF(E8="","",LEN(E8)-LEN(SUBSTITUTE(E8,",",""))+1)</f>
        <v/>
      </c>
      <c r="G8" s="23">
        <f>IF(A8="","",COUNTIF('משימות'!$D$3:$D$122,A8))</f>
        <v/>
      </c>
    </row>
    <row r="9" ht="30" customHeight="1">
      <c r="A9" s="19" t="inlineStr">
        <is>
          <t>טיש</t>
        </is>
      </c>
      <c r="B9" s="28" t="inlineStr">
        <is>
          <t>תורנות שבת</t>
        </is>
      </c>
      <c r="C9" s="28" t="n">
        <v>1</v>
      </c>
      <c r="D9" s="34" t="n"/>
      <c r="E9" s="31" t="n"/>
      <c r="F9" s="23">
        <f>IF(E9="","",LEN(E9)-LEN(SUBSTITUTE(E9,",",""))+1)</f>
        <v/>
      </c>
      <c r="G9" s="23">
        <f>IF(A9="","",COUNTIF('משימות'!$D$3:$D$122,A9))</f>
        <v/>
      </c>
    </row>
    <row r="10" ht="30" customHeight="1">
      <c r="A10" s="19" t="inlineStr">
        <is>
          <t>קידוש</t>
        </is>
      </c>
      <c r="B10" s="28" t="inlineStr">
        <is>
          <t>תורנות שבת</t>
        </is>
      </c>
      <c r="C10" s="28" t="n">
        <v>1</v>
      </c>
      <c r="D10" s="34" t="n"/>
      <c r="E10" s="31" t="n"/>
      <c r="F10" s="23">
        <f>IF(E10="","",LEN(E10)-LEN(SUBSTITUTE(E10,",",""))+1)</f>
        <v/>
      </c>
      <c r="G10" s="23">
        <f>IF(A10="","",COUNTIF('משימות'!$D$3:$D$122,A10))</f>
        <v/>
      </c>
    </row>
    <row r="11" ht="30" customHeight="1">
      <c r="A11" s="19" t="inlineStr">
        <is>
          <t>ארוחת צהריים שבת</t>
        </is>
      </c>
      <c r="B11" s="28" t="inlineStr">
        <is>
          <t>תורנות שבת</t>
        </is>
      </c>
      <c r="C11" s="28" t="n">
        <v>2</v>
      </c>
      <c r="D11" s="34" t="n"/>
      <c r="E11" s="31" t="n"/>
      <c r="F11" s="23">
        <f>IF(E11="","",LEN(E11)-LEN(SUBSTITUTE(E11,",",""))+1)</f>
        <v/>
      </c>
      <c r="G11" s="23">
        <f>IF(A11="","",COUNTIF('משימות'!$D$3:$D$122,A11))</f>
        <v/>
      </c>
    </row>
    <row r="12" ht="30" customHeight="1">
      <c r="A12" s="19" t="inlineStr">
        <is>
          <t>פינוי ארוחת צהריים וסעודה שלישית</t>
        </is>
      </c>
      <c r="B12" s="28" t="inlineStr">
        <is>
          <t>תורנות שבת</t>
        </is>
      </c>
      <c r="C12" s="28" t="n">
        <v>2</v>
      </c>
      <c r="D12" s="34" t="n"/>
      <c r="E12" s="31" t="n"/>
      <c r="F12" s="23">
        <f>IF(E12="","",LEN(E12)-LEN(SUBSTITUTE(E12,",",""))+1)</f>
        <v/>
      </c>
      <c r="G12" s="23">
        <f>IF(A12="","",COUNTIF('משימות'!$D$3:$D$122,A12))</f>
        <v/>
      </c>
    </row>
    <row r="13" ht="30" customHeight="1">
      <c r="A13" s="19" t="inlineStr">
        <is>
          <t>ניקיון בית המדרש במוצ"ש</t>
        </is>
      </c>
      <c r="B13" s="28" t="inlineStr">
        <is>
          <t>תורנות מוצ"ש</t>
        </is>
      </c>
      <c r="C13" s="28" t="n">
        <v>2</v>
      </c>
      <c r="D13" s="34" t="n"/>
      <c r="E13" s="31" t="n"/>
      <c r="F13" s="23">
        <f>IF(E13="","",LEN(E13)-LEN(SUBSTITUTE(E13,",",""))+1)</f>
        <v/>
      </c>
      <c r="G13" s="23">
        <f>IF(A13="","",COUNTIF('משימות'!$D$3:$D$122,A13))</f>
        <v/>
      </c>
    </row>
    <row r="14" ht="30" customHeight="1">
      <c r="A14" s="19" t="inlineStr">
        <is>
          <t>ניקיון חדר האוכל במוצ"ש</t>
        </is>
      </c>
      <c r="B14" s="28" t="inlineStr">
        <is>
          <t>תורנות מוצ"ש</t>
        </is>
      </c>
      <c r="C14" s="28" t="n">
        <v>3</v>
      </c>
      <c r="D14" s="34" t="n"/>
      <c r="E14" s="31" t="n"/>
      <c r="F14" s="23">
        <f>IF(E14="","",LEN(E14)-LEN(SUBSTITUTE(E14,",",""))+1)</f>
        <v/>
      </c>
      <c r="G14" s="23">
        <f>IF(A14="","",COUNTIF('משימות'!$D$3:$D$122,A14))</f>
        <v/>
      </c>
    </row>
    <row r="15" ht="30" customHeight="1">
      <c r="A15" s="19" t="inlineStr">
        <is>
          <t>ארוחת ערב מוצ"ש</t>
        </is>
      </c>
      <c r="B15" s="28" t="inlineStr">
        <is>
          <t>תורנות מוצ"ש</t>
        </is>
      </c>
      <c r="C15" s="28" t="n">
        <v>3</v>
      </c>
      <c r="D15" s="34" t="n"/>
      <c r="E15" s="31" t="n"/>
      <c r="F15" s="23">
        <f>IF(E15="","",LEN(E15)-LEN(SUBSTITUTE(E15,",",""))+1)</f>
        <v/>
      </c>
      <c r="G15" s="23">
        <f>IF(A15="","",COUNTIF('משימות'!$D$3:$D$122,A15))</f>
        <v/>
      </c>
    </row>
    <row r="16" ht="18" customHeight="1">
      <c r="A16" s="19" t="n"/>
      <c r="B16" s="28" t="n"/>
      <c r="C16" s="28" t="n"/>
      <c r="D16" s="34" t="n"/>
      <c r="E16" s="31" t="n"/>
      <c r="F16" s="23">
        <f>IF(E16="","",LEN(E16)-LEN(SUBSTITUTE(E16,",",""))+1)</f>
        <v/>
      </c>
      <c r="G16" s="23">
        <f>IF(A16="","",COUNTIF('משימות'!$D$3:$D$122,A16))</f>
        <v/>
      </c>
    </row>
    <row r="17" ht="18" customHeight="1">
      <c r="A17" s="19" t="n"/>
      <c r="B17" s="28" t="n"/>
      <c r="C17" s="28" t="n"/>
      <c r="D17" s="34" t="n"/>
      <c r="E17" s="31" t="n"/>
      <c r="F17" s="23">
        <f>IF(E17="","",LEN(E17)-LEN(SUBSTITUTE(E17,",",""))+1)</f>
        <v/>
      </c>
      <c r="G17" s="23">
        <f>IF(A17="","",COUNTIF('משימות'!$D$3:$D$122,A17))</f>
        <v/>
      </c>
    </row>
    <row r="18" ht="18" customHeight="1">
      <c r="A18" s="19" t="n"/>
      <c r="B18" s="28" t="n"/>
      <c r="C18" s="28" t="n"/>
      <c r="D18" s="34" t="n"/>
      <c r="E18" s="31" t="n"/>
      <c r="F18" s="23">
        <f>IF(E18="","",LEN(E18)-LEN(SUBSTITUTE(E18,",",""))+1)</f>
        <v/>
      </c>
      <c r="G18" s="23">
        <f>IF(A18="","",COUNTIF('משימות'!$D$3:$D$122,A18))</f>
        <v/>
      </c>
    </row>
    <row r="19" ht="18" customHeight="1">
      <c r="A19" s="19" t="n"/>
      <c r="B19" s="28" t="n"/>
      <c r="C19" s="28" t="n"/>
      <c r="D19" s="34" t="n"/>
      <c r="E19" s="31" t="n"/>
      <c r="F19" s="23">
        <f>IF(E19="","",LEN(E19)-LEN(SUBSTITUTE(E19,",",""))+1)</f>
        <v/>
      </c>
      <c r="G19" s="23">
        <f>IF(A19="","",COUNTIF('משימות'!$D$3:$D$122,A19))</f>
        <v/>
      </c>
    </row>
    <row r="20" ht="18" customHeight="1">
      <c r="A20" s="19" t="n"/>
      <c r="B20" s="28" t="n"/>
      <c r="C20" s="28" t="n"/>
      <c r="D20" s="34" t="n"/>
      <c r="E20" s="31" t="n"/>
      <c r="F20" s="23">
        <f>IF(E20="","",LEN(E20)-LEN(SUBSTITUTE(E20,",",""))+1)</f>
        <v/>
      </c>
      <c r="G20" s="23">
        <f>IF(A20="","",COUNTIF('משימות'!$D$3:$D$122,A20))</f>
        <v/>
      </c>
    </row>
    <row r="21" ht="18" customHeight="1">
      <c r="A21" s="19" t="n"/>
      <c r="B21" s="28" t="n"/>
      <c r="C21" s="28" t="n"/>
      <c r="D21" s="34" t="n"/>
      <c r="E21" s="31" t="n"/>
      <c r="F21" s="23">
        <f>IF(E21="","",LEN(E21)-LEN(SUBSTITUTE(E21,",",""))+1)</f>
        <v/>
      </c>
      <c r="G21" s="23">
        <f>IF(A21="","",COUNTIF('משימות'!$D$3:$D$122,A21))</f>
        <v/>
      </c>
    </row>
    <row r="22" ht="18" customHeight="1">
      <c r="A22" s="19" t="n"/>
      <c r="B22" s="28" t="n"/>
      <c r="C22" s="28" t="n"/>
      <c r="D22" s="34" t="n"/>
      <c r="E22" s="31" t="n"/>
      <c r="F22" s="23">
        <f>IF(E22="","",LEN(E22)-LEN(SUBSTITUTE(E22,",",""))+1)</f>
        <v/>
      </c>
      <c r="G22" s="23">
        <f>IF(A22="","",COUNTIF('משימות'!$D$3:$D$122,A22))</f>
        <v/>
      </c>
    </row>
    <row r="23" ht="18" customHeight="1">
      <c r="A23" s="19" t="n"/>
      <c r="B23" s="28" t="n"/>
      <c r="C23" s="28" t="n"/>
      <c r="D23" s="34" t="n"/>
      <c r="E23" s="31" t="n"/>
      <c r="F23" s="23">
        <f>IF(E23="","",LEN(E23)-LEN(SUBSTITUTE(E23,",",""))+1)</f>
        <v/>
      </c>
      <c r="G23" s="23">
        <f>IF(A23="","",COUNTIF('משימות'!$D$3:$D$122,A23))</f>
        <v/>
      </c>
    </row>
    <row r="24" ht="18" customHeight="1">
      <c r="A24" s="19" t="n"/>
      <c r="B24" s="28" t="n"/>
      <c r="C24" s="28" t="n"/>
      <c r="D24" s="34" t="n"/>
      <c r="E24" s="31" t="n"/>
      <c r="F24" s="23">
        <f>IF(E24="","",LEN(E24)-LEN(SUBSTITUTE(E24,",",""))+1)</f>
        <v/>
      </c>
      <c r="G24" s="23">
        <f>IF(A24="","",COUNTIF('משימות'!$D$3:$D$122,A24))</f>
        <v/>
      </c>
    </row>
    <row r="25" ht="18" customHeight="1">
      <c r="A25" s="19" t="n"/>
      <c r="B25" s="28" t="n"/>
      <c r="C25" s="28" t="n"/>
      <c r="D25" s="34" t="n"/>
      <c r="E25" s="31" t="n"/>
      <c r="F25" s="23">
        <f>IF(E25="","",LEN(E25)-LEN(SUBSTITUTE(E25,",",""))+1)</f>
        <v/>
      </c>
      <c r="G25" s="23">
        <f>IF(A25="","",COUNTIF('משימות'!$D$3:$D$122,A25))</f>
        <v/>
      </c>
    </row>
    <row r="26" ht="18" customHeight="1">
      <c r="A26" s="19" t="n"/>
      <c r="B26" s="28" t="n"/>
      <c r="C26" s="28" t="n"/>
      <c r="D26" s="34" t="n"/>
      <c r="E26" s="31" t="n"/>
      <c r="F26" s="23">
        <f>IF(E26="","",LEN(E26)-LEN(SUBSTITUTE(E26,",",""))+1)</f>
        <v/>
      </c>
      <c r="G26" s="23">
        <f>IF(A26="","",COUNTIF('משימות'!$D$3:$D$122,A26))</f>
        <v/>
      </c>
    </row>
    <row r="27" ht="18" customHeight="1">
      <c r="A27" s="19" t="n"/>
      <c r="B27" s="28" t="n"/>
      <c r="C27" s="28" t="n"/>
      <c r="D27" s="34" t="n"/>
      <c r="E27" s="31" t="n"/>
      <c r="F27" s="23">
        <f>IF(E27="","",LEN(E27)-LEN(SUBSTITUTE(E27,",",""))+1)</f>
        <v/>
      </c>
      <c r="G27" s="23">
        <f>IF(A27="","",COUNTIF('משימות'!$D$3:$D$122,A27))</f>
        <v/>
      </c>
    </row>
    <row r="28" ht="18" customHeight="1">
      <c r="A28" s="19" t="n"/>
      <c r="B28" s="28" t="n"/>
      <c r="C28" s="28" t="n"/>
      <c r="D28" s="34" t="n"/>
      <c r="E28" s="31" t="n"/>
      <c r="F28" s="23">
        <f>IF(E28="","",LEN(E28)-LEN(SUBSTITUTE(E28,",",""))+1)</f>
        <v/>
      </c>
      <c r="G28" s="23">
        <f>IF(A28="","",COUNTIF('משימות'!$D$3:$D$122,A28))</f>
        <v/>
      </c>
    </row>
    <row r="29" ht="18" customHeight="1">
      <c r="A29" s="19" t="n"/>
      <c r="B29" s="28" t="n"/>
      <c r="C29" s="28" t="n"/>
      <c r="D29" s="34" t="n"/>
      <c r="E29" s="31" t="n"/>
      <c r="F29" s="23">
        <f>IF(E29="","",LEN(E29)-LEN(SUBSTITUTE(E29,",",""))+1)</f>
        <v/>
      </c>
      <c r="G29" s="23">
        <f>IF(A29="","",COUNTIF('משימות'!$D$3:$D$122,A29))</f>
        <v/>
      </c>
    </row>
    <row r="30" ht="18" customHeight="1">
      <c r="A30" s="19" t="n"/>
      <c r="B30" s="28" t="n"/>
      <c r="C30" s="28" t="n"/>
      <c r="D30" s="34" t="n"/>
      <c r="E30" s="31" t="n"/>
      <c r="F30" s="23">
        <f>IF(E30="","",LEN(E30)-LEN(SUBSTITUTE(E30,",",""))+1)</f>
        <v/>
      </c>
      <c r="G30" s="23">
        <f>IF(A30="","",COUNTIF('משימות'!$D$3:$D$122,A30))</f>
        <v/>
      </c>
    </row>
    <row r="31" ht="18" customHeight="1">
      <c r="A31" s="19" t="n"/>
      <c r="B31" s="28" t="n"/>
      <c r="C31" s="28" t="n"/>
      <c r="D31" s="34" t="n"/>
      <c r="E31" s="31" t="n"/>
      <c r="F31" s="23">
        <f>IF(E31="","",LEN(E31)-LEN(SUBSTITUTE(E31,",",""))+1)</f>
        <v/>
      </c>
      <c r="G31" s="23">
        <f>IF(A31="","",COUNTIF('משימות'!$D$3:$D$122,A31))</f>
        <v/>
      </c>
    </row>
    <row r="32" ht="18" customHeight="1">
      <c r="A32" s="19" t="n"/>
      <c r="B32" s="28" t="n"/>
      <c r="C32" s="28" t="n"/>
      <c r="D32" s="34" t="n"/>
      <c r="E32" s="31" t="n"/>
      <c r="F32" s="23">
        <f>IF(E32="","",LEN(E32)-LEN(SUBSTITUTE(E32,",",""))+1)</f>
        <v/>
      </c>
      <c r="G32" s="23">
        <f>IF(A32="","",COUNTIF('משימות'!$D$3:$D$122,A32))</f>
        <v/>
      </c>
    </row>
    <row r="34" ht="28" customHeight="1">
      <c r="A34" s="26" t="inlineStr">
        <is>
          <t>המבנה הקבוע ב-data/group_plan.csv. «ניקוד» = כמה שווה התורנות הזו לחניך (3 הכנות שישי · 2 הכנה ופינוי של ארוחות שבת · 1 טיש וקידוש). «אחראי/ת» ו«חניכים» נכתבים ע"י השיבוץ. פלייר נוצר לכל קבוצה כאן.</t>
        </is>
      </c>
    </row>
  </sheetData>
  <mergeCells count="2">
    <mergeCell ref="A1:G1"/>
    <mergeCell ref="A34:G34"/>
  </mergeCells>
  <dataValidations count="2">
    <dataValidation sqref="B3:B32" showDropDown="0" showInputMessage="0" showErrorMessage="0" allowBlank="1" type="list">
      <formula1>"הכנות שישי,תורנות שישי,תורנות שבת,תורנות מוצ"ש"</formula1>
    </dataValidation>
    <dataValidation sqref="C3:C32" showDropDown="0" showInputMessage="0" showErrorMessage="0" allowBlank="1" type="list">
      <formula1>"1,2,3"</formula1>
    </dataValidation>
  </dataValidations>
  <pageMargins left="0.75" right="0.75" top="1" bottom="1" header="0.5" footer="0.5"/>
  <pageSetup paperSize="9" fitToHeight="0" fitToWidth="1"/>
</worksheet>
</file>

<file path=xl/worksheets/sheet5.xml><?xml version="1.0" encoding="utf-8"?>
<worksheet xmlns="http://schemas.openxmlformats.org/spreadsheetml/2006/main">
  <sheetPr>
    <tabColor rgb="003BA48C"/>
    <outlinePr summaryBelow="1" summaryRight="1"/>
    <pageSetUpPr fitToPage="1"/>
  </sheetPr>
  <dimension ref="A1:I134"/>
  <sheetViews>
    <sheetView showGridLines="0" rightToLeft="1" workbookViewId="0">
      <pane ySplit="2" topLeftCell="A3" activePane="bottomLeft" state="frozen"/>
      <selection pane="bottomLeft" activeCell="A1" sqref="A1"/>
    </sheetView>
  </sheetViews>
  <sheetFormatPr baseColWidth="8" defaultRowHeight="15"/>
  <cols>
    <col width="26" customWidth="1" min="1" max="1"/>
    <col width="10" customWidth="1" min="2" max="2"/>
    <col width="10" customWidth="1" min="3" max="3"/>
    <col width="9" customWidth="1" min="4" max="4"/>
    <col width="42" customWidth="1" min="5" max="5"/>
    <col width="9" customWidth="1" min="6" max="6"/>
    <col width="9" customWidth="1" min="7" max="7"/>
    <col width="9" customWidth="1" min="8" max="8"/>
    <col width="28" customWidth="1" min="9" max="9"/>
  </cols>
  <sheetData>
    <row r="1" ht="36" customHeight="1">
      <c r="A1" s="27" t="inlineStr">
        <is>
          <t>חניכים — מי נמצא, מי בתורנות, וכמה עומס</t>
        </is>
      </c>
    </row>
    <row r="2" ht="24" customHeight="1">
      <c r="A2" s="9" t="inlineStr">
        <is>
          <t>שם</t>
        </is>
      </c>
      <c r="B2" s="9" t="inlineStr">
        <is>
          <t>תוכנית</t>
        </is>
      </c>
      <c r="C2" s="9" t="inlineStr">
        <is>
          <t>חבורה</t>
        </is>
      </c>
      <c r="D2" s="9" t="inlineStr">
        <is>
          <t>זמין/ה</t>
        </is>
      </c>
      <c r="E2" s="9" t="inlineStr">
        <is>
          <t>קבוצות השבת</t>
        </is>
      </c>
      <c r="F2" s="9" t="inlineStr">
        <is>
          <t>משימות השבת</t>
        </is>
      </c>
      <c r="G2" s="9" t="inlineStr">
        <is>
          <t>ניקוד השבת</t>
        </is>
      </c>
      <c r="H2" s="9" t="inlineStr">
        <is>
          <t>ניקוד מצטבר</t>
        </is>
      </c>
      <c r="I2" s="9" t="inlineStr">
        <is>
          <t>הערה</t>
        </is>
      </c>
    </row>
    <row r="3">
      <c r="A3" s="20" t="inlineStr">
        <is>
          <t>ניתאי שלום</t>
        </is>
      </c>
      <c r="B3" s="28" t="inlineStr">
        <is>
          <t>מדרשה</t>
        </is>
      </c>
      <c r="C3" s="35" t="n"/>
      <c r="D3" s="35" t="n"/>
      <c r="E3" s="34" t="n"/>
      <c r="F3" s="23">
        <f>IF(A3="","",COUNTIF('משימות'!$G$3:$G$122,"*"&amp;A3&amp;"*"))</f>
        <v/>
      </c>
      <c r="G3" s="35" t="n"/>
      <c r="H3" s="23">
        <f>IF(A3="","",SUMIF('היסטוריה'!$B$3:$B$3002,A3,'היסטוריה'!$E$3:$E$3002))</f>
        <v/>
      </c>
      <c r="I3" s="34" t="n"/>
    </row>
    <row r="4">
      <c r="A4" s="20" t="inlineStr">
        <is>
          <t>איתן וינסטון</t>
        </is>
      </c>
      <c r="B4" s="28" t="inlineStr">
        <is>
          <t>מדרשה</t>
        </is>
      </c>
      <c r="C4" s="35" t="n"/>
      <c r="D4" s="35" t="n"/>
      <c r="E4" s="34" t="n"/>
      <c r="F4" s="23">
        <f>IF(A4="","",COUNTIF('משימות'!$G$3:$G$122,"*"&amp;A4&amp;"*"))</f>
        <v/>
      </c>
      <c r="G4" s="35" t="n"/>
      <c r="H4" s="23">
        <f>IF(A4="","",SUMIF('היסטוריה'!$B$3:$B$3002,A4,'היסטוריה'!$E$3:$E$3002))</f>
        <v/>
      </c>
      <c r="I4" s="34" t="n"/>
    </row>
    <row r="5">
      <c r="A5" s="20" t="inlineStr">
        <is>
          <t>יובל יצחק</t>
        </is>
      </c>
      <c r="B5" s="28" t="inlineStr">
        <is>
          <t>מדרשה</t>
        </is>
      </c>
      <c r="C5" s="35" t="n"/>
      <c r="D5" s="35" t="n"/>
      <c r="E5" s="34" t="n"/>
      <c r="F5" s="23">
        <f>IF(A5="","",COUNTIF('משימות'!$G$3:$G$122,"*"&amp;A5&amp;"*"))</f>
        <v/>
      </c>
      <c r="G5" s="35" t="n"/>
      <c r="H5" s="23">
        <f>IF(A5="","",SUMIF('היסטוריה'!$B$3:$B$3002,A5,'היסטוריה'!$E$3:$E$3002))</f>
        <v/>
      </c>
      <c r="I5" s="34" t="n"/>
    </row>
    <row r="6">
      <c r="A6" s="20" t="inlineStr">
        <is>
          <t>הילי אלפסי</t>
        </is>
      </c>
      <c r="B6" s="28" t="inlineStr">
        <is>
          <t>מדרשה</t>
        </is>
      </c>
      <c r="C6" s="35" t="n"/>
      <c r="D6" s="35" t="n"/>
      <c r="E6" s="34" t="n"/>
      <c r="F6" s="23">
        <f>IF(A6="","",COUNTIF('משימות'!$G$3:$G$122,"*"&amp;A6&amp;"*"))</f>
        <v/>
      </c>
      <c r="G6" s="35" t="n"/>
      <c r="H6" s="23">
        <f>IF(A6="","",SUMIF('היסטוריה'!$B$3:$B$3002,A6,'היסטוריה'!$E$3:$E$3002))</f>
        <v/>
      </c>
      <c r="I6" s="34" t="n"/>
    </row>
    <row r="7">
      <c r="A7" s="20" t="inlineStr">
        <is>
          <t>יהב לוי</t>
        </is>
      </c>
      <c r="B7" s="28" t="inlineStr">
        <is>
          <t>מדרשה</t>
        </is>
      </c>
      <c r="C7" s="35" t="n"/>
      <c r="D7" s="35" t="n"/>
      <c r="E7" s="34" t="n"/>
      <c r="F7" s="23">
        <f>IF(A7="","",COUNTIF('משימות'!$G$3:$G$122,"*"&amp;A7&amp;"*"))</f>
        <v/>
      </c>
      <c r="G7" s="35" t="n"/>
      <c r="H7" s="23">
        <f>IF(A7="","",SUMIF('היסטוריה'!$B$3:$B$3002,A7,'היסטוריה'!$E$3:$E$3002))</f>
        <v/>
      </c>
      <c r="I7" s="34" t="n"/>
    </row>
    <row r="8">
      <c r="A8" s="20" t="inlineStr">
        <is>
          <t>שחר קרן</t>
        </is>
      </c>
      <c r="B8" s="28" t="inlineStr">
        <is>
          <t>מדרשה</t>
        </is>
      </c>
      <c r="C8" s="35" t="n"/>
      <c r="D8" s="35" t="n"/>
      <c r="E8" s="34" t="n"/>
      <c r="F8" s="23">
        <f>IF(A8="","",COUNTIF('משימות'!$G$3:$G$122,"*"&amp;A8&amp;"*"))</f>
        <v/>
      </c>
      <c r="G8" s="35" t="n"/>
      <c r="H8" s="23">
        <f>IF(A8="","",SUMIF('היסטוריה'!$B$3:$B$3002,A8,'היסטוריה'!$E$3:$E$3002))</f>
        <v/>
      </c>
      <c r="I8" s="34" t="n"/>
    </row>
    <row r="9">
      <c r="A9" s="20" t="inlineStr">
        <is>
          <t>ירדן בן שחר</t>
        </is>
      </c>
      <c r="B9" s="28" t="inlineStr">
        <is>
          <t>מדרשה</t>
        </is>
      </c>
      <c r="C9" s="35" t="n"/>
      <c r="D9" s="35" t="n"/>
      <c r="E9" s="34" t="n"/>
      <c r="F9" s="23">
        <f>IF(A9="","",COUNTIF('משימות'!$G$3:$G$122,"*"&amp;A9&amp;"*"))</f>
        <v/>
      </c>
      <c r="G9" s="35" t="n"/>
      <c r="H9" s="23">
        <f>IF(A9="","",SUMIF('היסטוריה'!$B$3:$B$3002,A9,'היסטוריה'!$E$3:$E$3002))</f>
        <v/>
      </c>
      <c r="I9" s="34" t="n"/>
    </row>
    <row r="10">
      <c r="A10" s="20" t="inlineStr">
        <is>
          <t>אחיה נחמני</t>
        </is>
      </c>
      <c r="B10" s="28" t="inlineStr">
        <is>
          <t>מדרשה</t>
        </is>
      </c>
      <c r="C10" s="35" t="n"/>
      <c r="D10" s="35" t="n"/>
      <c r="E10" s="34" t="n"/>
      <c r="F10" s="23">
        <f>IF(A10="","",COUNTIF('משימות'!$G$3:$G$122,"*"&amp;A10&amp;"*"))</f>
        <v/>
      </c>
      <c r="G10" s="35" t="n"/>
      <c r="H10" s="23">
        <f>IF(A10="","",SUMIF('היסטוריה'!$B$3:$B$3002,A10,'היסטוריה'!$E$3:$E$3002))</f>
        <v/>
      </c>
      <c r="I10" s="34" t="n"/>
    </row>
    <row r="11">
      <c r="A11" s="20" t="inlineStr">
        <is>
          <t>מעיין יוספי</t>
        </is>
      </c>
      <c r="B11" s="28" t="inlineStr">
        <is>
          <t>מדרשה</t>
        </is>
      </c>
      <c r="C11" s="35" t="n"/>
      <c r="D11" s="35" t="n"/>
      <c r="E11" s="34" t="n"/>
      <c r="F11" s="23">
        <f>IF(A11="","",COUNTIF('משימות'!$G$3:$G$122,"*"&amp;A11&amp;"*"))</f>
        <v/>
      </c>
      <c r="G11" s="35" t="n"/>
      <c r="H11" s="23">
        <f>IF(A11="","",SUMIF('היסטוריה'!$B$3:$B$3002,A11,'היסטוריה'!$E$3:$E$3002))</f>
        <v/>
      </c>
      <c r="I11" s="34" t="n"/>
    </row>
    <row r="12">
      <c r="A12" s="20" t="inlineStr">
        <is>
          <t>עמית סיילס</t>
        </is>
      </c>
      <c r="B12" s="28" t="inlineStr">
        <is>
          <t>מדרשה</t>
        </is>
      </c>
      <c r="C12" s="35" t="n"/>
      <c r="D12" s="35" t="n"/>
      <c r="E12" s="34" t="n"/>
      <c r="F12" s="23">
        <f>IF(A12="","",COUNTIF('משימות'!$G$3:$G$122,"*"&amp;A12&amp;"*"))</f>
        <v/>
      </c>
      <c r="G12" s="35" t="n"/>
      <c r="H12" s="23">
        <f>IF(A12="","",SUMIF('היסטוריה'!$B$3:$B$3002,A12,'היסטוריה'!$E$3:$E$3002))</f>
        <v/>
      </c>
      <c r="I12" s="34" t="n"/>
    </row>
    <row r="13">
      <c r="A13" s="20" t="inlineStr">
        <is>
          <t>אריאלה מרכוס</t>
        </is>
      </c>
      <c r="B13" s="28" t="inlineStr">
        <is>
          <t>מדרשה</t>
        </is>
      </c>
      <c r="C13" s="35" t="n"/>
      <c r="D13" s="35" t="n"/>
      <c r="E13" s="34" t="n"/>
      <c r="F13" s="23">
        <f>IF(A13="","",COUNTIF('משימות'!$G$3:$G$122,"*"&amp;A13&amp;"*"))</f>
        <v/>
      </c>
      <c r="G13" s="35" t="n"/>
      <c r="H13" s="23">
        <f>IF(A13="","",SUMIF('היסטוריה'!$B$3:$B$3002,A13,'היסטוריה'!$E$3:$E$3002))</f>
        <v/>
      </c>
      <c r="I13" s="34" t="n"/>
    </row>
    <row r="14">
      <c r="A14" s="20" t="inlineStr">
        <is>
          <t>משה אוברשטיין</t>
        </is>
      </c>
      <c r="B14" s="28" t="inlineStr">
        <is>
          <t>מדרשה</t>
        </is>
      </c>
      <c r="C14" s="35" t="n"/>
      <c r="D14" s="35" t="n"/>
      <c r="E14" s="34" t="n"/>
      <c r="F14" s="23">
        <f>IF(A14="","",COUNTIF('משימות'!$G$3:$G$122,"*"&amp;A14&amp;"*"))</f>
        <v/>
      </c>
      <c r="G14" s="35" t="n"/>
      <c r="H14" s="23">
        <f>IF(A14="","",SUMIF('היסטוריה'!$B$3:$B$3002,A14,'היסטוריה'!$E$3:$E$3002))</f>
        <v/>
      </c>
      <c r="I14" s="34" t="n"/>
    </row>
    <row r="15">
      <c r="A15" s="20" t="inlineStr">
        <is>
          <t>אוריה תעשה</t>
        </is>
      </c>
      <c r="B15" s="28" t="inlineStr">
        <is>
          <t>מדרשה</t>
        </is>
      </c>
      <c r="C15" s="35" t="n"/>
      <c r="D15" s="35" t="n"/>
      <c r="E15" s="34" t="n"/>
      <c r="F15" s="23">
        <f>IF(A15="","",COUNTIF('משימות'!$G$3:$G$122,"*"&amp;A15&amp;"*"))</f>
        <v/>
      </c>
      <c r="G15" s="35" t="n"/>
      <c r="H15" s="23">
        <f>IF(A15="","",SUMIF('היסטוריה'!$B$3:$B$3002,A15,'היסטוריה'!$E$3:$E$3002))</f>
        <v/>
      </c>
      <c r="I15" s="34" t="n"/>
    </row>
    <row r="16">
      <c r="A16" s="20" t="inlineStr">
        <is>
          <t>יונתן לירז</t>
        </is>
      </c>
      <c r="B16" s="28" t="inlineStr">
        <is>
          <t>מדרשה</t>
        </is>
      </c>
      <c r="C16" s="35" t="n"/>
      <c r="D16" s="35" t="n"/>
      <c r="E16" s="34" t="n"/>
      <c r="F16" s="23">
        <f>IF(A16="","",COUNTIF('משימות'!$G$3:$G$122,"*"&amp;A16&amp;"*"))</f>
        <v/>
      </c>
      <c r="G16" s="35" t="n"/>
      <c r="H16" s="23">
        <f>IF(A16="","",SUMIF('היסטוריה'!$B$3:$B$3002,A16,'היסטוריה'!$E$3:$E$3002))</f>
        <v/>
      </c>
      <c r="I16" s="34" t="n"/>
    </row>
    <row r="17">
      <c r="A17" s="20" t="inlineStr">
        <is>
          <t>פנחס אליהו גלוסקין</t>
        </is>
      </c>
      <c r="B17" s="28" t="inlineStr">
        <is>
          <t>מדרשה</t>
        </is>
      </c>
      <c r="C17" s="35" t="n"/>
      <c r="D17" s="35" t="n"/>
      <c r="E17" s="34" t="n"/>
      <c r="F17" s="23">
        <f>IF(A17="","",COUNTIF('משימות'!$G$3:$G$122,"*"&amp;A17&amp;"*"))</f>
        <v/>
      </c>
      <c r="G17" s="35" t="n"/>
      <c r="H17" s="23">
        <f>IF(A17="","",SUMIF('היסטוריה'!$B$3:$B$3002,A17,'היסטוריה'!$E$3:$E$3002))</f>
        <v/>
      </c>
      <c r="I17" s="34" t="n"/>
    </row>
    <row r="18">
      <c r="A18" s="20" t="inlineStr">
        <is>
          <t>נדב טוקר</t>
        </is>
      </c>
      <c r="B18" s="28" t="inlineStr">
        <is>
          <t>מדרשה</t>
        </is>
      </c>
      <c r="C18" s="35" t="n"/>
      <c r="D18" s="35" t="n"/>
      <c r="E18" s="34" t="n"/>
      <c r="F18" s="23">
        <f>IF(A18="","",COUNTIF('משימות'!$G$3:$G$122,"*"&amp;A18&amp;"*"))</f>
        <v/>
      </c>
      <c r="G18" s="35" t="n"/>
      <c r="H18" s="23">
        <f>IF(A18="","",SUMIF('היסטוריה'!$B$3:$B$3002,A18,'היסטוריה'!$E$3:$E$3002))</f>
        <v/>
      </c>
      <c r="I18" s="34" t="n"/>
    </row>
    <row r="19">
      <c r="A19" s="20" t="inlineStr">
        <is>
          <t>הדר עמדי</t>
        </is>
      </c>
      <c r="B19" s="28" t="inlineStr">
        <is>
          <t>מדרשה</t>
        </is>
      </c>
      <c r="C19" s="35" t="n"/>
      <c r="D19" s="35" t="n"/>
      <c r="E19" s="34" t="n"/>
      <c r="F19" s="23">
        <f>IF(A19="","",COUNTIF('משימות'!$G$3:$G$122,"*"&amp;A19&amp;"*"))</f>
        <v/>
      </c>
      <c r="G19" s="35" t="n"/>
      <c r="H19" s="23">
        <f>IF(A19="","",SUMIF('היסטוריה'!$B$3:$B$3002,A19,'היסטוריה'!$E$3:$E$3002))</f>
        <v/>
      </c>
      <c r="I19" s="34" t="n"/>
    </row>
    <row r="20">
      <c r="A20" s="20" t="inlineStr">
        <is>
          <t>יואב אוחנה</t>
        </is>
      </c>
      <c r="B20" s="28" t="inlineStr">
        <is>
          <t>מדרשה</t>
        </is>
      </c>
      <c r="C20" s="35" t="n"/>
      <c r="D20" s="35" t="n"/>
      <c r="E20" s="34" t="n"/>
      <c r="F20" s="23">
        <f>IF(A20="","",COUNTIF('משימות'!$G$3:$G$122,"*"&amp;A20&amp;"*"))</f>
        <v/>
      </c>
      <c r="G20" s="35" t="n"/>
      <c r="H20" s="23">
        <f>IF(A20="","",SUMIF('היסטוריה'!$B$3:$B$3002,A20,'היסטוריה'!$E$3:$E$3002))</f>
        <v/>
      </c>
      <c r="I20" s="34" t="n"/>
    </row>
    <row r="21">
      <c r="A21" s="20" t="inlineStr">
        <is>
          <t>עופר בביוף</t>
        </is>
      </c>
      <c r="B21" s="28" t="inlineStr">
        <is>
          <t>מדרשה</t>
        </is>
      </c>
      <c r="C21" s="35" t="n"/>
      <c r="D21" s="35" t="n"/>
      <c r="E21" s="34" t="n"/>
      <c r="F21" s="23">
        <f>IF(A21="","",COUNTIF('משימות'!$G$3:$G$122,"*"&amp;A21&amp;"*"))</f>
        <v/>
      </c>
      <c r="G21" s="35" t="n"/>
      <c r="H21" s="23">
        <f>IF(A21="","",SUMIF('היסטוריה'!$B$3:$B$3002,A21,'היסטוריה'!$E$3:$E$3002))</f>
        <v/>
      </c>
      <c r="I21" s="34" t="n"/>
    </row>
    <row r="22">
      <c r="A22" s="20" t="inlineStr">
        <is>
          <t>הילה עזרא</t>
        </is>
      </c>
      <c r="B22" s="28" t="inlineStr">
        <is>
          <t>מדרשה</t>
        </is>
      </c>
      <c r="C22" s="35" t="n"/>
      <c r="D22" s="35" t="n"/>
      <c r="E22" s="34" t="n"/>
      <c r="F22" s="23">
        <f>IF(A22="","",COUNTIF('משימות'!$G$3:$G$122,"*"&amp;A22&amp;"*"))</f>
        <v/>
      </c>
      <c r="G22" s="35" t="n"/>
      <c r="H22" s="23">
        <f>IF(A22="","",SUMIF('היסטוריה'!$B$3:$B$3002,A22,'היסטוריה'!$E$3:$E$3002))</f>
        <v/>
      </c>
      <c r="I22" s="34" t="n"/>
    </row>
    <row r="23">
      <c r="A23" s="20" t="inlineStr">
        <is>
          <t>בניה מעוז</t>
        </is>
      </c>
      <c r="B23" s="28" t="inlineStr">
        <is>
          <t>מדרשה</t>
        </is>
      </c>
      <c r="C23" s="35" t="n"/>
      <c r="D23" s="35" t="n"/>
      <c r="E23" s="34" t="n"/>
      <c r="F23" s="23">
        <f>IF(A23="","",COUNTIF('משימות'!$G$3:$G$122,"*"&amp;A23&amp;"*"))</f>
        <v/>
      </c>
      <c r="G23" s="35" t="n"/>
      <c r="H23" s="23">
        <f>IF(A23="","",SUMIF('היסטוריה'!$B$3:$B$3002,A23,'היסטוריה'!$E$3:$E$3002))</f>
        <v/>
      </c>
      <c r="I23" s="34" t="n"/>
    </row>
    <row r="24">
      <c r="A24" s="20" t="inlineStr">
        <is>
          <t>שחר מרקוביץ' גליק</t>
        </is>
      </c>
      <c r="B24" s="28" t="inlineStr">
        <is>
          <t>מדרשה</t>
        </is>
      </c>
      <c r="C24" s="35" t="n"/>
      <c r="D24" s="35" t="n"/>
      <c r="E24" s="34" t="n"/>
      <c r="F24" s="23">
        <f>IF(A24="","",COUNTIF('משימות'!$G$3:$G$122,"*"&amp;A24&amp;"*"))</f>
        <v/>
      </c>
      <c r="G24" s="35" t="n"/>
      <c r="H24" s="23">
        <f>IF(A24="","",SUMIF('היסטוריה'!$B$3:$B$3002,A24,'היסטוריה'!$E$3:$E$3002))</f>
        <v/>
      </c>
      <c r="I24" s="34" t="n"/>
    </row>
    <row r="25">
      <c r="A25" s="20" t="inlineStr">
        <is>
          <t>חיים שמאי</t>
        </is>
      </c>
      <c r="B25" s="28" t="inlineStr">
        <is>
          <t>מדרשה</t>
        </is>
      </c>
      <c r="C25" s="35" t="n"/>
      <c r="D25" s="35" t="n"/>
      <c r="E25" s="34" t="n"/>
      <c r="F25" s="23">
        <f>IF(A25="","",COUNTIF('משימות'!$G$3:$G$122,"*"&amp;A25&amp;"*"))</f>
        <v/>
      </c>
      <c r="G25" s="35" t="n"/>
      <c r="H25" s="23">
        <f>IF(A25="","",SUMIF('היסטוריה'!$B$3:$B$3002,A25,'היסטוריה'!$E$3:$E$3002))</f>
        <v/>
      </c>
      <c r="I25" s="34" t="n"/>
    </row>
    <row r="26">
      <c r="A26" s="20" t="inlineStr">
        <is>
          <t>אנה עזריאל</t>
        </is>
      </c>
      <c r="B26" s="28" t="inlineStr">
        <is>
          <t>מדרשה</t>
        </is>
      </c>
      <c r="C26" s="35" t="n"/>
      <c r="D26" s="35" t="n"/>
      <c r="E26" s="34" t="n"/>
      <c r="F26" s="23">
        <f>IF(A26="","",COUNTIF('משימות'!$G$3:$G$122,"*"&amp;A26&amp;"*"))</f>
        <v/>
      </c>
      <c r="G26" s="35" t="n"/>
      <c r="H26" s="23">
        <f>IF(A26="","",SUMIF('היסטוריה'!$B$3:$B$3002,A26,'היסטוריה'!$E$3:$E$3002))</f>
        <v/>
      </c>
      <c r="I26" s="34" t="n"/>
    </row>
    <row r="27">
      <c r="A27" s="20" t="inlineStr">
        <is>
          <t>אלרואי גרינברג</t>
        </is>
      </c>
      <c r="B27" s="28" t="inlineStr">
        <is>
          <t>מדרשה</t>
        </is>
      </c>
      <c r="C27" s="35" t="n"/>
      <c r="D27" s="35" t="n"/>
      <c r="E27" s="34" t="n"/>
      <c r="F27" s="23">
        <f>IF(A27="","",COUNTIF('משימות'!$G$3:$G$122,"*"&amp;A27&amp;"*"))</f>
        <v/>
      </c>
      <c r="G27" s="35" t="n"/>
      <c r="H27" s="23">
        <f>IF(A27="","",SUMIF('היסטוריה'!$B$3:$B$3002,A27,'היסטוריה'!$E$3:$E$3002))</f>
        <v/>
      </c>
      <c r="I27" s="34" t="n"/>
    </row>
    <row r="28">
      <c r="A28" s="20" t="inlineStr">
        <is>
          <t>אלה גוטליב</t>
        </is>
      </c>
      <c r="B28" s="28" t="inlineStr">
        <is>
          <t>מדרשה</t>
        </is>
      </c>
      <c r="C28" s="35" t="n"/>
      <c r="D28" s="35" t="n"/>
      <c r="E28" s="34" t="n"/>
      <c r="F28" s="23">
        <f>IF(A28="","",COUNTIF('משימות'!$G$3:$G$122,"*"&amp;A28&amp;"*"))</f>
        <v/>
      </c>
      <c r="G28" s="35" t="n"/>
      <c r="H28" s="23">
        <f>IF(A28="","",SUMIF('היסטוריה'!$B$3:$B$3002,A28,'היסטוריה'!$E$3:$E$3002))</f>
        <v/>
      </c>
      <c r="I28" s="34" t="n"/>
    </row>
    <row r="29">
      <c r="A29" s="20" t="inlineStr">
        <is>
          <t>רותם דרור</t>
        </is>
      </c>
      <c r="B29" s="28" t="inlineStr">
        <is>
          <t>מדרשה</t>
        </is>
      </c>
      <c r="C29" s="35" t="n"/>
      <c r="D29" s="35" t="n"/>
      <c r="E29" s="34" t="n"/>
      <c r="F29" s="23">
        <f>IF(A29="","",COUNTIF('משימות'!$G$3:$G$122,"*"&amp;A29&amp;"*"))</f>
        <v/>
      </c>
      <c r="G29" s="35" t="n"/>
      <c r="H29" s="23">
        <f>IF(A29="","",SUMIF('היסטוריה'!$B$3:$B$3002,A29,'היסטוריה'!$E$3:$E$3002))</f>
        <v/>
      </c>
      <c r="I29" s="34" t="n"/>
    </row>
    <row r="30">
      <c r="A30" s="20" t="inlineStr">
        <is>
          <t>עומר יוסף גנון</t>
        </is>
      </c>
      <c r="B30" s="28" t="inlineStr">
        <is>
          <t>מדרשה</t>
        </is>
      </c>
      <c r="C30" s="35" t="n"/>
      <c r="D30" s="35" t="n"/>
      <c r="E30" s="34" t="n"/>
      <c r="F30" s="23">
        <f>IF(A30="","",COUNTIF('משימות'!$G$3:$G$122,"*"&amp;A30&amp;"*"))</f>
        <v/>
      </c>
      <c r="G30" s="35" t="n"/>
      <c r="H30" s="23">
        <f>IF(A30="","",SUMIF('היסטוריה'!$B$3:$B$3002,A30,'היסטוריה'!$E$3:$E$3002))</f>
        <v/>
      </c>
      <c r="I30" s="34" t="n"/>
    </row>
    <row r="31">
      <c r="A31" s="20" t="inlineStr">
        <is>
          <t>סהר שירון</t>
        </is>
      </c>
      <c r="B31" s="28" t="inlineStr">
        <is>
          <t>מדרשה</t>
        </is>
      </c>
      <c r="C31" s="35" t="n"/>
      <c r="D31" s="35" t="n"/>
      <c r="E31" s="34" t="n"/>
      <c r="F31" s="23">
        <f>IF(A31="","",COUNTIF('משימות'!$G$3:$G$122,"*"&amp;A31&amp;"*"))</f>
        <v/>
      </c>
      <c r="G31" s="35" t="n"/>
      <c r="H31" s="23">
        <f>IF(A31="","",SUMIF('היסטוריה'!$B$3:$B$3002,A31,'היסטוריה'!$E$3:$E$3002))</f>
        <v/>
      </c>
      <c r="I31" s="34" t="n"/>
    </row>
    <row r="32">
      <c r="A32" s="20" t="inlineStr">
        <is>
          <t>שירה ספונוב</t>
        </is>
      </c>
      <c r="B32" s="28" t="inlineStr">
        <is>
          <t>מדרשה</t>
        </is>
      </c>
      <c r="C32" s="35" t="n"/>
      <c r="D32" s="35" t="n"/>
      <c r="E32" s="34" t="n"/>
      <c r="F32" s="23">
        <f>IF(A32="","",COUNTIF('משימות'!$G$3:$G$122,"*"&amp;A32&amp;"*"))</f>
        <v/>
      </c>
      <c r="G32" s="35" t="n"/>
      <c r="H32" s="23">
        <f>IF(A32="","",SUMIF('היסטוריה'!$B$3:$B$3002,A32,'היסטוריה'!$E$3:$E$3002))</f>
        <v/>
      </c>
      <c r="I32" s="34" t="n"/>
    </row>
    <row r="33">
      <c r="A33" s="20" t="inlineStr">
        <is>
          <t>הלל פינגולד</t>
        </is>
      </c>
      <c r="B33" s="28" t="inlineStr">
        <is>
          <t>מדרשה</t>
        </is>
      </c>
      <c r="C33" s="35" t="n"/>
      <c r="D33" s="35" t="n"/>
      <c r="E33" s="34" t="n"/>
      <c r="F33" s="23">
        <f>IF(A33="","",COUNTIF('משימות'!$G$3:$G$122,"*"&amp;A33&amp;"*"))</f>
        <v/>
      </c>
      <c r="G33" s="35" t="n"/>
      <c r="H33" s="23">
        <f>IF(A33="","",SUMIF('היסטוריה'!$B$3:$B$3002,A33,'היסטוריה'!$E$3:$E$3002))</f>
        <v/>
      </c>
      <c r="I33" s="34" t="n"/>
    </row>
    <row r="34">
      <c r="A34" s="20" t="inlineStr">
        <is>
          <t>מעיין רחל דינר</t>
        </is>
      </c>
      <c r="B34" s="28" t="inlineStr">
        <is>
          <t>מדרשה</t>
        </is>
      </c>
      <c r="C34" s="35" t="n"/>
      <c r="D34" s="35" t="n"/>
      <c r="E34" s="34" t="n"/>
      <c r="F34" s="23">
        <f>IF(A34="","",COUNTIF('משימות'!$G$3:$G$122,"*"&amp;A34&amp;"*"))</f>
        <v/>
      </c>
      <c r="G34" s="35" t="n"/>
      <c r="H34" s="23">
        <f>IF(A34="","",SUMIF('היסטוריה'!$B$3:$B$3002,A34,'היסטוריה'!$E$3:$E$3002))</f>
        <v/>
      </c>
      <c r="I34" s="34" t="n"/>
    </row>
    <row r="35">
      <c r="A35" s="20" t="inlineStr">
        <is>
          <t>עמרי קולטון</t>
        </is>
      </c>
      <c r="B35" s="28" t="inlineStr">
        <is>
          <t>מדרשה</t>
        </is>
      </c>
      <c r="C35" s="35" t="n"/>
      <c r="D35" s="35" t="n"/>
      <c r="E35" s="34" t="n"/>
      <c r="F35" s="23">
        <f>IF(A35="","",COUNTIF('משימות'!$G$3:$G$122,"*"&amp;A35&amp;"*"))</f>
        <v/>
      </c>
      <c r="G35" s="35" t="n"/>
      <c r="H35" s="23">
        <f>IF(A35="","",SUMIF('היסטוריה'!$B$3:$B$3002,A35,'היסטוריה'!$E$3:$E$3002))</f>
        <v/>
      </c>
      <c r="I35" s="34" t="n"/>
    </row>
    <row r="36">
      <c r="A36" s="20" t="inlineStr">
        <is>
          <t>נגה חוה כהן</t>
        </is>
      </c>
      <c r="B36" s="28" t="inlineStr">
        <is>
          <t>מדרשה</t>
        </is>
      </c>
      <c r="C36" s="35" t="n"/>
      <c r="D36" s="35" t="n"/>
      <c r="E36" s="34" t="n"/>
      <c r="F36" s="23">
        <f>IF(A36="","",COUNTIF('משימות'!$G$3:$G$122,"*"&amp;A36&amp;"*"))</f>
        <v/>
      </c>
      <c r="G36" s="35" t="n"/>
      <c r="H36" s="23">
        <f>IF(A36="","",SUMIF('היסטוריה'!$B$3:$B$3002,A36,'היסטוריה'!$E$3:$E$3002))</f>
        <v/>
      </c>
      <c r="I36" s="34" t="n"/>
    </row>
    <row r="37">
      <c r="A37" s="20" t="inlineStr">
        <is>
          <t>קובי סמייסון</t>
        </is>
      </c>
      <c r="B37" s="28" t="inlineStr">
        <is>
          <t>מדרשה</t>
        </is>
      </c>
      <c r="C37" s="35" t="n"/>
      <c r="D37" s="35" t="n"/>
      <c r="E37" s="34" t="n"/>
      <c r="F37" s="23">
        <f>IF(A37="","",COUNTIF('משימות'!$G$3:$G$122,"*"&amp;A37&amp;"*"))</f>
        <v/>
      </c>
      <c r="G37" s="35" t="n"/>
      <c r="H37" s="23">
        <f>IF(A37="","",SUMIF('היסטוריה'!$B$3:$B$3002,A37,'היסטוריה'!$E$3:$E$3002))</f>
        <v/>
      </c>
      <c r="I37" s="34" t="n"/>
    </row>
    <row r="38">
      <c r="A38" s="20" t="inlineStr">
        <is>
          <t>נגה שוהם</t>
        </is>
      </c>
      <c r="B38" s="28" t="inlineStr">
        <is>
          <t>מדרשה</t>
        </is>
      </c>
      <c r="C38" s="35" t="n"/>
      <c r="D38" s="35" t="n"/>
      <c r="E38" s="34" t="n"/>
      <c r="F38" s="23">
        <f>IF(A38="","",COUNTIF('משימות'!$G$3:$G$122,"*"&amp;A38&amp;"*"))</f>
        <v/>
      </c>
      <c r="G38" s="35" t="n"/>
      <c r="H38" s="23">
        <f>IF(A38="","",SUMIF('היסטוריה'!$B$3:$B$3002,A38,'היסטוריה'!$E$3:$E$3002))</f>
        <v/>
      </c>
      <c r="I38" s="34" t="n"/>
    </row>
    <row r="39">
      <c r="A39" s="20" t="inlineStr">
        <is>
          <t>ינון לוי</t>
        </is>
      </c>
      <c r="B39" s="28" t="inlineStr">
        <is>
          <t>מדרשה</t>
        </is>
      </c>
      <c r="C39" s="35" t="n"/>
      <c r="D39" s="35" t="n"/>
      <c r="E39" s="34" t="n"/>
      <c r="F39" s="23">
        <f>IF(A39="","",COUNTIF('משימות'!$G$3:$G$122,"*"&amp;A39&amp;"*"))</f>
        <v/>
      </c>
      <c r="G39" s="35" t="n"/>
      <c r="H39" s="23">
        <f>IF(A39="","",SUMIF('היסטוריה'!$B$3:$B$3002,A39,'היסטוריה'!$E$3:$E$3002))</f>
        <v/>
      </c>
      <c r="I39" s="34" t="n"/>
    </row>
    <row r="40">
      <c r="A40" s="20" t="inlineStr">
        <is>
          <t>אלה מאיר</t>
        </is>
      </c>
      <c r="B40" s="28" t="inlineStr">
        <is>
          <t>מדרשה</t>
        </is>
      </c>
      <c r="C40" s="35" t="n"/>
      <c r="D40" s="35" t="n"/>
      <c r="E40" s="34" t="n"/>
      <c r="F40" s="23">
        <f>IF(A40="","",COUNTIF('משימות'!$G$3:$G$122,"*"&amp;A40&amp;"*"))</f>
        <v/>
      </c>
      <c r="G40" s="35" t="n"/>
      <c r="H40" s="23">
        <f>IF(A40="","",SUMIF('היסטוריה'!$B$3:$B$3002,A40,'היסטוריה'!$E$3:$E$3002))</f>
        <v/>
      </c>
      <c r="I40" s="34" t="n"/>
    </row>
    <row r="41">
      <c r="A41" s="20" t="inlineStr">
        <is>
          <t>זואי כהן</t>
        </is>
      </c>
      <c r="B41" s="28" t="inlineStr">
        <is>
          <t>מדרשה</t>
        </is>
      </c>
      <c r="C41" s="35" t="n"/>
      <c r="D41" s="35" t="n"/>
      <c r="E41" s="34" t="n"/>
      <c r="F41" s="23">
        <f>IF(A41="","",COUNTIF('משימות'!$G$3:$G$122,"*"&amp;A41&amp;"*"))</f>
        <v/>
      </c>
      <c r="G41" s="35" t="n"/>
      <c r="H41" s="23">
        <f>IF(A41="","",SUMIF('היסטוריה'!$B$3:$B$3002,A41,'היסטוריה'!$E$3:$E$3002))</f>
        <v/>
      </c>
      <c r="I41" s="34" t="n"/>
    </row>
    <row r="42">
      <c r="A42" s="20" t="inlineStr">
        <is>
          <t>של״ו רובינשטיין</t>
        </is>
      </c>
      <c r="B42" s="28" t="inlineStr">
        <is>
          <t>מדרשה</t>
        </is>
      </c>
      <c r="C42" s="35" t="n"/>
      <c r="D42" s="35" t="n"/>
      <c r="E42" s="34" t="n"/>
      <c r="F42" s="23">
        <f>IF(A42="","",COUNTIF('משימות'!$G$3:$G$122,"*"&amp;A42&amp;"*"))</f>
        <v/>
      </c>
      <c r="G42" s="35" t="n"/>
      <c r="H42" s="23">
        <f>IF(A42="","",SUMIF('היסטוריה'!$B$3:$B$3002,A42,'היסטוריה'!$E$3:$E$3002))</f>
        <v/>
      </c>
      <c r="I42" s="34" t="n"/>
    </row>
    <row r="43">
      <c r="A43" s="20" t="inlineStr">
        <is>
          <t>כליל בלאוקופף</t>
        </is>
      </c>
      <c r="B43" s="28" t="inlineStr">
        <is>
          <t>מדרשה</t>
        </is>
      </c>
      <c r="C43" s="35" t="n"/>
      <c r="D43" s="35" t="n"/>
      <c r="E43" s="34" t="n"/>
      <c r="F43" s="23">
        <f>IF(A43="","",COUNTIF('משימות'!$G$3:$G$122,"*"&amp;A43&amp;"*"))</f>
        <v/>
      </c>
      <c r="G43" s="35" t="n"/>
      <c r="H43" s="23">
        <f>IF(A43="","",SUMIF('היסטוריה'!$B$3:$B$3002,A43,'היסטוריה'!$E$3:$E$3002))</f>
        <v/>
      </c>
      <c r="I43" s="34" t="n"/>
    </row>
    <row r="44">
      <c r="A44" s="20" t="inlineStr">
        <is>
          <t>רוני פרנקל</t>
        </is>
      </c>
      <c r="B44" s="28" t="inlineStr">
        <is>
          <t>מדרשה</t>
        </is>
      </c>
      <c r="C44" s="35" t="n"/>
      <c r="D44" s="35" t="n"/>
      <c r="E44" s="34" t="n"/>
      <c r="F44" s="23">
        <f>IF(A44="","",COUNTIF('משימות'!$G$3:$G$122,"*"&amp;A44&amp;"*"))</f>
        <v/>
      </c>
      <c r="G44" s="35" t="n"/>
      <c r="H44" s="23">
        <f>IF(A44="","",SUMIF('היסטוריה'!$B$3:$B$3002,A44,'היסטוריה'!$E$3:$E$3002))</f>
        <v/>
      </c>
      <c r="I44" s="34" t="n"/>
    </row>
    <row r="45">
      <c r="A45" s="20" t="inlineStr">
        <is>
          <t>נועם גלס</t>
        </is>
      </c>
      <c r="B45" s="28" t="inlineStr">
        <is>
          <t>מדרשה</t>
        </is>
      </c>
      <c r="C45" s="35" t="n"/>
      <c r="D45" s="35" t="n"/>
      <c r="E45" s="34" t="n"/>
      <c r="F45" s="23">
        <f>IF(A45="","",COUNTIF('משימות'!$G$3:$G$122,"*"&amp;A45&amp;"*"))</f>
        <v/>
      </c>
      <c r="G45" s="35" t="n"/>
      <c r="H45" s="23">
        <f>IF(A45="","",SUMIF('היסטוריה'!$B$3:$B$3002,A45,'היסטוריה'!$E$3:$E$3002))</f>
        <v/>
      </c>
      <c r="I45" s="34" t="n"/>
    </row>
    <row r="46">
      <c r="A46" s="20" t="inlineStr">
        <is>
          <t>הילה לביא</t>
        </is>
      </c>
      <c r="B46" s="28" t="inlineStr">
        <is>
          <t>מדרשה</t>
        </is>
      </c>
      <c r="C46" s="35" t="n"/>
      <c r="D46" s="35" t="n"/>
      <c r="E46" s="34" t="n"/>
      <c r="F46" s="23">
        <f>IF(A46="","",COUNTIF('משימות'!$G$3:$G$122,"*"&amp;A46&amp;"*"))</f>
        <v/>
      </c>
      <c r="G46" s="35" t="n"/>
      <c r="H46" s="23">
        <f>IF(A46="","",SUMIF('היסטוריה'!$B$3:$B$3002,A46,'היסטוריה'!$E$3:$E$3002))</f>
        <v/>
      </c>
      <c r="I46" s="34" t="n"/>
    </row>
    <row r="47">
      <c r="A47" s="20" t="inlineStr">
        <is>
          <t>עמית שי אברהם</t>
        </is>
      </c>
      <c r="B47" s="28" t="inlineStr">
        <is>
          <t>מדרשה</t>
        </is>
      </c>
      <c r="C47" s="35" t="n"/>
      <c r="D47" s="35" t="n"/>
      <c r="E47" s="34" t="n"/>
      <c r="F47" s="23">
        <f>IF(A47="","",COUNTIF('משימות'!$G$3:$G$122,"*"&amp;A47&amp;"*"))</f>
        <v/>
      </c>
      <c r="G47" s="35" t="n"/>
      <c r="H47" s="23">
        <f>IF(A47="","",SUMIF('היסטוריה'!$B$3:$B$3002,A47,'היסטוריה'!$E$3:$E$3002))</f>
        <v/>
      </c>
      <c r="I47" s="34" t="n"/>
    </row>
    <row r="48">
      <c r="A48" s="20" t="inlineStr">
        <is>
          <t>תמר פרימור</t>
        </is>
      </c>
      <c r="B48" s="28" t="inlineStr">
        <is>
          <t>מדרשה</t>
        </is>
      </c>
      <c r="C48" s="35" t="n"/>
      <c r="D48" s="35" t="n"/>
      <c r="E48" s="34" t="n"/>
      <c r="F48" s="23">
        <f>IF(A48="","",COUNTIF('משימות'!$G$3:$G$122,"*"&amp;A48&amp;"*"))</f>
        <v/>
      </c>
      <c r="G48" s="35" t="n"/>
      <c r="H48" s="23">
        <f>IF(A48="","",SUMIF('היסטוריה'!$B$3:$B$3002,A48,'היסטוריה'!$E$3:$E$3002))</f>
        <v/>
      </c>
      <c r="I48" s="34" t="n"/>
    </row>
    <row r="49">
      <c r="A49" s="20" t="inlineStr">
        <is>
          <t>נבו בלוך</t>
        </is>
      </c>
      <c r="B49" s="28" t="inlineStr">
        <is>
          <t>מדרשה</t>
        </is>
      </c>
      <c r="C49" s="35" t="n"/>
      <c r="D49" s="35" t="n"/>
      <c r="E49" s="34" t="n"/>
      <c r="F49" s="23">
        <f>IF(A49="","",COUNTIF('משימות'!$G$3:$G$122,"*"&amp;A49&amp;"*"))</f>
        <v/>
      </c>
      <c r="G49" s="35" t="n"/>
      <c r="H49" s="23">
        <f>IF(A49="","",SUMIF('היסטוריה'!$B$3:$B$3002,A49,'היסטוריה'!$E$3:$E$3002))</f>
        <v/>
      </c>
      <c r="I49" s="34" t="n"/>
    </row>
    <row r="50">
      <c r="A50" s="20" t="inlineStr">
        <is>
          <t>ארבל פרנקו</t>
        </is>
      </c>
      <c r="B50" s="28" t="inlineStr">
        <is>
          <t>מדרשה</t>
        </is>
      </c>
      <c r="C50" s="35" t="n"/>
      <c r="D50" s="35" t="n"/>
      <c r="E50" s="34" t="n"/>
      <c r="F50" s="23">
        <f>IF(A50="","",COUNTIF('משימות'!$G$3:$G$122,"*"&amp;A50&amp;"*"))</f>
        <v/>
      </c>
      <c r="G50" s="35" t="n"/>
      <c r="H50" s="23">
        <f>IF(A50="","",SUMIF('היסטוריה'!$B$3:$B$3002,A50,'היסטוריה'!$E$3:$E$3002))</f>
        <v/>
      </c>
      <c r="I50" s="34" t="n"/>
    </row>
    <row r="51">
      <c r="A51" s="20" t="inlineStr">
        <is>
          <t>יעל ברחד</t>
        </is>
      </c>
      <c r="B51" s="28" t="inlineStr">
        <is>
          <t>מדרשה</t>
        </is>
      </c>
      <c r="C51" s="35" t="n"/>
      <c r="D51" s="35" t="n"/>
      <c r="E51" s="34" t="n"/>
      <c r="F51" s="23">
        <f>IF(A51="","",COUNTIF('משימות'!$G$3:$G$122,"*"&amp;A51&amp;"*"))</f>
        <v/>
      </c>
      <c r="G51" s="35" t="n"/>
      <c r="H51" s="23">
        <f>IF(A51="","",SUMIF('היסטוריה'!$B$3:$B$3002,A51,'היסטוריה'!$E$3:$E$3002))</f>
        <v/>
      </c>
      <c r="I51" s="34" t="n"/>
    </row>
    <row r="52">
      <c r="A52" s="20" t="inlineStr">
        <is>
          <t>תמר פרידמן</t>
        </is>
      </c>
      <c r="B52" s="28" t="inlineStr">
        <is>
          <t>מדרשה</t>
        </is>
      </c>
      <c r="C52" s="35" t="n"/>
      <c r="D52" s="35" t="n"/>
      <c r="E52" s="34" t="n"/>
      <c r="F52" s="23">
        <f>IF(A52="","",COUNTIF('משימות'!$G$3:$G$122,"*"&amp;A52&amp;"*"))</f>
        <v/>
      </c>
      <c r="G52" s="35" t="n"/>
      <c r="H52" s="23">
        <f>IF(A52="","",SUMIF('היסטוריה'!$B$3:$B$3002,A52,'היסטוריה'!$E$3:$E$3002))</f>
        <v/>
      </c>
      <c r="I52" s="34" t="n"/>
    </row>
    <row r="53">
      <c r="A53" s="20" t="inlineStr">
        <is>
          <t>יותם ספיר</t>
        </is>
      </c>
      <c r="B53" s="28" t="inlineStr">
        <is>
          <t>מדרשה</t>
        </is>
      </c>
      <c r="C53" s="35" t="n"/>
      <c r="D53" s="35" t="n"/>
      <c r="E53" s="34" t="n"/>
      <c r="F53" s="23">
        <f>IF(A53="","",COUNTIF('משימות'!$G$3:$G$122,"*"&amp;A53&amp;"*"))</f>
        <v/>
      </c>
      <c r="G53" s="35" t="n"/>
      <c r="H53" s="23">
        <f>IF(A53="","",SUMIF('היסטוריה'!$B$3:$B$3002,A53,'היסטוריה'!$E$3:$E$3002))</f>
        <v/>
      </c>
      <c r="I53" s="34" t="n"/>
    </row>
    <row r="54">
      <c r="A54" s="20" t="inlineStr">
        <is>
          <t>איתמר אסנהיים</t>
        </is>
      </c>
      <c r="B54" s="28" t="inlineStr">
        <is>
          <t>מדרשה</t>
        </is>
      </c>
      <c r="C54" s="35" t="n"/>
      <c r="D54" s="35" t="n"/>
      <c r="E54" s="34" t="n"/>
      <c r="F54" s="23">
        <f>IF(A54="","",COUNTIF('משימות'!$G$3:$G$122,"*"&amp;A54&amp;"*"))</f>
        <v/>
      </c>
      <c r="G54" s="35" t="n"/>
      <c r="H54" s="23">
        <f>IF(A54="","",SUMIF('היסטוריה'!$B$3:$B$3002,A54,'היסטוריה'!$E$3:$E$3002))</f>
        <v/>
      </c>
      <c r="I54" s="34" t="n"/>
    </row>
    <row r="55">
      <c r="A55" s="20" t="inlineStr">
        <is>
          <t>שי- לי וולגמוט</t>
        </is>
      </c>
      <c r="B55" s="28" t="inlineStr">
        <is>
          <t>מדרשה</t>
        </is>
      </c>
      <c r="C55" s="35" t="n"/>
      <c r="D55" s="35" t="n"/>
      <c r="E55" s="34" t="n"/>
      <c r="F55" s="23">
        <f>IF(A55="","",COUNTIF('משימות'!$G$3:$G$122,"*"&amp;A55&amp;"*"))</f>
        <v/>
      </c>
      <c r="G55" s="35" t="n"/>
      <c r="H55" s="23">
        <f>IF(A55="","",SUMIF('היסטוריה'!$B$3:$B$3002,A55,'היסטוריה'!$E$3:$E$3002))</f>
        <v/>
      </c>
      <c r="I55" s="34" t="n"/>
    </row>
    <row r="56">
      <c r="A56" s="20" t="inlineStr">
        <is>
          <t>שילת פילפל</t>
        </is>
      </c>
      <c r="B56" s="28" t="inlineStr">
        <is>
          <t>מדרשה</t>
        </is>
      </c>
      <c r="C56" s="35" t="n"/>
      <c r="D56" s="35" t="n"/>
      <c r="E56" s="34" t="n"/>
      <c r="F56" s="23">
        <f>IF(A56="","",COUNTIF('משימות'!$G$3:$G$122,"*"&amp;A56&amp;"*"))</f>
        <v/>
      </c>
      <c r="G56" s="35" t="n"/>
      <c r="H56" s="23">
        <f>IF(A56="","",SUMIF('היסטוריה'!$B$3:$B$3002,A56,'היסטוריה'!$E$3:$E$3002))</f>
        <v/>
      </c>
      <c r="I56" s="34" t="n"/>
    </row>
    <row r="57">
      <c r="A57" s="20" t="inlineStr">
        <is>
          <t>נועם ישראל קומפאס</t>
        </is>
      </c>
      <c r="B57" s="28" t="inlineStr">
        <is>
          <t>מדרשה</t>
        </is>
      </c>
      <c r="C57" s="35" t="n"/>
      <c r="D57" s="35" t="n"/>
      <c r="E57" s="34" t="n"/>
      <c r="F57" s="23">
        <f>IF(A57="","",COUNTIF('משימות'!$G$3:$G$122,"*"&amp;A57&amp;"*"))</f>
        <v/>
      </c>
      <c r="G57" s="35" t="n"/>
      <c r="H57" s="23">
        <f>IF(A57="","",SUMIF('היסטוריה'!$B$3:$B$3002,A57,'היסטוריה'!$E$3:$E$3002))</f>
        <v/>
      </c>
      <c r="I57" s="34" t="n"/>
    </row>
    <row r="58">
      <c r="A58" s="20" t="inlineStr">
        <is>
          <t>רועי צבי סרי</t>
        </is>
      </c>
      <c r="B58" s="28" t="inlineStr">
        <is>
          <t>מדרשה</t>
        </is>
      </c>
      <c r="C58" s="35" t="n"/>
      <c r="D58" s="35" t="n"/>
      <c r="E58" s="34" t="n"/>
      <c r="F58" s="23">
        <f>IF(A58="","",COUNTIF('משימות'!$G$3:$G$122,"*"&amp;A58&amp;"*"))</f>
        <v/>
      </c>
      <c r="G58" s="35" t="n"/>
      <c r="H58" s="23">
        <f>IF(A58="","",SUMIF('היסטוריה'!$B$3:$B$3002,A58,'היסטוריה'!$E$3:$E$3002))</f>
        <v/>
      </c>
      <c r="I58" s="34" t="n"/>
    </row>
    <row r="59">
      <c r="A59" s="20" t="inlineStr">
        <is>
          <t>איתן כהן</t>
        </is>
      </c>
      <c r="B59" s="28" t="inlineStr">
        <is>
          <t>מדרשה</t>
        </is>
      </c>
      <c r="C59" s="35" t="n"/>
      <c r="D59" s="35" t="n"/>
      <c r="E59" s="34" t="n"/>
      <c r="F59" s="23">
        <f>IF(A59="","",COUNTIF('משימות'!$G$3:$G$122,"*"&amp;A59&amp;"*"))</f>
        <v/>
      </c>
      <c r="G59" s="35" t="n"/>
      <c r="H59" s="23">
        <f>IF(A59="","",SUMIF('היסטוריה'!$B$3:$B$3002,A59,'היסטוריה'!$E$3:$E$3002))</f>
        <v/>
      </c>
      <c r="I59" s="34" t="n"/>
    </row>
    <row r="60">
      <c r="A60" s="20" t="inlineStr">
        <is>
          <t>איתי בן מנחם</t>
        </is>
      </c>
      <c r="B60" s="28" t="inlineStr">
        <is>
          <t>מדרשה</t>
        </is>
      </c>
      <c r="C60" s="35" t="n"/>
      <c r="D60" s="35" t="n"/>
      <c r="E60" s="34" t="n"/>
      <c r="F60" s="23">
        <f>IF(A60="","",COUNTIF('משימות'!$G$3:$G$122,"*"&amp;A60&amp;"*"))</f>
        <v/>
      </c>
      <c r="G60" s="35" t="n"/>
      <c r="H60" s="23">
        <f>IF(A60="","",SUMIF('היסטוריה'!$B$3:$B$3002,A60,'היסטוריה'!$E$3:$E$3002))</f>
        <v/>
      </c>
      <c r="I60" s="34" t="n"/>
    </row>
    <row r="61">
      <c r="A61" s="20" t="inlineStr">
        <is>
          <t>טליה קור</t>
        </is>
      </c>
      <c r="B61" s="28" t="inlineStr">
        <is>
          <t>מדרשה</t>
        </is>
      </c>
      <c r="C61" s="35" t="n"/>
      <c r="D61" s="35" t="n"/>
      <c r="E61" s="34" t="n"/>
      <c r="F61" s="23">
        <f>IF(A61="","",COUNTIF('משימות'!$G$3:$G$122,"*"&amp;A61&amp;"*"))</f>
        <v/>
      </c>
      <c r="G61" s="35" t="n"/>
      <c r="H61" s="23">
        <f>IF(A61="","",SUMIF('היסטוריה'!$B$3:$B$3002,A61,'היסטוריה'!$E$3:$E$3002))</f>
        <v/>
      </c>
      <c r="I61" s="34" t="n"/>
    </row>
    <row r="62">
      <c r="A62" s="20" t="inlineStr">
        <is>
          <t>ניצן גמלא</t>
        </is>
      </c>
      <c r="B62" s="28" t="inlineStr">
        <is>
          <t>מדרשה</t>
        </is>
      </c>
      <c r="C62" s="35" t="n"/>
      <c r="D62" s="35" t="n"/>
      <c r="E62" s="34" t="n"/>
      <c r="F62" s="23">
        <f>IF(A62="","",COUNTIF('משימות'!$G$3:$G$122,"*"&amp;A62&amp;"*"))</f>
        <v/>
      </c>
      <c r="G62" s="35" t="n"/>
      <c r="H62" s="23">
        <f>IF(A62="","",SUMIF('היסטוריה'!$B$3:$B$3002,A62,'היסטוריה'!$E$3:$E$3002))</f>
        <v/>
      </c>
      <c r="I62" s="34" t="n"/>
    </row>
    <row r="63">
      <c r="A63" s="20" t="inlineStr">
        <is>
          <t>אביה וייל</t>
        </is>
      </c>
      <c r="B63" s="28" t="inlineStr">
        <is>
          <t>מדרשה</t>
        </is>
      </c>
      <c r="C63" s="35" t="n"/>
      <c r="D63" s="35" t="n"/>
      <c r="E63" s="34" t="n"/>
      <c r="F63" s="23">
        <f>IF(A63="","",COUNTIF('משימות'!$G$3:$G$122,"*"&amp;A63&amp;"*"))</f>
        <v/>
      </c>
      <c r="G63" s="35" t="n"/>
      <c r="H63" s="23">
        <f>IF(A63="","",SUMIF('היסטוריה'!$B$3:$B$3002,A63,'היסטוריה'!$E$3:$E$3002))</f>
        <v/>
      </c>
      <c r="I63" s="34" t="n"/>
    </row>
    <row r="64">
      <c r="A64" s="20" t="inlineStr">
        <is>
          <t>אורי אסף</t>
        </is>
      </c>
      <c r="B64" s="28" t="inlineStr">
        <is>
          <t>מדרשה</t>
        </is>
      </c>
      <c r="C64" s="35" t="n"/>
      <c r="D64" s="35" t="n"/>
      <c r="E64" s="34" t="n"/>
      <c r="F64" s="23">
        <f>IF(A64="","",COUNTIF('משימות'!$G$3:$G$122,"*"&amp;A64&amp;"*"))</f>
        <v/>
      </c>
      <c r="G64" s="35" t="n"/>
      <c r="H64" s="23">
        <f>IF(A64="","",SUMIF('היסטוריה'!$B$3:$B$3002,A64,'היסטוריה'!$E$3:$E$3002))</f>
        <v/>
      </c>
      <c r="I64" s="34" t="n"/>
    </row>
    <row r="65">
      <c r="A65" s="20" t="inlineStr">
        <is>
          <t>יערה ריס</t>
        </is>
      </c>
      <c r="B65" s="28" t="inlineStr">
        <is>
          <t>מדרשה</t>
        </is>
      </c>
      <c r="C65" s="35" t="n"/>
      <c r="D65" s="35" t="n"/>
      <c r="E65" s="34" t="n"/>
      <c r="F65" s="23">
        <f>IF(A65="","",COUNTIF('משימות'!$G$3:$G$122,"*"&amp;A65&amp;"*"))</f>
        <v/>
      </c>
      <c r="G65" s="35" t="n"/>
      <c r="H65" s="23">
        <f>IF(A65="","",SUMIF('היסטוריה'!$B$3:$B$3002,A65,'היסטוריה'!$E$3:$E$3002))</f>
        <v/>
      </c>
      <c r="I65" s="34" t="n"/>
    </row>
    <row r="66">
      <c r="A66" s="20" t="inlineStr">
        <is>
          <t>ליאור שימרלינג</t>
        </is>
      </c>
      <c r="B66" s="28" t="inlineStr">
        <is>
          <t>מדרשה</t>
        </is>
      </c>
      <c r="C66" s="35" t="n"/>
      <c r="D66" s="35" t="n"/>
      <c r="E66" s="34" t="n"/>
      <c r="F66" s="23">
        <f>IF(A66="","",COUNTIF('משימות'!$G$3:$G$122,"*"&amp;A66&amp;"*"))</f>
        <v/>
      </c>
      <c r="G66" s="35" t="n"/>
      <c r="H66" s="23">
        <f>IF(A66="","",SUMIF('היסטוריה'!$B$3:$B$3002,A66,'היסטוריה'!$E$3:$E$3002))</f>
        <v/>
      </c>
      <c r="I66" s="34" t="n"/>
    </row>
    <row r="67">
      <c r="A67" s="20" t="inlineStr">
        <is>
          <t>ליבי בוכריס</t>
        </is>
      </c>
      <c r="B67" s="28" t="inlineStr">
        <is>
          <t>מדרשה</t>
        </is>
      </c>
      <c r="C67" s="35" t="n"/>
      <c r="D67" s="35" t="n"/>
      <c r="E67" s="34" t="n"/>
      <c r="F67" s="23">
        <f>IF(A67="","",COUNTIF('משימות'!$G$3:$G$122,"*"&amp;A67&amp;"*"))</f>
        <v/>
      </c>
      <c r="G67" s="35" t="n"/>
      <c r="H67" s="23">
        <f>IF(A67="","",SUMIF('היסטוריה'!$B$3:$B$3002,A67,'היסטוריה'!$E$3:$E$3002))</f>
        <v/>
      </c>
      <c r="I67" s="34" t="n"/>
    </row>
    <row r="68">
      <c r="A68" s="20" t="inlineStr">
        <is>
          <t>ליעם גבע</t>
        </is>
      </c>
      <c r="B68" s="28" t="inlineStr">
        <is>
          <t>מדרשה</t>
        </is>
      </c>
      <c r="C68" s="35" t="n"/>
      <c r="D68" s="35" t="n"/>
      <c r="E68" s="34" t="n"/>
      <c r="F68" s="23">
        <f>IF(A68="","",COUNTIF('משימות'!$G$3:$G$122,"*"&amp;A68&amp;"*"))</f>
        <v/>
      </c>
      <c r="G68" s="35" t="n"/>
      <c r="H68" s="23">
        <f>IF(A68="","",SUMIF('היסטוריה'!$B$3:$B$3002,A68,'היסטוריה'!$E$3:$E$3002))</f>
        <v/>
      </c>
      <c r="I68" s="34" t="n"/>
    </row>
    <row r="69">
      <c r="A69" s="20" t="inlineStr">
        <is>
          <t>מאיה פקטר</t>
        </is>
      </c>
      <c r="B69" s="28" t="inlineStr">
        <is>
          <t>מדרשה</t>
        </is>
      </c>
      <c r="C69" s="35" t="n"/>
      <c r="D69" s="35" t="n"/>
      <c r="E69" s="34" t="n"/>
      <c r="F69" s="23">
        <f>IF(A69="","",COUNTIF('משימות'!$G$3:$G$122,"*"&amp;A69&amp;"*"))</f>
        <v/>
      </c>
      <c r="G69" s="35" t="n"/>
      <c r="H69" s="23">
        <f>IF(A69="","",SUMIF('היסטוריה'!$B$3:$B$3002,A69,'היסטוריה'!$E$3:$E$3002))</f>
        <v/>
      </c>
      <c r="I69" s="34" t="n"/>
    </row>
    <row r="70">
      <c r="A70" s="20" t="inlineStr">
        <is>
          <t>פרת פולס</t>
        </is>
      </c>
      <c r="B70" s="28" t="inlineStr">
        <is>
          <t>מדרשה</t>
        </is>
      </c>
      <c r="C70" s="35" t="n"/>
      <c r="D70" s="35" t="n"/>
      <c r="E70" s="34" t="n"/>
      <c r="F70" s="23">
        <f>IF(A70="","",COUNTIF('משימות'!$G$3:$G$122,"*"&amp;A70&amp;"*"))</f>
        <v/>
      </c>
      <c r="G70" s="35" t="n"/>
      <c r="H70" s="23">
        <f>IF(A70="","",SUMIF('היסטוריה'!$B$3:$B$3002,A70,'היסטוריה'!$E$3:$E$3002))</f>
        <v/>
      </c>
      <c r="I70" s="34" t="n"/>
    </row>
    <row r="71">
      <c r="A71" s="20" t="inlineStr">
        <is>
          <t>רגב שהם</t>
        </is>
      </c>
      <c r="B71" s="28" t="inlineStr">
        <is>
          <t>מדרשה</t>
        </is>
      </c>
      <c r="C71" s="35" t="n"/>
      <c r="D71" s="35" t="n"/>
      <c r="E71" s="34" t="n"/>
      <c r="F71" s="23">
        <f>IF(A71="","",COUNTIF('משימות'!$G$3:$G$122,"*"&amp;A71&amp;"*"))</f>
        <v/>
      </c>
      <c r="G71" s="35" t="n"/>
      <c r="H71" s="23">
        <f>IF(A71="","",SUMIF('היסטוריה'!$B$3:$B$3002,A71,'היסטוריה'!$E$3:$E$3002))</f>
        <v/>
      </c>
      <c r="I71" s="34" t="n"/>
    </row>
    <row r="72">
      <c r="A72" s="20" t="inlineStr">
        <is>
          <t>רוני כהן</t>
        </is>
      </c>
      <c r="B72" s="28" t="inlineStr">
        <is>
          <t>מדרשה</t>
        </is>
      </c>
      <c r="C72" s="35" t="n"/>
      <c r="D72" s="35" t="n"/>
      <c r="E72" s="34" t="n"/>
      <c r="F72" s="23">
        <f>IF(A72="","",COUNTIF('משימות'!$G$3:$G$122,"*"&amp;A72&amp;"*"))</f>
        <v/>
      </c>
      <c r="G72" s="35" t="n"/>
      <c r="H72" s="23">
        <f>IF(A72="","",SUMIF('היסטוריה'!$B$3:$B$3002,A72,'היסטוריה'!$E$3:$E$3002))</f>
        <v/>
      </c>
      <c r="I72" s="34" t="n"/>
    </row>
    <row r="73">
      <c r="A73" s="20" t="n"/>
      <c r="B73" s="28" t="n"/>
      <c r="C73" s="35" t="n"/>
      <c r="D73" s="35" t="n"/>
      <c r="E73" s="34" t="n"/>
      <c r="F73" s="23">
        <f>IF(A73="","",COUNTIF('משימות'!$G$3:$G$122,"*"&amp;A73&amp;"*"))</f>
        <v/>
      </c>
      <c r="G73" s="35" t="n"/>
      <c r="H73" s="23">
        <f>IF(A73="","",SUMIF('היסטוריה'!$B$3:$B$3002,A73,'היסטוריה'!$E$3:$E$3002))</f>
        <v/>
      </c>
      <c r="I73" s="34" t="n"/>
    </row>
    <row r="74">
      <c r="A74" s="20" t="n"/>
      <c r="B74" s="28" t="n"/>
      <c r="C74" s="35" t="n"/>
      <c r="D74" s="35" t="n"/>
      <c r="E74" s="34" t="n"/>
      <c r="F74" s="23">
        <f>IF(A74="","",COUNTIF('משימות'!$G$3:$G$122,"*"&amp;A74&amp;"*"))</f>
        <v/>
      </c>
      <c r="G74" s="35" t="n"/>
      <c r="H74" s="23">
        <f>IF(A74="","",SUMIF('היסטוריה'!$B$3:$B$3002,A74,'היסטוריה'!$E$3:$E$3002))</f>
        <v/>
      </c>
      <c r="I74" s="34" t="n"/>
    </row>
    <row r="75">
      <c r="A75" s="20" t="n"/>
      <c r="B75" s="28" t="n"/>
      <c r="C75" s="35" t="n"/>
      <c r="D75" s="35" t="n"/>
      <c r="E75" s="34" t="n"/>
      <c r="F75" s="23">
        <f>IF(A75="","",COUNTIF('משימות'!$G$3:$G$122,"*"&amp;A75&amp;"*"))</f>
        <v/>
      </c>
      <c r="G75" s="35" t="n"/>
      <c r="H75" s="23">
        <f>IF(A75="","",SUMIF('היסטוריה'!$B$3:$B$3002,A75,'היסטוריה'!$E$3:$E$3002))</f>
        <v/>
      </c>
      <c r="I75" s="34" t="n"/>
    </row>
    <row r="76">
      <c r="A76" s="20" t="n"/>
      <c r="B76" s="28" t="n"/>
      <c r="C76" s="35" t="n"/>
      <c r="D76" s="35" t="n"/>
      <c r="E76" s="34" t="n"/>
      <c r="F76" s="23">
        <f>IF(A76="","",COUNTIF('משימות'!$G$3:$G$122,"*"&amp;A76&amp;"*"))</f>
        <v/>
      </c>
      <c r="G76" s="35" t="n"/>
      <c r="H76" s="23">
        <f>IF(A76="","",SUMIF('היסטוריה'!$B$3:$B$3002,A76,'היסטוריה'!$E$3:$E$3002))</f>
        <v/>
      </c>
      <c r="I76" s="34" t="n"/>
    </row>
    <row r="77">
      <c r="A77" s="20" t="n"/>
      <c r="B77" s="28" t="n"/>
      <c r="C77" s="35" t="n"/>
      <c r="D77" s="35" t="n"/>
      <c r="E77" s="34" t="n"/>
      <c r="F77" s="23">
        <f>IF(A77="","",COUNTIF('משימות'!$G$3:$G$122,"*"&amp;A77&amp;"*"))</f>
        <v/>
      </c>
      <c r="G77" s="35" t="n"/>
      <c r="H77" s="23">
        <f>IF(A77="","",SUMIF('היסטוריה'!$B$3:$B$3002,A77,'היסטוריה'!$E$3:$E$3002))</f>
        <v/>
      </c>
      <c r="I77" s="34" t="n"/>
    </row>
    <row r="78">
      <c r="A78" s="20" t="n"/>
      <c r="B78" s="28" t="n"/>
      <c r="C78" s="35" t="n"/>
      <c r="D78" s="35" t="n"/>
      <c r="E78" s="34" t="n"/>
      <c r="F78" s="23">
        <f>IF(A78="","",COUNTIF('משימות'!$G$3:$G$122,"*"&amp;A78&amp;"*"))</f>
        <v/>
      </c>
      <c r="G78" s="35" t="n"/>
      <c r="H78" s="23">
        <f>IF(A78="","",SUMIF('היסטוריה'!$B$3:$B$3002,A78,'היסטוריה'!$E$3:$E$3002))</f>
        <v/>
      </c>
      <c r="I78" s="34" t="n"/>
    </row>
    <row r="79">
      <c r="A79" s="20" t="n"/>
      <c r="B79" s="28" t="n"/>
      <c r="C79" s="35" t="n"/>
      <c r="D79" s="35" t="n"/>
      <c r="E79" s="34" t="n"/>
      <c r="F79" s="23">
        <f>IF(A79="","",COUNTIF('משימות'!$G$3:$G$122,"*"&amp;A79&amp;"*"))</f>
        <v/>
      </c>
      <c r="G79" s="35" t="n"/>
      <c r="H79" s="23">
        <f>IF(A79="","",SUMIF('היסטוריה'!$B$3:$B$3002,A79,'היסטוריה'!$E$3:$E$3002))</f>
        <v/>
      </c>
      <c r="I79" s="34" t="n"/>
    </row>
    <row r="80">
      <c r="A80" s="20" t="n"/>
      <c r="B80" s="28" t="n"/>
      <c r="C80" s="35" t="n"/>
      <c r="D80" s="35" t="n"/>
      <c r="E80" s="34" t="n"/>
      <c r="F80" s="23">
        <f>IF(A80="","",COUNTIF('משימות'!$G$3:$G$122,"*"&amp;A80&amp;"*"))</f>
        <v/>
      </c>
      <c r="G80" s="35" t="n"/>
      <c r="H80" s="23">
        <f>IF(A80="","",SUMIF('היסטוריה'!$B$3:$B$3002,A80,'היסטוריה'!$E$3:$E$3002))</f>
        <v/>
      </c>
      <c r="I80" s="34" t="n"/>
    </row>
    <row r="81">
      <c r="A81" s="20" t="n"/>
      <c r="B81" s="28" t="n"/>
      <c r="C81" s="35" t="n"/>
      <c r="D81" s="35" t="n"/>
      <c r="E81" s="34" t="n"/>
      <c r="F81" s="23">
        <f>IF(A81="","",COUNTIF('משימות'!$G$3:$G$122,"*"&amp;A81&amp;"*"))</f>
        <v/>
      </c>
      <c r="G81" s="35" t="n"/>
      <c r="H81" s="23">
        <f>IF(A81="","",SUMIF('היסטוריה'!$B$3:$B$3002,A81,'היסטוריה'!$E$3:$E$3002))</f>
        <v/>
      </c>
      <c r="I81" s="34" t="n"/>
    </row>
    <row r="82">
      <c r="A82" s="20" t="n"/>
      <c r="B82" s="28" t="n"/>
      <c r="C82" s="35" t="n"/>
      <c r="D82" s="35" t="n"/>
      <c r="E82" s="34" t="n"/>
      <c r="F82" s="23">
        <f>IF(A82="","",COUNTIF('משימות'!$G$3:$G$122,"*"&amp;A82&amp;"*"))</f>
        <v/>
      </c>
      <c r="G82" s="35" t="n"/>
      <c r="H82" s="23">
        <f>IF(A82="","",SUMIF('היסטוריה'!$B$3:$B$3002,A82,'היסטוריה'!$E$3:$E$3002))</f>
        <v/>
      </c>
      <c r="I82" s="34" t="n"/>
    </row>
    <row r="83">
      <c r="A83" s="20" t="n"/>
      <c r="B83" s="28" t="n"/>
      <c r="C83" s="35" t="n"/>
      <c r="D83" s="35" t="n"/>
      <c r="E83" s="34" t="n"/>
      <c r="F83" s="23">
        <f>IF(A83="","",COUNTIF('משימות'!$G$3:$G$122,"*"&amp;A83&amp;"*"))</f>
        <v/>
      </c>
      <c r="G83" s="35" t="n"/>
      <c r="H83" s="23">
        <f>IF(A83="","",SUMIF('היסטוריה'!$B$3:$B$3002,A83,'היסטוריה'!$E$3:$E$3002))</f>
        <v/>
      </c>
      <c r="I83" s="34" t="n"/>
    </row>
    <row r="84">
      <c r="A84" s="20" t="n"/>
      <c r="B84" s="28" t="n"/>
      <c r="C84" s="35" t="n"/>
      <c r="D84" s="35" t="n"/>
      <c r="E84" s="34" t="n"/>
      <c r="F84" s="23">
        <f>IF(A84="","",COUNTIF('משימות'!$G$3:$G$122,"*"&amp;A84&amp;"*"))</f>
        <v/>
      </c>
      <c r="G84" s="35" t="n"/>
      <c r="H84" s="23">
        <f>IF(A84="","",SUMIF('היסטוריה'!$B$3:$B$3002,A84,'היסטוריה'!$E$3:$E$3002))</f>
        <v/>
      </c>
      <c r="I84" s="34" t="n"/>
    </row>
    <row r="85">
      <c r="A85" s="20" t="n"/>
      <c r="B85" s="28" t="n"/>
      <c r="C85" s="35" t="n"/>
      <c r="D85" s="35" t="n"/>
      <c r="E85" s="34" t="n"/>
      <c r="F85" s="23">
        <f>IF(A85="","",COUNTIF('משימות'!$G$3:$G$122,"*"&amp;A85&amp;"*"))</f>
        <v/>
      </c>
      <c r="G85" s="35" t="n"/>
      <c r="H85" s="23">
        <f>IF(A85="","",SUMIF('היסטוריה'!$B$3:$B$3002,A85,'היסטוריה'!$E$3:$E$3002))</f>
        <v/>
      </c>
      <c r="I85" s="34" t="n"/>
    </row>
    <row r="86">
      <c r="A86" s="20" t="n"/>
      <c r="B86" s="28" t="n"/>
      <c r="C86" s="35" t="n"/>
      <c r="D86" s="35" t="n"/>
      <c r="E86" s="34" t="n"/>
      <c r="F86" s="23">
        <f>IF(A86="","",COUNTIF('משימות'!$G$3:$G$122,"*"&amp;A86&amp;"*"))</f>
        <v/>
      </c>
      <c r="G86" s="35" t="n"/>
      <c r="H86" s="23">
        <f>IF(A86="","",SUMIF('היסטוריה'!$B$3:$B$3002,A86,'היסטוריה'!$E$3:$E$3002))</f>
        <v/>
      </c>
      <c r="I86" s="34" t="n"/>
    </row>
    <row r="87">
      <c r="A87" s="20" t="n"/>
      <c r="B87" s="28" t="n"/>
      <c r="C87" s="35" t="n"/>
      <c r="D87" s="35" t="n"/>
      <c r="E87" s="34" t="n"/>
      <c r="F87" s="23">
        <f>IF(A87="","",COUNTIF('משימות'!$G$3:$G$122,"*"&amp;A87&amp;"*"))</f>
        <v/>
      </c>
      <c r="G87" s="35" t="n"/>
      <c r="H87" s="23">
        <f>IF(A87="","",SUMIF('היסטוריה'!$B$3:$B$3002,A87,'היסטוריה'!$E$3:$E$3002))</f>
        <v/>
      </c>
      <c r="I87" s="34" t="n"/>
    </row>
    <row r="88">
      <c r="A88" s="20" t="n"/>
      <c r="B88" s="28" t="n"/>
      <c r="C88" s="35" t="n"/>
      <c r="D88" s="35" t="n"/>
      <c r="E88" s="34" t="n"/>
      <c r="F88" s="23">
        <f>IF(A88="","",COUNTIF('משימות'!$G$3:$G$122,"*"&amp;A88&amp;"*"))</f>
        <v/>
      </c>
      <c r="G88" s="35" t="n"/>
      <c r="H88" s="23">
        <f>IF(A88="","",SUMIF('היסטוריה'!$B$3:$B$3002,A88,'היסטוריה'!$E$3:$E$3002))</f>
        <v/>
      </c>
      <c r="I88" s="34" t="n"/>
    </row>
    <row r="89">
      <c r="A89" s="20" t="n"/>
      <c r="B89" s="28" t="n"/>
      <c r="C89" s="35" t="n"/>
      <c r="D89" s="35" t="n"/>
      <c r="E89" s="34" t="n"/>
      <c r="F89" s="23">
        <f>IF(A89="","",COUNTIF('משימות'!$G$3:$G$122,"*"&amp;A89&amp;"*"))</f>
        <v/>
      </c>
      <c r="G89" s="35" t="n"/>
      <c r="H89" s="23">
        <f>IF(A89="","",SUMIF('היסטוריה'!$B$3:$B$3002,A89,'היסטוריה'!$E$3:$E$3002))</f>
        <v/>
      </c>
      <c r="I89" s="34" t="n"/>
    </row>
    <row r="90">
      <c r="A90" s="20" t="n"/>
      <c r="B90" s="28" t="n"/>
      <c r="C90" s="35" t="n"/>
      <c r="D90" s="35" t="n"/>
      <c r="E90" s="34" t="n"/>
      <c r="F90" s="23">
        <f>IF(A90="","",COUNTIF('משימות'!$G$3:$G$122,"*"&amp;A90&amp;"*"))</f>
        <v/>
      </c>
      <c r="G90" s="35" t="n"/>
      <c r="H90" s="23">
        <f>IF(A90="","",SUMIF('היסטוריה'!$B$3:$B$3002,A90,'היסטוריה'!$E$3:$E$3002))</f>
        <v/>
      </c>
      <c r="I90" s="34" t="n"/>
    </row>
    <row r="91">
      <c r="A91" s="20" t="n"/>
      <c r="B91" s="28" t="n"/>
      <c r="C91" s="35" t="n"/>
      <c r="D91" s="35" t="n"/>
      <c r="E91" s="34" t="n"/>
      <c r="F91" s="23">
        <f>IF(A91="","",COUNTIF('משימות'!$G$3:$G$122,"*"&amp;A91&amp;"*"))</f>
        <v/>
      </c>
      <c r="G91" s="35" t="n"/>
      <c r="H91" s="23">
        <f>IF(A91="","",SUMIF('היסטוריה'!$B$3:$B$3002,A91,'היסטוריה'!$E$3:$E$3002))</f>
        <v/>
      </c>
      <c r="I91" s="34" t="n"/>
    </row>
    <row r="92">
      <c r="A92" s="20" t="n"/>
      <c r="B92" s="28" t="n"/>
      <c r="C92" s="35" t="n"/>
      <c r="D92" s="35" t="n"/>
      <c r="E92" s="34" t="n"/>
      <c r="F92" s="23">
        <f>IF(A92="","",COUNTIF('משימות'!$G$3:$G$122,"*"&amp;A92&amp;"*"))</f>
        <v/>
      </c>
      <c r="G92" s="35" t="n"/>
      <c r="H92" s="23">
        <f>IF(A92="","",SUMIF('היסטוריה'!$B$3:$B$3002,A92,'היסטוריה'!$E$3:$E$3002))</f>
        <v/>
      </c>
      <c r="I92" s="34" t="n"/>
    </row>
    <row r="93">
      <c r="A93" s="20" t="n"/>
      <c r="B93" s="28" t="n"/>
      <c r="C93" s="35" t="n"/>
      <c r="D93" s="35" t="n"/>
      <c r="E93" s="34" t="n"/>
      <c r="F93" s="23">
        <f>IF(A93="","",COUNTIF('משימות'!$G$3:$G$122,"*"&amp;A93&amp;"*"))</f>
        <v/>
      </c>
      <c r="G93" s="35" t="n"/>
      <c r="H93" s="23">
        <f>IF(A93="","",SUMIF('היסטוריה'!$B$3:$B$3002,A93,'היסטוריה'!$E$3:$E$3002))</f>
        <v/>
      </c>
      <c r="I93" s="34" t="n"/>
    </row>
    <row r="94">
      <c r="A94" s="20" t="n"/>
      <c r="B94" s="28" t="n"/>
      <c r="C94" s="35" t="n"/>
      <c r="D94" s="35" t="n"/>
      <c r="E94" s="34" t="n"/>
      <c r="F94" s="23">
        <f>IF(A94="","",COUNTIF('משימות'!$G$3:$G$122,"*"&amp;A94&amp;"*"))</f>
        <v/>
      </c>
      <c r="G94" s="35" t="n"/>
      <c r="H94" s="23">
        <f>IF(A94="","",SUMIF('היסטוריה'!$B$3:$B$3002,A94,'היסטוריה'!$E$3:$E$3002))</f>
        <v/>
      </c>
      <c r="I94" s="34" t="n"/>
    </row>
    <row r="95">
      <c r="A95" s="20" t="n"/>
      <c r="B95" s="28" t="n"/>
      <c r="C95" s="35" t="n"/>
      <c r="D95" s="35" t="n"/>
      <c r="E95" s="34" t="n"/>
      <c r="F95" s="23">
        <f>IF(A95="","",COUNTIF('משימות'!$G$3:$G$122,"*"&amp;A95&amp;"*"))</f>
        <v/>
      </c>
      <c r="G95" s="35" t="n"/>
      <c r="H95" s="23">
        <f>IF(A95="","",SUMIF('היסטוריה'!$B$3:$B$3002,A95,'היסטוריה'!$E$3:$E$3002))</f>
        <v/>
      </c>
      <c r="I95" s="34" t="n"/>
    </row>
    <row r="96">
      <c r="A96" s="20" t="n"/>
      <c r="B96" s="28" t="n"/>
      <c r="C96" s="35" t="n"/>
      <c r="D96" s="35" t="n"/>
      <c r="E96" s="34" t="n"/>
      <c r="F96" s="23">
        <f>IF(A96="","",COUNTIF('משימות'!$G$3:$G$122,"*"&amp;A96&amp;"*"))</f>
        <v/>
      </c>
      <c r="G96" s="35" t="n"/>
      <c r="H96" s="23">
        <f>IF(A96="","",SUMIF('היסטוריה'!$B$3:$B$3002,A96,'היסטוריה'!$E$3:$E$3002))</f>
        <v/>
      </c>
      <c r="I96" s="34" t="n"/>
    </row>
    <row r="97">
      <c r="A97" s="20" t="n"/>
      <c r="B97" s="28" t="n"/>
      <c r="C97" s="35" t="n"/>
      <c r="D97" s="35" t="n"/>
      <c r="E97" s="34" t="n"/>
      <c r="F97" s="23">
        <f>IF(A97="","",COUNTIF('משימות'!$G$3:$G$122,"*"&amp;A97&amp;"*"))</f>
        <v/>
      </c>
      <c r="G97" s="35" t="n"/>
      <c r="H97" s="23">
        <f>IF(A97="","",SUMIF('היסטוריה'!$B$3:$B$3002,A97,'היסטוריה'!$E$3:$E$3002))</f>
        <v/>
      </c>
      <c r="I97" s="34" t="n"/>
    </row>
    <row r="98">
      <c r="A98" s="20" t="n"/>
      <c r="B98" s="28" t="n"/>
      <c r="C98" s="35" t="n"/>
      <c r="D98" s="35" t="n"/>
      <c r="E98" s="34" t="n"/>
      <c r="F98" s="23">
        <f>IF(A98="","",COUNTIF('משימות'!$G$3:$G$122,"*"&amp;A98&amp;"*"))</f>
        <v/>
      </c>
      <c r="G98" s="35" t="n"/>
      <c r="H98" s="23">
        <f>IF(A98="","",SUMIF('היסטוריה'!$B$3:$B$3002,A98,'היסטוריה'!$E$3:$E$3002))</f>
        <v/>
      </c>
      <c r="I98" s="34" t="n"/>
    </row>
    <row r="99">
      <c r="A99" s="20" t="n"/>
      <c r="B99" s="28" t="n"/>
      <c r="C99" s="35" t="n"/>
      <c r="D99" s="35" t="n"/>
      <c r="E99" s="34" t="n"/>
      <c r="F99" s="23">
        <f>IF(A99="","",COUNTIF('משימות'!$G$3:$G$122,"*"&amp;A99&amp;"*"))</f>
        <v/>
      </c>
      <c r="G99" s="35" t="n"/>
      <c r="H99" s="23">
        <f>IF(A99="","",SUMIF('היסטוריה'!$B$3:$B$3002,A99,'היסטוריה'!$E$3:$E$3002))</f>
        <v/>
      </c>
      <c r="I99" s="34" t="n"/>
    </row>
    <row r="100">
      <c r="A100" s="20" t="n"/>
      <c r="B100" s="28" t="n"/>
      <c r="C100" s="35" t="n"/>
      <c r="D100" s="35" t="n"/>
      <c r="E100" s="34" t="n"/>
      <c r="F100" s="23">
        <f>IF(A100="","",COUNTIF('משימות'!$G$3:$G$122,"*"&amp;A100&amp;"*"))</f>
        <v/>
      </c>
      <c r="G100" s="35" t="n"/>
      <c r="H100" s="23">
        <f>IF(A100="","",SUMIF('היסטוריה'!$B$3:$B$3002,A100,'היסטוריה'!$E$3:$E$3002))</f>
        <v/>
      </c>
      <c r="I100" s="34" t="n"/>
    </row>
    <row r="101">
      <c r="A101" s="20" t="n"/>
      <c r="B101" s="28" t="n"/>
      <c r="C101" s="35" t="n"/>
      <c r="D101" s="35" t="n"/>
      <c r="E101" s="34" t="n"/>
      <c r="F101" s="23">
        <f>IF(A101="","",COUNTIF('משימות'!$G$3:$G$122,"*"&amp;A101&amp;"*"))</f>
        <v/>
      </c>
      <c r="G101" s="35" t="n"/>
      <c r="H101" s="23">
        <f>IF(A101="","",SUMIF('היסטוריה'!$B$3:$B$3002,A101,'היסטוריה'!$E$3:$E$3002))</f>
        <v/>
      </c>
      <c r="I101" s="34" t="n"/>
    </row>
    <row r="102">
      <c r="A102" s="20" t="n"/>
      <c r="B102" s="28" t="n"/>
      <c r="C102" s="35" t="n"/>
      <c r="D102" s="35" t="n"/>
      <c r="E102" s="34" t="n"/>
      <c r="F102" s="23">
        <f>IF(A102="","",COUNTIF('משימות'!$G$3:$G$122,"*"&amp;A102&amp;"*"))</f>
        <v/>
      </c>
      <c r="G102" s="35" t="n"/>
      <c r="H102" s="23">
        <f>IF(A102="","",SUMIF('היסטוריה'!$B$3:$B$3002,A102,'היסטוריה'!$E$3:$E$3002))</f>
        <v/>
      </c>
      <c r="I102" s="34" t="n"/>
    </row>
    <row r="103">
      <c r="A103" s="20" t="n"/>
      <c r="B103" s="28" t="n"/>
      <c r="C103" s="35" t="n"/>
      <c r="D103" s="35" t="n"/>
      <c r="E103" s="34" t="n"/>
      <c r="F103" s="23">
        <f>IF(A103="","",COUNTIF('משימות'!$G$3:$G$122,"*"&amp;A103&amp;"*"))</f>
        <v/>
      </c>
      <c r="G103" s="35" t="n"/>
      <c r="H103" s="23">
        <f>IF(A103="","",SUMIF('היסטוריה'!$B$3:$B$3002,A103,'היסטוריה'!$E$3:$E$3002))</f>
        <v/>
      </c>
      <c r="I103" s="34" t="n"/>
    </row>
    <row r="104">
      <c r="A104" s="20" t="n"/>
      <c r="B104" s="28" t="n"/>
      <c r="C104" s="35" t="n"/>
      <c r="D104" s="35" t="n"/>
      <c r="E104" s="34" t="n"/>
      <c r="F104" s="23">
        <f>IF(A104="","",COUNTIF('משימות'!$G$3:$G$122,"*"&amp;A104&amp;"*"))</f>
        <v/>
      </c>
      <c r="G104" s="35" t="n"/>
      <c r="H104" s="23">
        <f>IF(A104="","",SUMIF('היסטוריה'!$B$3:$B$3002,A104,'היסטוריה'!$E$3:$E$3002))</f>
        <v/>
      </c>
      <c r="I104" s="34" t="n"/>
    </row>
    <row r="105">
      <c r="A105" s="20" t="n"/>
      <c r="B105" s="28" t="n"/>
      <c r="C105" s="35" t="n"/>
      <c r="D105" s="35" t="n"/>
      <c r="E105" s="34" t="n"/>
      <c r="F105" s="23">
        <f>IF(A105="","",COUNTIF('משימות'!$G$3:$G$122,"*"&amp;A105&amp;"*"))</f>
        <v/>
      </c>
      <c r="G105" s="35" t="n"/>
      <c r="H105" s="23">
        <f>IF(A105="","",SUMIF('היסטוריה'!$B$3:$B$3002,A105,'היסטוריה'!$E$3:$E$3002))</f>
        <v/>
      </c>
      <c r="I105" s="34" t="n"/>
    </row>
    <row r="106">
      <c r="A106" s="20" t="n"/>
      <c r="B106" s="28" t="n"/>
      <c r="C106" s="35" t="n"/>
      <c r="D106" s="35" t="n"/>
      <c r="E106" s="34" t="n"/>
      <c r="F106" s="23">
        <f>IF(A106="","",COUNTIF('משימות'!$G$3:$G$122,"*"&amp;A106&amp;"*"))</f>
        <v/>
      </c>
      <c r="G106" s="35" t="n"/>
      <c r="H106" s="23">
        <f>IF(A106="","",SUMIF('היסטוריה'!$B$3:$B$3002,A106,'היסטוריה'!$E$3:$E$3002))</f>
        <v/>
      </c>
      <c r="I106" s="34" t="n"/>
    </row>
    <row r="107">
      <c r="A107" s="20" t="n"/>
      <c r="B107" s="28" t="n"/>
      <c r="C107" s="35" t="n"/>
      <c r="D107" s="35" t="n"/>
      <c r="E107" s="34" t="n"/>
      <c r="F107" s="23">
        <f>IF(A107="","",COUNTIF('משימות'!$G$3:$G$122,"*"&amp;A107&amp;"*"))</f>
        <v/>
      </c>
      <c r="G107" s="35" t="n"/>
      <c r="H107" s="23">
        <f>IF(A107="","",SUMIF('היסטוריה'!$B$3:$B$3002,A107,'היסטוריה'!$E$3:$E$3002))</f>
        <v/>
      </c>
      <c r="I107" s="34" t="n"/>
    </row>
    <row r="108">
      <c r="A108" s="20" t="n"/>
      <c r="B108" s="28" t="n"/>
      <c r="C108" s="35" t="n"/>
      <c r="D108" s="35" t="n"/>
      <c r="E108" s="34" t="n"/>
      <c r="F108" s="23">
        <f>IF(A108="","",COUNTIF('משימות'!$G$3:$G$122,"*"&amp;A108&amp;"*"))</f>
        <v/>
      </c>
      <c r="G108" s="35" t="n"/>
      <c r="H108" s="23">
        <f>IF(A108="","",SUMIF('היסטוריה'!$B$3:$B$3002,A108,'היסטוריה'!$E$3:$E$3002))</f>
        <v/>
      </c>
      <c r="I108" s="34" t="n"/>
    </row>
    <row r="109">
      <c r="A109" s="20" t="n"/>
      <c r="B109" s="28" t="n"/>
      <c r="C109" s="35" t="n"/>
      <c r="D109" s="35" t="n"/>
      <c r="E109" s="34" t="n"/>
      <c r="F109" s="23">
        <f>IF(A109="","",COUNTIF('משימות'!$G$3:$G$122,"*"&amp;A109&amp;"*"))</f>
        <v/>
      </c>
      <c r="G109" s="35" t="n"/>
      <c r="H109" s="23">
        <f>IF(A109="","",SUMIF('היסטוריה'!$B$3:$B$3002,A109,'היסטוריה'!$E$3:$E$3002))</f>
        <v/>
      </c>
      <c r="I109" s="34" t="n"/>
    </row>
    <row r="110">
      <c r="A110" s="20" t="n"/>
      <c r="B110" s="28" t="n"/>
      <c r="C110" s="35" t="n"/>
      <c r="D110" s="35" t="n"/>
      <c r="E110" s="34" t="n"/>
      <c r="F110" s="23">
        <f>IF(A110="","",COUNTIF('משימות'!$G$3:$G$122,"*"&amp;A110&amp;"*"))</f>
        <v/>
      </c>
      <c r="G110" s="35" t="n"/>
      <c r="H110" s="23">
        <f>IF(A110="","",SUMIF('היסטוריה'!$B$3:$B$3002,A110,'היסטוריה'!$E$3:$E$3002))</f>
        <v/>
      </c>
      <c r="I110" s="34" t="n"/>
    </row>
    <row r="111">
      <c r="A111" s="20" t="n"/>
      <c r="B111" s="28" t="n"/>
      <c r="C111" s="35" t="n"/>
      <c r="D111" s="35" t="n"/>
      <c r="E111" s="34" t="n"/>
      <c r="F111" s="23">
        <f>IF(A111="","",COUNTIF('משימות'!$G$3:$G$122,"*"&amp;A111&amp;"*"))</f>
        <v/>
      </c>
      <c r="G111" s="35" t="n"/>
      <c r="H111" s="23">
        <f>IF(A111="","",SUMIF('היסטוריה'!$B$3:$B$3002,A111,'היסטוריה'!$E$3:$E$3002))</f>
        <v/>
      </c>
      <c r="I111" s="34" t="n"/>
    </row>
    <row r="112">
      <c r="A112" s="20" t="n"/>
      <c r="B112" s="28" t="n"/>
      <c r="C112" s="35" t="n"/>
      <c r="D112" s="35" t="n"/>
      <c r="E112" s="34" t="n"/>
      <c r="F112" s="23">
        <f>IF(A112="","",COUNTIF('משימות'!$G$3:$G$122,"*"&amp;A112&amp;"*"))</f>
        <v/>
      </c>
      <c r="G112" s="35" t="n"/>
      <c r="H112" s="23">
        <f>IF(A112="","",SUMIF('היסטוריה'!$B$3:$B$3002,A112,'היסטוריה'!$E$3:$E$3002))</f>
        <v/>
      </c>
      <c r="I112" s="34" t="n"/>
    </row>
    <row r="113">
      <c r="A113" s="20" t="n"/>
      <c r="B113" s="28" t="n"/>
      <c r="C113" s="35" t="n"/>
      <c r="D113" s="35" t="n"/>
      <c r="E113" s="34" t="n"/>
      <c r="F113" s="23">
        <f>IF(A113="","",COUNTIF('משימות'!$G$3:$G$122,"*"&amp;A113&amp;"*"))</f>
        <v/>
      </c>
      <c r="G113" s="35" t="n"/>
      <c r="H113" s="23">
        <f>IF(A113="","",SUMIF('היסטוריה'!$B$3:$B$3002,A113,'היסטוריה'!$E$3:$E$3002))</f>
        <v/>
      </c>
      <c r="I113" s="34" t="n"/>
    </row>
    <row r="114">
      <c r="A114" s="20" t="n"/>
      <c r="B114" s="28" t="n"/>
      <c r="C114" s="35" t="n"/>
      <c r="D114" s="35" t="n"/>
      <c r="E114" s="34" t="n"/>
      <c r="F114" s="23">
        <f>IF(A114="","",COUNTIF('משימות'!$G$3:$G$122,"*"&amp;A114&amp;"*"))</f>
        <v/>
      </c>
      <c r="G114" s="35" t="n"/>
      <c r="H114" s="23">
        <f>IF(A114="","",SUMIF('היסטוריה'!$B$3:$B$3002,A114,'היסטוריה'!$E$3:$E$3002))</f>
        <v/>
      </c>
      <c r="I114" s="34" t="n"/>
    </row>
    <row r="115">
      <c r="A115" s="20" t="n"/>
      <c r="B115" s="28" t="n"/>
      <c r="C115" s="35" t="n"/>
      <c r="D115" s="35" t="n"/>
      <c r="E115" s="34" t="n"/>
      <c r="F115" s="23">
        <f>IF(A115="","",COUNTIF('משימות'!$G$3:$G$122,"*"&amp;A115&amp;"*"))</f>
        <v/>
      </c>
      <c r="G115" s="35" t="n"/>
      <c r="H115" s="23">
        <f>IF(A115="","",SUMIF('היסטוריה'!$B$3:$B$3002,A115,'היסטוריה'!$E$3:$E$3002))</f>
        <v/>
      </c>
      <c r="I115" s="34" t="n"/>
    </row>
    <row r="116">
      <c r="A116" s="20" t="n"/>
      <c r="B116" s="28" t="n"/>
      <c r="C116" s="35" t="n"/>
      <c r="D116" s="35" t="n"/>
      <c r="E116" s="34" t="n"/>
      <c r="F116" s="23">
        <f>IF(A116="","",COUNTIF('משימות'!$G$3:$G$122,"*"&amp;A116&amp;"*"))</f>
        <v/>
      </c>
      <c r="G116" s="35" t="n"/>
      <c r="H116" s="23">
        <f>IF(A116="","",SUMIF('היסטוריה'!$B$3:$B$3002,A116,'היסטוריה'!$E$3:$E$3002))</f>
        <v/>
      </c>
      <c r="I116" s="34" t="n"/>
    </row>
    <row r="117">
      <c r="A117" s="20" t="n"/>
      <c r="B117" s="28" t="n"/>
      <c r="C117" s="35" t="n"/>
      <c r="D117" s="35" t="n"/>
      <c r="E117" s="34" t="n"/>
      <c r="F117" s="23">
        <f>IF(A117="","",COUNTIF('משימות'!$G$3:$G$122,"*"&amp;A117&amp;"*"))</f>
        <v/>
      </c>
      <c r="G117" s="35" t="n"/>
      <c r="H117" s="23">
        <f>IF(A117="","",SUMIF('היסטוריה'!$B$3:$B$3002,A117,'היסטוריה'!$E$3:$E$3002))</f>
        <v/>
      </c>
      <c r="I117" s="34" t="n"/>
    </row>
    <row r="118">
      <c r="A118" s="20" t="n"/>
      <c r="B118" s="28" t="n"/>
      <c r="C118" s="35" t="n"/>
      <c r="D118" s="35" t="n"/>
      <c r="E118" s="34" t="n"/>
      <c r="F118" s="23">
        <f>IF(A118="","",COUNTIF('משימות'!$G$3:$G$122,"*"&amp;A118&amp;"*"))</f>
        <v/>
      </c>
      <c r="G118" s="35" t="n"/>
      <c r="H118" s="23">
        <f>IF(A118="","",SUMIF('היסטוריה'!$B$3:$B$3002,A118,'היסטוריה'!$E$3:$E$3002))</f>
        <v/>
      </c>
      <c r="I118" s="34" t="n"/>
    </row>
    <row r="119">
      <c r="A119" s="20" t="n"/>
      <c r="B119" s="28" t="n"/>
      <c r="C119" s="35" t="n"/>
      <c r="D119" s="35" t="n"/>
      <c r="E119" s="34" t="n"/>
      <c r="F119" s="23">
        <f>IF(A119="","",COUNTIF('משימות'!$G$3:$G$122,"*"&amp;A119&amp;"*"))</f>
        <v/>
      </c>
      <c r="G119" s="35" t="n"/>
      <c r="H119" s="23">
        <f>IF(A119="","",SUMIF('היסטוריה'!$B$3:$B$3002,A119,'היסטוריה'!$E$3:$E$3002))</f>
        <v/>
      </c>
      <c r="I119" s="34" t="n"/>
    </row>
    <row r="120">
      <c r="A120" s="20" t="n"/>
      <c r="B120" s="28" t="n"/>
      <c r="C120" s="35" t="n"/>
      <c r="D120" s="35" t="n"/>
      <c r="E120" s="34" t="n"/>
      <c r="F120" s="23">
        <f>IF(A120="","",COUNTIF('משימות'!$G$3:$G$122,"*"&amp;A120&amp;"*"))</f>
        <v/>
      </c>
      <c r="G120" s="35" t="n"/>
      <c r="H120" s="23">
        <f>IF(A120="","",SUMIF('היסטוריה'!$B$3:$B$3002,A120,'היסטוריה'!$E$3:$E$3002))</f>
        <v/>
      </c>
      <c r="I120" s="34" t="n"/>
    </row>
    <row r="121">
      <c r="A121" s="20" t="n"/>
      <c r="B121" s="28" t="n"/>
      <c r="C121" s="35" t="n"/>
      <c r="D121" s="35" t="n"/>
      <c r="E121" s="34" t="n"/>
      <c r="F121" s="23">
        <f>IF(A121="","",COUNTIF('משימות'!$G$3:$G$122,"*"&amp;A121&amp;"*"))</f>
        <v/>
      </c>
      <c r="G121" s="35" t="n"/>
      <c r="H121" s="23">
        <f>IF(A121="","",SUMIF('היסטוריה'!$B$3:$B$3002,A121,'היסטוריה'!$E$3:$E$3002))</f>
        <v/>
      </c>
      <c r="I121" s="34" t="n"/>
    </row>
    <row r="122">
      <c r="A122" s="20" t="n"/>
      <c r="B122" s="28" t="n"/>
      <c r="C122" s="35" t="n"/>
      <c r="D122" s="35" t="n"/>
      <c r="E122" s="34" t="n"/>
      <c r="F122" s="23">
        <f>IF(A122="","",COUNTIF('משימות'!$G$3:$G$122,"*"&amp;A122&amp;"*"))</f>
        <v/>
      </c>
      <c r="G122" s="35" t="n"/>
      <c r="H122" s="23">
        <f>IF(A122="","",SUMIF('היסטוריה'!$B$3:$B$3002,A122,'היסטוריה'!$E$3:$E$3002))</f>
        <v/>
      </c>
      <c r="I122" s="34" t="n"/>
    </row>
    <row r="123">
      <c r="A123" s="20" t="n"/>
      <c r="B123" s="28" t="n"/>
      <c r="C123" s="35" t="n"/>
      <c r="D123" s="35" t="n"/>
      <c r="E123" s="34" t="n"/>
      <c r="F123" s="23">
        <f>IF(A123="","",COUNTIF('משימות'!$G$3:$G$122,"*"&amp;A123&amp;"*"))</f>
        <v/>
      </c>
      <c r="G123" s="35" t="n"/>
      <c r="H123" s="23">
        <f>IF(A123="","",SUMIF('היסטוריה'!$B$3:$B$3002,A123,'היסטוריה'!$E$3:$E$3002))</f>
        <v/>
      </c>
      <c r="I123" s="34" t="n"/>
    </row>
    <row r="124">
      <c r="A124" s="20" t="n"/>
      <c r="B124" s="28" t="n"/>
      <c r="C124" s="35" t="n"/>
      <c r="D124" s="35" t="n"/>
      <c r="E124" s="34" t="n"/>
      <c r="F124" s="23">
        <f>IF(A124="","",COUNTIF('משימות'!$G$3:$G$122,"*"&amp;A124&amp;"*"))</f>
        <v/>
      </c>
      <c r="G124" s="35" t="n"/>
      <c r="H124" s="23">
        <f>IF(A124="","",SUMIF('היסטוריה'!$B$3:$B$3002,A124,'היסטוריה'!$E$3:$E$3002))</f>
        <v/>
      </c>
      <c r="I124" s="34" t="n"/>
    </row>
    <row r="125">
      <c r="A125" s="20" t="n"/>
      <c r="B125" s="28" t="n"/>
      <c r="C125" s="35" t="n"/>
      <c r="D125" s="35" t="n"/>
      <c r="E125" s="34" t="n"/>
      <c r="F125" s="23">
        <f>IF(A125="","",COUNTIF('משימות'!$G$3:$G$122,"*"&amp;A125&amp;"*"))</f>
        <v/>
      </c>
      <c r="G125" s="35" t="n"/>
      <c r="H125" s="23">
        <f>IF(A125="","",SUMIF('היסטוריה'!$B$3:$B$3002,A125,'היסטוריה'!$E$3:$E$3002))</f>
        <v/>
      </c>
      <c r="I125" s="34" t="n"/>
    </row>
    <row r="126">
      <c r="A126" s="20" t="n"/>
      <c r="B126" s="28" t="n"/>
      <c r="C126" s="35" t="n"/>
      <c r="D126" s="35" t="n"/>
      <c r="E126" s="34" t="n"/>
      <c r="F126" s="23">
        <f>IF(A126="","",COUNTIF('משימות'!$G$3:$G$122,"*"&amp;A126&amp;"*"))</f>
        <v/>
      </c>
      <c r="G126" s="35" t="n"/>
      <c r="H126" s="23">
        <f>IF(A126="","",SUMIF('היסטוריה'!$B$3:$B$3002,A126,'היסטוריה'!$E$3:$E$3002))</f>
        <v/>
      </c>
      <c r="I126" s="34" t="n"/>
    </row>
    <row r="127">
      <c r="A127" s="20" t="n"/>
      <c r="B127" s="28" t="n"/>
      <c r="C127" s="35" t="n"/>
      <c r="D127" s="35" t="n"/>
      <c r="E127" s="34" t="n"/>
      <c r="F127" s="23">
        <f>IF(A127="","",COUNTIF('משימות'!$G$3:$G$122,"*"&amp;A127&amp;"*"))</f>
        <v/>
      </c>
      <c r="G127" s="35" t="n"/>
      <c r="H127" s="23">
        <f>IF(A127="","",SUMIF('היסטוריה'!$B$3:$B$3002,A127,'היסטוריה'!$E$3:$E$3002))</f>
        <v/>
      </c>
      <c r="I127" s="34" t="n"/>
    </row>
    <row r="128">
      <c r="A128" s="20" t="n"/>
      <c r="B128" s="28" t="n"/>
      <c r="C128" s="35" t="n"/>
      <c r="D128" s="35" t="n"/>
      <c r="E128" s="34" t="n"/>
      <c r="F128" s="23">
        <f>IF(A128="","",COUNTIF('משימות'!$G$3:$G$122,"*"&amp;A128&amp;"*"))</f>
        <v/>
      </c>
      <c r="G128" s="35" t="n"/>
      <c r="H128" s="23">
        <f>IF(A128="","",SUMIF('היסטוריה'!$B$3:$B$3002,A128,'היסטוריה'!$E$3:$E$3002))</f>
        <v/>
      </c>
      <c r="I128" s="34" t="n"/>
    </row>
    <row r="129">
      <c r="A129" s="20" t="n"/>
      <c r="B129" s="28" t="n"/>
      <c r="C129" s="35" t="n"/>
      <c r="D129" s="35" t="n"/>
      <c r="E129" s="34" t="n"/>
      <c r="F129" s="23">
        <f>IF(A129="","",COUNTIF('משימות'!$G$3:$G$122,"*"&amp;A129&amp;"*"))</f>
        <v/>
      </c>
      <c r="G129" s="35" t="n"/>
      <c r="H129" s="23">
        <f>IF(A129="","",SUMIF('היסטוריה'!$B$3:$B$3002,A129,'היסטוריה'!$E$3:$E$3002))</f>
        <v/>
      </c>
      <c r="I129" s="34" t="n"/>
    </row>
    <row r="130">
      <c r="A130" s="20" t="n"/>
      <c r="B130" s="28" t="n"/>
      <c r="C130" s="35" t="n"/>
      <c r="D130" s="35" t="n"/>
      <c r="E130" s="34" t="n"/>
      <c r="F130" s="23">
        <f>IF(A130="","",COUNTIF('משימות'!$G$3:$G$122,"*"&amp;A130&amp;"*"))</f>
        <v/>
      </c>
      <c r="G130" s="35" t="n"/>
      <c r="H130" s="23">
        <f>IF(A130="","",SUMIF('היסטוריה'!$B$3:$B$3002,A130,'היסטוריה'!$E$3:$E$3002))</f>
        <v/>
      </c>
      <c r="I130" s="34" t="n"/>
    </row>
    <row r="131">
      <c r="A131" s="20" t="n"/>
      <c r="B131" s="28" t="n"/>
      <c r="C131" s="35" t="n"/>
      <c r="D131" s="35" t="n"/>
      <c r="E131" s="34" t="n"/>
      <c r="F131" s="23">
        <f>IF(A131="","",COUNTIF('משימות'!$G$3:$G$122,"*"&amp;A131&amp;"*"))</f>
        <v/>
      </c>
      <c r="G131" s="35" t="n"/>
      <c r="H131" s="23">
        <f>IF(A131="","",SUMIF('היסטוריה'!$B$3:$B$3002,A131,'היסטוריה'!$E$3:$E$3002))</f>
        <v/>
      </c>
      <c r="I131" s="34" t="n"/>
    </row>
    <row r="132">
      <c r="A132" s="20" t="n"/>
      <c r="B132" s="28" t="n"/>
      <c r="C132" s="35" t="n"/>
      <c r="D132" s="35" t="n"/>
      <c r="E132" s="34" t="n"/>
      <c r="F132" s="23">
        <f>IF(A132="","",COUNTIF('משימות'!$G$3:$G$122,"*"&amp;A132&amp;"*"))</f>
        <v/>
      </c>
      <c r="G132" s="35" t="n"/>
      <c r="H132" s="23">
        <f>IF(A132="","",SUMIF('היסטוריה'!$B$3:$B$3002,A132,'היסטוריה'!$E$3:$E$3002))</f>
        <v/>
      </c>
      <c r="I132" s="34" t="n"/>
    </row>
    <row r="134" ht="28" customHeight="1">
      <c r="A134" s="26" t="inlineStr">
        <is>
          <t>חבורה, זמינות, קבוצות השבת וניקוד השבת נכתבים ע"י השיבוץ מרשימת הנוכחות. «משימות השבת» נספר מ«משימות»; «ניקוד מצטבר» מסוכם מ«היסטוריה» (כל השבתות).</t>
        </is>
      </c>
    </row>
  </sheetData>
  <mergeCells count="2">
    <mergeCell ref="A1:I1"/>
    <mergeCell ref="A134:I134"/>
  </mergeCells>
  <dataValidations count="1">
    <dataValidation sqref="D3:D132" showDropDown="0" showInputMessage="0" showErrorMessage="0" allowBlank="1" type="list">
      <formula1>"כן,לא"</formula1>
    </dataValidation>
  </dataValidations>
  <pageMargins left="0.75" right="0.75" top="1" bottom="1" header="0.5" footer="0.5"/>
  <pageSetup paperSize="9" fitToHeight="0" fitToWidth="1"/>
</worksheet>
</file>

<file path=xl/worksheets/sheet6.xml><?xml version="1.0" encoding="utf-8"?>
<worksheet xmlns="http://schemas.openxmlformats.org/spreadsheetml/2006/main">
  <sheetPr>
    <tabColor rgb="003BA48C"/>
    <outlinePr summaryBelow="1" summaryRight="1"/>
    <pageSetUpPr fitToPage="1"/>
  </sheetPr>
  <dimension ref="A1:E284"/>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28" customWidth="1" min="2" max="2"/>
    <col width="16" customWidth="1" min="3" max="3"/>
    <col width="30" customWidth="1" min="4" max="4"/>
    <col width="9" customWidth="1" min="5" max="5"/>
  </cols>
  <sheetData>
    <row r="1" ht="36" customHeight="1">
      <c r="A1" s="27" t="inlineStr">
        <is>
          <t>היסטוריית תורנויות — רשומה לכל תורנות של כל חניך</t>
        </is>
      </c>
    </row>
    <row r="2" ht="24" customHeight="1">
      <c r="A2" s="9" t="inlineStr">
        <is>
          <t>תאריך</t>
        </is>
      </c>
      <c r="B2" s="9" t="inlineStr">
        <is>
          <t>שם</t>
        </is>
      </c>
      <c r="C2" s="9" t="inlineStr">
        <is>
          <t>שלב</t>
        </is>
      </c>
      <c r="D2" s="9" t="inlineStr">
        <is>
          <t>קבוצה</t>
        </is>
      </c>
      <c r="E2" s="9" t="inlineStr">
        <is>
          <t>ניקוד</t>
        </is>
      </c>
    </row>
    <row r="3">
      <c r="A3" s="36" t="n">
        <v>46269</v>
      </c>
      <c r="B3" s="37" t="inlineStr">
        <is>
          <t>אוריה תעשה</t>
        </is>
      </c>
      <c r="C3" s="38" t="inlineStr">
        <is>
          <t>הכנות שישי</t>
        </is>
      </c>
      <c r="D3" s="37" t="inlineStr">
        <is>
          <t>ארוחת צהריים שישי</t>
        </is>
      </c>
      <c r="E3" s="38" t="n">
        <v>3</v>
      </c>
    </row>
    <row r="4">
      <c r="A4" s="36" t="n">
        <v>46269</v>
      </c>
      <c r="B4" s="37" t="inlineStr">
        <is>
          <t>ינון לוי</t>
        </is>
      </c>
      <c r="C4" s="38" t="inlineStr">
        <is>
          <t>הכנות שישי</t>
        </is>
      </c>
      <c r="D4" s="37" t="inlineStr">
        <is>
          <t>ארוחת צהריים שישי</t>
        </is>
      </c>
      <c r="E4" s="38" t="n">
        <v>3</v>
      </c>
    </row>
    <row r="5">
      <c r="A5" s="36" t="n">
        <v>46269</v>
      </c>
      <c r="B5" s="37" t="inlineStr">
        <is>
          <t>ליעם גבע</t>
        </is>
      </c>
      <c r="C5" s="38" t="inlineStr">
        <is>
          <t>הכנות שישי</t>
        </is>
      </c>
      <c r="D5" s="37" t="inlineStr">
        <is>
          <t>ארוחת צהריים שישי</t>
        </is>
      </c>
      <c r="E5" s="38" t="n">
        <v>3</v>
      </c>
    </row>
    <row r="6">
      <c r="A6" s="36" t="n">
        <v>46269</v>
      </c>
      <c r="B6" s="37" t="inlineStr">
        <is>
          <t>שי- לי וולגמוט</t>
        </is>
      </c>
      <c r="C6" s="38" t="inlineStr">
        <is>
          <t>הכנות שישי</t>
        </is>
      </c>
      <c r="D6" s="37" t="inlineStr">
        <is>
          <t>ארוחת צהריים שישי</t>
        </is>
      </c>
      <c r="E6" s="38" t="n">
        <v>3</v>
      </c>
    </row>
    <row r="7">
      <c r="A7" s="36" t="n">
        <v>46269</v>
      </c>
      <c r="B7" s="37" t="inlineStr">
        <is>
          <t>אביה וייל</t>
        </is>
      </c>
      <c r="C7" s="38" t="inlineStr">
        <is>
          <t>הכנות שישי</t>
        </is>
      </c>
      <c r="D7" s="37" t="inlineStr">
        <is>
          <t>עוגות · צוות יותם</t>
        </is>
      </c>
      <c r="E7" s="38" t="n">
        <v>3</v>
      </c>
    </row>
    <row r="8">
      <c r="A8" s="36" t="n">
        <v>46269</v>
      </c>
      <c r="B8" s="37" t="inlineStr">
        <is>
          <t>יואב אוחנה</t>
        </is>
      </c>
      <c r="C8" s="38" t="inlineStr">
        <is>
          <t>הכנות שישי</t>
        </is>
      </c>
      <c r="D8" s="37" t="inlineStr">
        <is>
          <t>עוגות · צוות יותם</t>
        </is>
      </c>
      <c r="E8" s="38" t="n">
        <v>3</v>
      </c>
    </row>
    <row r="9">
      <c r="A9" s="36" t="n">
        <v>46269</v>
      </c>
      <c r="B9" s="37" t="inlineStr">
        <is>
          <t>יותם ספיר</t>
        </is>
      </c>
      <c r="C9" s="38" t="inlineStr">
        <is>
          <t>הכנות שישי</t>
        </is>
      </c>
      <c r="D9" s="37" t="inlineStr">
        <is>
          <t>עוגות · צוות יותם</t>
        </is>
      </c>
      <c r="E9" s="38" t="n">
        <v>3</v>
      </c>
    </row>
    <row r="10">
      <c r="A10" s="36" t="n">
        <v>46269</v>
      </c>
      <c r="B10" s="37" t="inlineStr">
        <is>
          <t>כליל בלאוקופף</t>
        </is>
      </c>
      <c r="C10" s="38" t="inlineStr">
        <is>
          <t>הכנות שישי</t>
        </is>
      </c>
      <c r="D10" s="37" t="inlineStr">
        <is>
          <t>עוגות · צוות סהר</t>
        </is>
      </c>
      <c r="E10" s="38" t="n">
        <v>3</v>
      </c>
    </row>
    <row r="11">
      <c r="A11" s="36" t="n">
        <v>46269</v>
      </c>
      <c r="B11" s="37" t="inlineStr">
        <is>
          <t>נוה גריינר</t>
        </is>
      </c>
      <c r="C11" s="38" t="inlineStr">
        <is>
          <t>הכנות שישי</t>
        </is>
      </c>
      <c r="D11" s="37" t="inlineStr">
        <is>
          <t>עוגות · צוות סהר</t>
        </is>
      </c>
      <c r="E11" s="38" t="n">
        <v>3</v>
      </c>
    </row>
    <row r="12">
      <c r="A12" s="36" t="n">
        <v>46269</v>
      </c>
      <c r="B12" s="37" t="inlineStr">
        <is>
          <t>סהר שירון</t>
        </is>
      </c>
      <c r="C12" s="38" t="inlineStr">
        <is>
          <t>הכנות שישי</t>
        </is>
      </c>
      <c r="D12" s="37" t="inlineStr">
        <is>
          <t>עוגות · צוות סהר</t>
        </is>
      </c>
      <c r="E12" s="38" t="n">
        <v>3</v>
      </c>
    </row>
    <row r="13">
      <c r="A13" s="36" t="n">
        <v>46269</v>
      </c>
      <c r="B13" s="37" t="inlineStr">
        <is>
          <t>הילה עזרא</t>
        </is>
      </c>
      <c r="C13" s="38" t="inlineStr">
        <is>
          <t>הכנות שישי</t>
        </is>
      </c>
      <c r="D13" s="37" t="inlineStr">
        <is>
          <t>עוגות · צוות רותם</t>
        </is>
      </c>
      <c r="E13" s="38" t="n">
        <v>3</v>
      </c>
    </row>
    <row r="14">
      <c r="A14" s="36" t="n">
        <v>46269</v>
      </c>
      <c r="B14" s="37" t="inlineStr">
        <is>
          <t>יאר אלפסי</t>
        </is>
      </c>
      <c r="C14" s="38" t="inlineStr">
        <is>
          <t>הכנות שישי</t>
        </is>
      </c>
      <c r="D14" s="37" t="inlineStr">
        <is>
          <t>עוגות · צוות רותם</t>
        </is>
      </c>
      <c r="E14" s="38" t="n">
        <v>3</v>
      </c>
    </row>
    <row r="15">
      <c r="A15" s="36" t="n">
        <v>46269</v>
      </c>
      <c r="B15" s="37" t="inlineStr">
        <is>
          <t>רותם דרור</t>
        </is>
      </c>
      <c r="C15" s="38" t="inlineStr">
        <is>
          <t>הכנות שישי</t>
        </is>
      </c>
      <c r="D15" s="37" t="inlineStr">
        <is>
          <t>עוגות · צוות רותם</t>
        </is>
      </c>
      <c r="E15" s="38" t="n">
        <v>3</v>
      </c>
    </row>
    <row r="16">
      <c r="A16" s="36" t="n">
        <v>46269</v>
      </c>
      <c r="B16" s="37" t="inlineStr">
        <is>
          <t>רוני פרנקל</t>
        </is>
      </c>
      <c r="C16" s="38" t="inlineStr">
        <is>
          <t>הכנות שישי</t>
        </is>
      </c>
      <c r="D16" s="37" t="inlineStr">
        <is>
          <t>עוגות · צוות שילת</t>
        </is>
      </c>
      <c r="E16" s="38" t="n">
        <v>3</v>
      </c>
    </row>
    <row r="17">
      <c r="A17" s="36" t="n">
        <v>46269</v>
      </c>
      <c r="B17" s="37" t="inlineStr">
        <is>
          <t>שילת פילפל</t>
        </is>
      </c>
      <c r="C17" s="38" t="inlineStr">
        <is>
          <t>הכנות שישי</t>
        </is>
      </c>
      <c r="D17" s="37" t="inlineStr">
        <is>
          <t>עוגות · צוות שילת</t>
        </is>
      </c>
      <c r="E17" s="38" t="n">
        <v>3</v>
      </c>
    </row>
    <row r="18">
      <c r="A18" s="36" t="n">
        <v>46269</v>
      </c>
      <c r="B18" s="37" t="inlineStr">
        <is>
          <t>אריאלה מרכוס</t>
        </is>
      </c>
      <c r="C18" s="38" t="inlineStr">
        <is>
          <t>תורנות שבת</t>
        </is>
      </c>
      <c r="D18" s="37" t="inlineStr">
        <is>
          <t>בית מדרש · ארוחת ערב וטיש</t>
        </is>
      </c>
      <c r="E18" s="38" t="n">
        <v>2</v>
      </c>
    </row>
    <row r="19">
      <c r="A19" s="36" t="n">
        <v>46269</v>
      </c>
      <c r="B19" s="37" t="inlineStr">
        <is>
          <t>דנה שם טוב</t>
        </is>
      </c>
      <c r="C19" s="38" t="inlineStr">
        <is>
          <t>תורנות שבת</t>
        </is>
      </c>
      <c r="D19" s="37" t="inlineStr">
        <is>
          <t>בית מדרש · ארוחת ערב וטיש</t>
        </is>
      </c>
      <c r="E19" s="38" t="n">
        <v>2</v>
      </c>
    </row>
    <row r="20">
      <c r="A20" s="36" t="n">
        <v>46269</v>
      </c>
      <c r="B20" s="37" t="inlineStr">
        <is>
          <t>יערה ריס</t>
        </is>
      </c>
      <c r="C20" s="38" t="inlineStr">
        <is>
          <t>תורנות שבת</t>
        </is>
      </c>
      <c r="D20" s="37" t="inlineStr">
        <is>
          <t>בית מדרש · ארוחת ערב וטיש</t>
        </is>
      </c>
      <c r="E20" s="38" t="n">
        <v>2</v>
      </c>
    </row>
    <row r="21">
      <c r="A21" s="36" t="n">
        <v>46269</v>
      </c>
      <c r="B21" s="37" t="inlineStr">
        <is>
          <t>מאיה פקטר</t>
        </is>
      </c>
      <c r="C21" s="38" t="inlineStr">
        <is>
          <t>תורנות שבת</t>
        </is>
      </c>
      <c r="D21" s="37" t="inlineStr">
        <is>
          <t>בית מדרש · ארוחת ערב וטיש</t>
        </is>
      </c>
      <c r="E21" s="38" t="n">
        <v>2</v>
      </c>
    </row>
    <row r="22">
      <c r="A22" s="36" t="n">
        <v>46269</v>
      </c>
      <c r="B22" s="37" t="inlineStr">
        <is>
          <t>נדב טוקר</t>
        </is>
      </c>
      <c r="C22" s="38" t="inlineStr">
        <is>
          <t>תורנות שבת</t>
        </is>
      </c>
      <c r="D22" s="37" t="inlineStr">
        <is>
          <t>בית מדרש · ארוחת ערב וטיש</t>
        </is>
      </c>
      <c r="E22" s="38" t="n">
        <v>2</v>
      </c>
    </row>
    <row r="23">
      <c r="A23" s="36" t="n">
        <v>46269</v>
      </c>
      <c r="B23" s="37" t="inlineStr">
        <is>
          <t>נועם גלס</t>
        </is>
      </c>
      <c r="C23" s="38" t="inlineStr">
        <is>
          <t>תורנות שבת</t>
        </is>
      </c>
      <c r="D23" s="37" t="inlineStr">
        <is>
          <t>בית מדרש · ארוחת ערב וטיש</t>
        </is>
      </c>
      <c r="E23" s="38" t="n">
        <v>2</v>
      </c>
    </row>
    <row r="24">
      <c r="A24" s="36" t="n">
        <v>46269</v>
      </c>
      <c r="B24" s="37" t="inlineStr">
        <is>
          <t>ניתאי שלום</t>
        </is>
      </c>
      <c r="C24" s="38" t="inlineStr">
        <is>
          <t>תורנות שבת</t>
        </is>
      </c>
      <c r="D24" s="37" t="inlineStr">
        <is>
          <t>בית מדרש · ארוחת ערב וטיש</t>
        </is>
      </c>
      <c r="E24" s="38" t="n">
        <v>2</v>
      </c>
    </row>
    <row r="25">
      <c r="A25" s="36" t="n">
        <v>46269</v>
      </c>
      <c r="B25" s="37" t="inlineStr">
        <is>
          <t>עליזה בלום</t>
        </is>
      </c>
      <c r="C25" s="38" t="inlineStr">
        <is>
          <t>תורנות שבת</t>
        </is>
      </c>
      <c r="D25" s="37" t="inlineStr">
        <is>
          <t>בית מדרש · ארוחת ערב וטיש</t>
        </is>
      </c>
      <c r="E25" s="38" t="n">
        <v>2</v>
      </c>
    </row>
    <row r="26">
      <c r="A26" s="36" t="n">
        <v>46269</v>
      </c>
      <c r="B26" s="37" t="inlineStr">
        <is>
          <t>עמית סיילס</t>
        </is>
      </c>
      <c r="C26" s="38" t="inlineStr">
        <is>
          <t>תורנות שבת</t>
        </is>
      </c>
      <c r="D26" s="37" t="inlineStr">
        <is>
          <t>בית מדרש · ארוחת ערב וטיש</t>
        </is>
      </c>
      <c r="E26" s="38" t="n">
        <v>2</v>
      </c>
    </row>
    <row r="27">
      <c r="A27" s="36" t="n">
        <v>46269</v>
      </c>
      <c r="B27" s="37" t="inlineStr">
        <is>
          <t>שחר קרן</t>
        </is>
      </c>
      <c r="C27" s="38" t="inlineStr">
        <is>
          <t>תורנות שבת</t>
        </is>
      </c>
      <c r="D27" s="37" t="inlineStr">
        <is>
          <t>בית מדרש · ארוחת ערב וטיש</t>
        </is>
      </c>
      <c r="E27" s="38" t="n">
        <v>2</v>
      </c>
    </row>
    <row r="28">
      <c r="A28" s="36" t="n">
        <v>46269</v>
      </c>
      <c r="B28" s="37" t="inlineStr">
        <is>
          <t>אלון דיין</t>
        </is>
      </c>
      <c r="C28" s="38" t="inlineStr">
        <is>
          <t>תורנות שבת</t>
        </is>
      </c>
      <c r="D28" s="37" t="inlineStr">
        <is>
          <t>בית מדרש · צהריים בשבת</t>
        </is>
      </c>
      <c r="E28" s="38" t="n">
        <v>2</v>
      </c>
    </row>
    <row r="29">
      <c r="A29" s="36" t="n">
        <v>46269</v>
      </c>
      <c r="B29" s="37" t="inlineStr">
        <is>
          <t>יעל קהת</t>
        </is>
      </c>
      <c r="C29" s="38" t="inlineStr">
        <is>
          <t>תורנות שבת</t>
        </is>
      </c>
      <c r="D29" s="37" t="inlineStr">
        <is>
          <t>בית מדרש · צהריים בשבת</t>
        </is>
      </c>
      <c r="E29" s="38" t="n">
        <v>2</v>
      </c>
    </row>
    <row r="30">
      <c r="A30" s="36" t="n">
        <v>46269</v>
      </c>
      <c r="B30" s="37" t="inlineStr">
        <is>
          <t>נגה שוהם</t>
        </is>
      </c>
      <c r="C30" s="38" t="inlineStr">
        <is>
          <t>תורנות שבת</t>
        </is>
      </c>
      <c r="D30" s="37" t="inlineStr">
        <is>
          <t>בית מדרש · צהריים בשבת</t>
        </is>
      </c>
      <c r="E30" s="38" t="n">
        <v>2</v>
      </c>
    </row>
    <row r="31">
      <c r="A31" s="36" t="n">
        <v>46269</v>
      </c>
      <c r="B31" s="37" t="inlineStr">
        <is>
          <t>עפרי גזיאל</t>
        </is>
      </c>
      <c r="C31" s="38" t="inlineStr">
        <is>
          <t>תורנות שבת</t>
        </is>
      </c>
      <c r="D31" s="37" t="inlineStr">
        <is>
          <t>בית מדרש · צהריים בשבת</t>
        </is>
      </c>
      <c r="E31" s="38" t="n">
        <v>2</v>
      </c>
    </row>
    <row r="32">
      <c r="A32" s="36" t="n">
        <v>46269</v>
      </c>
      <c r="B32" s="37" t="inlineStr">
        <is>
          <t>קובי סמייסון</t>
        </is>
      </c>
      <c r="C32" s="38" t="inlineStr">
        <is>
          <t>תורנות שבת</t>
        </is>
      </c>
      <c r="D32" s="37" t="inlineStr">
        <is>
          <t>בית מדרש · צהריים בשבת</t>
        </is>
      </c>
      <c r="E32" s="38" t="n">
        <v>2</v>
      </c>
    </row>
    <row r="33">
      <c r="A33" s="36" t="n">
        <v>46269</v>
      </c>
      <c r="B33" s="37" t="inlineStr">
        <is>
          <t>אחיה נחמני</t>
        </is>
      </c>
      <c r="C33" s="38" t="inlineStr">
        <is>
          <t>תורנות שבת</t>
        </is>
      </c>
      <c r="D33" s="37" t="inlineStr">
        <is>
          <t>בית מדרש · קידוש</t>
        </is>
      </c>
      <c r="E33" s="38" t="n">
        <v>1</v>
      </c>
    </row>
    <row r="34">
      <c r="A34" s="36" t="n">
        <v>46269</v>
      </c>
      <c r="B34" s="37" t="inlineStr">
        <is>
          <t>יעל ברחד</t>
        </is>
      </c>
      <c r="C34" s="38" t="inlineStr">
        <is>
          <t>תורנות שבת</t>
        </is>
      </c>
      <c r="D34" s="37" t="inlineStr">
        <is>
          <t>בית מדרש · קידוש</t>
        </is>
      </c>
      <c r="E34" s="38" t="n">
        <v>1</v>
      </c>
    </row>
    <row r="35">
      <c r="A35" s="36" t="n">
        <v>46269</v>
      </c>
      <c r="B35" s="37" t="inlineStr">
        <is>
          <t>ליאור שימרלינג</t>
        </is>
      </c>
      <c r="C35" s="38" t="inlineStr">
        <is>
          <t>תורנות שבת</t>
        </is>
      </c>
      <c r="D35" s="37" t="inlineStr">
        <is>
          <t>בית מדרש · קידוש</t>
        </is>
      </c>
      <c r="E35" s="38" t="n">
        <v>1</v>
      </c>
    </row>
    <row r="36">
      <c r="A36" s="36" t="n">
        <v>46269</v>
      </c>
      <c r="B36" s="37" t="inlineStr">
        <is>
          <t>מעיין יוספי</t>
        </is>
      </c>
      <c r="C36" s="38" t="inlineStr">
        <is>
          <t>תורנות שבת</t>
        </is>
      </c>
      <c r="D36" s="37" t="inlineStr">
        <is>
          <t>בית מדרש · קידוש</t>
        </is>
      </c>
      <c r="E36" s="38" t="n">
        <v>1</v>
      </c>
    </row>
    <row r="37">
      <c r="A37" s="36" t="n">
        <v>46269</v>
      </c>
      <c r="B37" s="37" t="inlineStr">
        <is>
          <t>נעמי פונקלשטיין</t>
        </is>
      </c>
      <c r="C37" s="38" t="inlineStr">
        <is>
          <t>תורנות שבת</t>
        </is>
      </c>
      <c r="D37" s="37" t="inlineStr">
        <is>
          <t>בית מדרש · קידוש</t>
        </is>
      </c>
      <c r="E37" s="38" t="n">
        <v>1</v>
      </c>
    </row>
    <row r="38">
      <c r="A38" s="36" t="n">
        <v>46283</v>
      </c>
      <c r="B38" s="37" t="inlineStr">
        <is>
          <t>איתי גוסטינר</t>
        </is>
      </c>
      <c r="C38" s="38" t="inlineStr">
        <is>
          <t>הכנות שישי</t>
        </is>
      </c>
      <c r="D38" s="37" t="inlineStr">
        <is>
          <t>ארוחת צהריים שישי</t>
        </is>
      </c>
      <c r="E38" s="38" t="n">
        <v>3</v>
      </c>
    </row>
    <row r="39">
      <c r="A39" s="36" t="n">
        <v>46283</v>
      </c>
      <c r="B39" s="37" t="inlineStr">
        <is>
          <t>נבו בלוך</t>
        </is>
      </c>
      <c r="C39" s="38" t="inlineStr">
        <is>
          <t>הכנות שישי</t>
        </is>
      </c>
      <c r="D39" s="37" t="inlineStr">
        <is>
          <t>ארוחת צהריים שישי</t>
        </is>
      </c>
      <c r="E39" s="38" t="n">
        <v>3</v>
      </c>
    </row>
    <row r="40">
      <c r="A40" s="36" t="n">
        <v>46283</v>
      </c>
      <c r="B40" s="37" t="inlineStr">
        <is>
          <t>ניצן שטיין</t>
        </is>
      </c>
      <c r="C40" s="38" t="inlineStr">
        <is>
          <t>הכנות שישי</t>
        </is>
      </c>
      <c r="D40" s="37" t="inlineStr">
        <is>
          <t>בראוניז ללא גלוטן</t>
        </is>
      </c>
      <c r="E40" s="38" t="n">
        <v>3</v>
      </c>
    </row>
    <row r="41">
      <c r="A41" s="36" t="n">
        <v>46283</v>
      </c>
      <c r="B41" s="37" t="inlineStr">
        <is>
          <t>שי- לי וולגמוט</t>
        </is>
      </c>
      <c r="C41" s="38" t="inlineStr">
        <is>
          <t>הכנות שישי</t>
        </is>
      </c>
      <c r="D41" s="37" t="inlineStr">
        <is>
          <t>בראוניז ללא גלוטן</t>
        </is>
      </c>
      <c r="E41" s="38" t="n">
        <v>3</v>
      </c>
    </row>
    <row r="42">
      <c r="A42" s="36" t="n">
        <v>46283</v>
      </c>
      <c r="B42" s="37" t="inlineStr">
        <is>
          <t>איתמר אסנהיים</t>
        </is>
      </c>
      <c r="C42" s="38" t="inlineStr">
        <is>
          <t>הכנות שישי</t>
        </is>
      </c>
      <c r="D42" s="37" t="inlineStr">
        <is>
          <t>חלות</t>
        </is>
      </c>
      <c r="E42" s="38" t="n">
        <v>3</v>
      </c>
    </row>
    <row r="43">
      <c r="A43" s="36" t="n">
        <v>46283</v>
      </c>
      <c r="B43" s="37" t="inlineStr">
        <is>
          <t>אנה עזריאל</t>
        </is>
      </c>
      <c r="C43" s="38" t="inlineStr">
        <is>
          <t>הכנות שישי</t>
        </is>
      </c>
      <c r="D43" s="37" t="inlineStr">
        <is>
          <t>חלות</t>
        </is>
      </c>
      <c r="E43" s="38" t="n">
        <v>3</v>
      </c>
    </row>
    <row r="44">
      <c r="A44" s="36" t="n">
        <v>46283</v>
      </c>
      <c r="B44" s="37" t="inlineStr">
        <is>
          <t>ארבל פרנקו</t>
        </is>
      </c>
      <c r="C44" s="38" t="inlineStr">
        <is>
          <t>הכנות שישי</t>
        </is>
      </c>
      <c r="D44" s="37" t="inlineStr">
        <is>
          <t>חלות</t>
        </is>
      </c>
      <c r="E44" s="38" t="n">
        <v>3</v>
      </c>
    </row>
    <row r="45">
      <c r="A45" s="36" t="n">
        <v>46283</v>
      </c>
      <c r="B45" s="37" t="inlineStr">
        <is>
          <t>טליה קור</t>
        </is>
      </c>
      <c r="C45" s="38" t="inlineStr">
        <is>
          <t>הכנות שישי</t>
        </is>
      </c>
      <c r="D45" s="37" t="inlineStr">
        <is>
          <t>חלות</t>
        </is>
      </c>
      <c r="E45" s="38" t="n">
        <v>3</v>
      </c>
    </row>
    <row r="46">
      <c r="A46" s="36" t="n">
        <v>46283</v>
      </c>
      <c r="B46" s="37" t="inlineStr">
        <is>
          <t>רועי צבי סרי</t>
        </is>
      </c>
      <c r="C46" s="38" t="inlineStr">
        <is>
          <t>הכנות שישי</t>
        </is>
      </c>
      <c r="D46" s="37" t="inlineStr">
        <is>
          <t>חלות</t>
        </is>
      </c>
      <c r="E46" s="38" t="n">
        <v>3</v>
      </c>
    </row>
    <row r="47">
      <c r="A47" s="36" t="n">
        <v>46283</v>
      </c>
      <c r="B47" s="37" t="inlineStr">
        <is>
          <t>יעל קהת</t>
        </is>
      </c>
      <c r="C47" s="38" t="inlineStr">
        <is>
          <t>הכנות שישי</t>
        </is>
      </c>
      <c r="D47" s="37" t="inlineStr">
        <is>
          <t>מטבוחה</t>
        </is>
      </c>
      <c r="E47" s="38" t="n">
        <v>3</v>
      </c>
    </row>
    <row r="48">
      <c r="A48" s="36" t="n">
        <v>46283</v>
      </c>
      <c r="B48" s="37" t="inlineStr">
        <is>
          <t>נגה חוה כהן</t>
        </is>
      </c>
      <c r="C48" s="38" t="inlineStr">
        <is>
          <t>הכנות שישי</t>
        </is>
      </c>
      <c r="D48" s="37" t="inlineStr">
        <is>
          <t>מטבוחה</t>
        </is>
      </c>
      <c r="E48" s="38" t="n">
        <v>3</v>
      </c>
    </row>
    <row r="49">
      <c r="A49" s="36" t="n">
        <v>46283</v>
      </c>
      <c r="B49" s="37" t="inlineStr">
        <is>
          <t>שליו שישו</t>
        </is>
      </c>
      <c r="C49" s="38" t="inlineStr">
        <is>
          <t>הכנות שישי</t>
        </is>
      </c>
      <c r="D49" s="37" t="inlineStr">
        <is>
          <t>מטבוחה</t>
        </is>
      </c>
      <c r="E49" s="38" t="n">
        <v>3</v>
      </c>
    </row>
    <row r="50">
      <c r="A50" s="36" t="n">
        <v>46283</v>
      </c>
      <c r="B50" s="37" t="inlineStr">
        <is>
          <t>של״ו רובינשטיין</t>
        </is>
      </c>
      <c r="C50" s="38" t="inlineStr">
        <is>
          <t>הכנות שישי</t>
        </is>
      </c>
      <c r="D50" s="37" t="inlineStr">
        <is>
          <t>מטבוחה</t>
        </is>
      </c>
      <c r="E50" s="38" t="n">
        <v>3</v>
      </c>
    </row>
    <row r="51">
      <c r="A51" s="36" t="n">
        <v>46283</v>
      </c>
      <c r="B51" s="37" t="inlineStr">
        <is>
          <t>יובל יצחק</t>
        </is>
      </c>
      <c r="C51" s="38" t="inlineStr">
        <is>
          <t>הכנות שישי</t>
        </is>
      </c>
      <c r="D51" s="37" t="inlineStr">
        <is>
          <t>סלט חצילים</t>
        </is>
      </c>
      <c r="E51" s="38" t="n">
        <v>3</v>
      </c>
    </row>
    <row r="52">
      <c r="A52" s="36" t="n">
        <v>46283</v>
      </c>
      <c r="B52" s="37" t="inlineStr">
        <is>
          <t>שחר מרקוביץ' גליק</t>
        </is>
      </c>
      <c r="C52" s="38" t="inlineStr">
        <is>
          <t>הכנות שישי</t>
        </is>
      </c>
      <c r="D52" s="37" t="inlineStr">
        <is>
          <t>סלט חצילים</t>
        </is>
      </c>
      <c r="E52" s="38" t="n">
        <v>3</v>
      </c>
    </row>
    <row r="53">
      <c r="A53" s="36" t="n">
        <v>46283</v>
      </c>
      <c r="B53" s="37" t="inlineStr">
        <is>
          <t>איתן כהן</t>
        </is>
      </c>
      <c r="C53" s="38" t="inlineStr">
        <is>
          <t>הכנות שישי</t>
        </is>
      </c>
      <c r="D53" s="37" t="inlineStr">
        <is>
          <t>עוגות שמרים</t>
        </is>
      </c>
      <c r="E53" s="38" t="n">
        <v>3</v>
      </c>
    </row>
    <row r="54">
      <c r="A54" s="36" t="n">
        <v>46283</v>
      </c>
      <c r="B54" s="37" t="inlineStr">
        <is>
          <t>הילה עזרא</t>
        </is>
      </c>
      <c r="C54" s="38" t="inlineStr">
        <is>
          <t>הכנות שישי</t>
        </is>
      </c>
      <c r="D54" s="37" t="inlineStr">
        <is>
          <t>עוגות שמרים</t>
        </is>
      </c>
      <c r="E54" s="38" t="n">
        <v>3</v>
      </c>
    </row>
    <row r="55">
      <c r="A55" s="36" t="n">
        <v>46283</v>
      </c>
      <c r="B55" s="37" t="inlineStr">
        <is>
          <t>חיים שמאי</t>
        </is>
      </c>
      <c r="C55" s="38" t="inlineStr">
        <is>
          <t>הכנות שישי</t>
        </is>
      </c>
      <c r="D55" s="37" t="inlineStr">
        <is>
          <t>עוגות שמרים</t>
        </is>
      </c>
      <c r="E55" s="38" t="n">
        <v>3</v>
      </c>
    </row>
    <row r="56">
      <c r="A56" s="36" t="n">
        <v>46283</v>
      </c>
      <c r="B56" s="37" t="inlineStr">
        <is>
          <t>ירדן בן שחר</t>
        </is>
      </c>
      <c r="C56" s="38" t="inlineStr">
        <is>
          <t>הכנות שישי</t>
        </is>
      </c>
      <c r="D56" s="37" t="inlineStr">
        <is>
          <t>עוגות שמרים</t>
        </is>
      </c>
      <c r="E56" s="38" t="n">
        <v>3</v>
      </c>
    </row>
    <row r="57">
      <c r="A57" s="36" t="n">
        <v>46283</v>
      </c>
      <c r="B57" s="37" t="inlineStr">
        <is>
          <t>הילי אלפסי</t>
        </is>
      </c>
      <c r="C57" s="38" t="inlineStr">
        <is>
          <t>הכנות שישי</t>
        </is>
      </c>
      <c r="D57" s="37" t="inlineStr">
        <is>
          <t>עוגיות שוקולד צ'יפס</t>
        </is>
      </c>
      <c r="E57" s="38" t="n">
        <v>3</v>
      </c>
    </row>
    <row r="58">
      <c r="A58" s="36" t="n">
        <v>46283</v>
      </c>
      <c r="B58" s="37" t="inlineStr">
        <is>
          <t>יהב לוי</t>
        </is>
      </c>
      <c r="C58" s="38" t="inlineStr">
        <is>
          <t>הכנות שישי</t>
        </is>
      </c>
      <c r="D58" s="37" t="inlineStr">
        <is>
          <t>עוגיות שוקולד צ'יפס</t>
        </is>
      </c>
      <c r="E58" s="38" t="n">
        <v>3</v>
      </c>
    </row>
    <row r="59">
      <c r="A59" s="36" t="n">
        <v>46283</v>
      </c>
      <c r="B59" s="37" t="inlineStr">
        <is>
          <t>הילה לביא</t>
        </is>
      </c>
      <c r="C59" s="38" t="inlineStr">
        <is>
          <t>הכנות שישי</t>
        </is>
      </c>
      <c r="D59" s="37" t="inlineStr">
        <is>
          <t>עוגת דבש</t>
        </is>
      </c>
      <c r="E59" s="38" t="n">
        <v>3</v>
      </c>
    </row>
    <row r="60">
      <c r="A60" s="36" t="n">
        <v>46283</v>
      </c>
      <c r="B60" s="37" t="inlineStr">
        <is>
          <t>משה אוברשטיין</t>
        </is>
      </c>
      <c r="C60" s="38" t="inlineStr">
        <is>
          <t>הכנות שישי</t>
        </is>
      </c>
      <c r="D60" s="37" t="inlineStr">
        <is>
          <t>עוגת דבש</t>
        </is>
      </c>
      <c r="E60" s="38" t="n">
        <v>3</v>
      </c>
    </row>
    <row r="61">
      <c r="A61" s="36" t="n">
        <v>46283</v>
      </c>
      <c r="B61" s="37" t="inlineStr">
        <is>
          <t>אורי אסף</t>
        </is>
      </c>
      <c r="C61" s="38" t="inlineStr">
        <is>
          <t>תורנות שבת</t>
        </is>
      </c>
      <c r="D61" s="37" t="inlineStr">
        <is>
          <t>ארוחת ערב</t>
        </is>
      </c>
      <c r="E61" s="38" t="n">
        <v>2</v>
      </c>
    </row>
    <row r="62">
      <c r="A62" s="36" t="n">
        <v>46283</v>
      </c>
      <c r="B62" s="37" t="inlineStr">
        <is>
          <t>איתן וינסטון</t>
        </is>
      </c>
      <c r="C62" s="38" t="inlineStr">
        <is>
          <t>תורנות שבת</t>
        </is>
      </c>
      <c r="D62" s="37" t="inlineStr">
        <is>
          <t>ארוחת ערב</t>
        </is>
      </c>
      <c r="E62" s="38" t="n">
        <v>2</v>
      </c>
    </row>
    <row r="63">
      <c r="A63" s="36" t="n">
        <v>46283</v>
      </c>
      <c r="B63" s="37" t="inlineStr">
        <is>
          <t>אלה גוטליב</t>
        </is>
      </c>
      <c r="C63" s="38" t="inlineStr">
        <is>
          <t>תורנות שבת</t>
        </is>
      </c>
      <c r="D63" s="37" t="inlineStr">
        <is>
          <t>ארוחת ערב</t>
        </is>
      </c>
      <c r="E63" s="38" t="n">
        <v>2</v>
      </c>
    </row>
    <row r="64">
      <c r="A64" s="36" t="n">
        <v>46283</v>
      </c>
      <c r="B64" s="37" t="inlineStr">
        <is>
          <t>זואי כהן</t>
        </is>
      </c>
      <c r="C64" s="38" t="inlineStr">
        <is>
          <t>תורנות שבת</t>
        </is>
      </c>
      <c r="D64" s="37" t="inlineStr">
        <is>
          <t>ארוחת ערב</t>
        </is>
      </c>
      <c r="E64" s="38" t="n">
        <v>2</v>
      </c>
    </row>
    <row r="65">
      <c r="A65" s="36" t="n">
        <v>46283</v>
      </c>
      <c r="B65" s="37" t="inlineStr">
        <is>
          <t>חיים שמאי</t>
        </is>
      </c>
      <c r="C65" s="38" t="inlineStr">
        <is>
          <t>תורנות שבת</t>
        </is>
      </c>
      <c r="D65" s="37" t="inlineStr">
        <is>
          <t>ארוחת ערב</t>
        </is>
      </c>
      <c r="E65" s="38" t="n">
        <v>2</v>
      </c>
    </row>
    <row r="66">
      <c r="A66" s="36" t="n">
        <v>46283</v>
      </c>
      <c r="B66" s="37" t="inlineStr">
        <is>
          <t>יונתן לירז</t>
        </is>
      </c>
      <c r="C66" s="38" t="inlineStr">
        <is>
          <t>תורנות שבת</t>
        </is>
      </c>
      <c r="D66" s="37" t="inlineStr">
        <is>
          <t>ארוחת ערב</t>
        </is>
      </c>
      <c r="E66" s="38" t="n">
        <v>2</v>
      </c>
    </row>
    <row r="67">
      <c r="A67" s="36" t="n">
        <v>46283</v>
      </c>
      <c r="B67" s="37" t="inlineStr">
        <is>
          <t>עמית שי אברהם</t>
        </is>
      </c>
      <c r="C67" s="38" t="inlineStr">
        <is>
          <t>תורנות שבת</t>
        </is>
      </c>
      <c r="D67" s="37" t="inlineStr">
        <is>
          <t>ארוחת ערב</t>
        </is>
      </c>
      <c r="E67" s="38" t="n">
        <v>2</v>
      </c>
    </row>
    <row r="68">
      <c r="A68" s="36" t="n">
        <v>46283</v>
      </c>
      <c r="B68" s="37" t="inlineStr">
        <is>
          <t>שירה ספונוב</t>
        </is>
      </c>
      <c r="C68" s="38" t="inlineStr">
        <is>
          <t>תורנות שבת</t>
        </is>
      </c>
      <c r="D68" s="37" t="inlineStr">
        <is>
          <t>ארוחת ערב</t>
        </is>
      </c>
      <c r="E68" s="38" t="n">
        <v>2</v>
      </c>
    </row>
    <row r="69">
      <c r="A69" s="36" t="n">
        <v>46283</v>
      </c>
      <c r="B69" s="37" t="inlineStr">
        <is>
          <t>איתמר אסנהיים</t>
        </is>
      </c>
      <c r="C69" s="38" t="inlineStr">
        <is>
          <t>תורנות שבת</t>
        </is>
      </c>
      <c r="D69" s="37" t="inlineStr">
        <is>
          <t>ארוחת צהריים שבת</t>
        </is>
      </c>
      <c r="E69" s="38" t="n">
        <v>2</v>
      </c>
    </row>
    <row r="70">
      <c r="A70" s="36" t="n">
        <v>46283</v>
      </c>
      <c r="B70" s="37" t="inlineStr">
        <is>
          <t>נגה שוהם</t>
        </is>
      </c>
      <c r="C70" s="38" t="inlineStr">
        <is>
          <t>תורנות שבת</t>
        </is>
      </c>
      <c r="D70" s="37" t="inlineStr">
        <is>
          <t>ארוחת צהריים שבת</t>
        </is>
      </c>
      <c r="E70" s="38" t="n">
        <v>2</v>
      </c>
    </row>
    <row r="71">
      <c r="A71" s="36" t="n">
        <v>46283</v>
      </c>
      <c r="B71" s="37" t="inlineStr">
        <is>
          <t>נדב טוקר</t>
        </is>
      </c>
      <c r="C71" s="38" t="inlineStr">
        <is>
          <t>תורנות שבת</t>
        </is>
      </c>
      <c r="D71" s="37" t="inlineStr">
        <is>
          <t>ארוחת צהריים שבת</t>
        </is>
      </c>
      <c r="E71" s="38" t="n">
        <v>2</v>
      </c>
    </row>
    <row r="72">
      <c r="A72" s="36" t="n">
        <v>46283</v>
      </c>
      <c r="B72" s="37" t="inlineStr">
        <is>
          <t>נעמי פונקלשטיין</t>
        </is>
      </c>
      <c r="C72" s="38" t="inlineStr">
        <is>
          <t>תורנות שבת</t>
        </is>
      </c>
      <c r="D72" s="37" t="inlineStr">
        <is>
          <t>ארוחת צהריים שבת</t>
        </is>
      </c>
      <c r="E72" s="38" t="n">
        <v>2</v>
      </c>
    </row>
    <row r="73">
      <c r="A73" s="36" t="n">
        <v>46283</v>
      </c>
      <c r="B73" s="37" t="inlineStr">
        <is>
          <t>עפרי גזיאל</t>
        </is>
      </c>
      <c r="C73" s="38" t="inlineStr">
        <is>
          <t>תורנות שבת</t>
        </is>
      </c>
      <c r="D73" s="37" t="inlineStr">
        <is>
          <t>ארוחת צהריים שבת</t>
        </is>
      </c>
      <c r="E73" s="38" t="n">
        <v>2</v>
      </c>
    </row>
    <row r="74">
      <c r="A74" s="36" t="n">
        <v>46283</v>
      </c>
      <c r="B74" s="37" t="inlineStr">
        <is>
          <t>אחיה נחמני</t>
        </is>
      </c>
      <c r="C74" s="38" t="inlineStr">
        <is>
          <t>תורנות שבת</t>
        </is>
      </c>
      <c r="D74" s="37" t="inlineStr">
        <is>
          <t>טיש</t>
        </is>
      </c>
      <c r="E74" s="38" t="n">
        <v>1</v>
      </c>
    </row>
    <row r="75">
      <c r="A75" s="36" t="n">
        <v>46283</v>
      </c>
      <c r="B75" s="37" t="inlineStr">
        <is>
          <t>הדר עמדי</t>
        </is>
      </c>
      <c r="C75" s="38" t="inlineStr">
        <is>
          <t>תורנות שבת</t>
        </is>
      </c>
      <c r="D75" s="37" t="inlineStr">
        <is>
          <t>טיש</t>
        </is>
      </c>
      <c r="E75" s="38" t="n">
        <v>1</v>
      </c>
    </row>
    <row r="76">
      <c r="A76" s="36" t="n">
        <v>46283</v>
      </c>
      <c r="B76" s="37" t="inlineStr">
        <is>
          <t>מעיין יוספי</t>
        </is>
      </c>
      <c r="C76" s="38" t="inlineStr">
        <is>
          <t>תורנות שבת</t>
        </is>
      </c>
      <c r="D76" s="37" t="inlineStr">
        <is>
          <t>טיש</t>
        </is>
      </c>
      <c r="E76" s="38" t="n">
        <v>1</v>
      </c>
    </row>
    <row r="77">
      <c r="A77" s="36" t="n">
        <v>46283</v>
      </c>
      <c r="B77" s="37" t="inlineStr">
        <is>
          <t>מעיין רחל דינר</t>
        </is>
      </c>
      <c r="C77" s="38" t="inlineStr">
        <is>
          <t>תורנות שבת</t>
        </is>
      </c>
      <c r="D77" s="37" t="inlineStr">
        <is>
          <t>טיש</t>
        </is>
      </c>
      <c r="E77" s="38" t="n">
        <v>1</v>
      </c>
    </row>
    <row r="78">
      <c r="A78" s="36" t="n">
        <v>46283</v>
      </c>
      <c r="B78" s="37" t="inlineStr">
        <is>
          <t>רוני כהן</t>
        </is>
      </c>
      <c r="C78" s="38" t="inlineStr">
        <is>
          <t>תורנות שבת</t>
        </is>
      </c>
      <c r="D78" s="37" t="inlineStr">
        <is>
          <t>טיש</t>
        </is>
      </c>
      <c r="E78" s="38" t="n">
        <v>1</v>
      </c>
    </row>
    <row r="79">
      <c r="A79" s="36" t="n">
        <v>46283</v>
      </c>
      <c r="B79" s="37" t="inlineStr">
        <is>
          <t>אריאלה מרכוס</t>
        </is>
      </c>
      <c r="C79" s="38" t="inlineStr">
        <is>
          <t>תורנות שבת</t>
        </is>
      </c>
      <c r="D79" s="37" t="inlineStr">
        <is>
          <t>קידוש</t>
        </is>
      </c>
      <c r="E79" s="38" t="n">
        <v>1</v>
      </c>
    </row>
    <row r="80">
      <c r="A80" s="36" t="n">
        <v>46283</v>
      </c>
      <c r="B80" s="37" t="inlineStr">
        <is>
          <t>דנה שם טוב</t>
        </is>
      </c>
      <c r="C80" s="38" t="inlineStr">
        <is>
          <t>תורנות שבת</t>
        </is>
      </c>
      <c r="D80" s="37" t="inlineStr">
        <is>
          <t>קידוש</t>
        </is>
      </c>
      <c r="E80" s="38" t="n">
        <v>1</v>
      </c>
    </row>
    <row r="81">
      <c r="A81" s="36" t="n">
        <v>46283</v>
      </c>
      <c r="B81" s="37" t="inlineStr">
        <is>
          <t>יעל ברחד</t>
        </is>
      </c>
      <c r="C81" s="38" t="inlineStr">
        <is>
          <t>תורנות שבת</t>
        </is>
      </c>
      <c r="D81" s="37" t="inlineStr">
        <is>
          <t>קידוש</t>
        </is>
      </c>
      <c r="E81" s="38" t="n">
        <v>1</v>
      </c>
    </row>
    <row r="82">
      <c r="A82" s="36" t="n">
        <v>46283</v>
      </c>
      <c r="B82" s="37" t="inlineStr">
        <is>
          <t>ליאור שימרלינג</t>
        </is>
      </c>
      <c r="C82" s="38" t="inlineStr">
        <is>
          <t>תורנות שבת</t>
        </is>
      </c>
      <c r="D82" s="37" t="inlineStr">
        <is>
          <t>קידוש</t>
        </is>
      </c>
      <c r="E82" s="38" t="n">
        <v>1</v>
      </c>
    </row>
    <row r="83">
      <c r="A83" s="36" t="n">
        <v>46283</v>
      </c>
      <c r="B83" s="37" t="inlineStr">
        <is>
          <t>עמרי קולטון</t>
        </is>
      </c>
      <c r="C83" s="38" t="inlineStr">
        <is>
          <t>תורנות שבת</t>
        </is>
      </c>
      <c r="D83" s="37" t="inlineStr">
        <is>
          <t>קידוש</t>
        </is>
      </c>
      <c r="E83" s="38" t="n">
        <v>1</v>
      </c>
    </row>
    <row r="84">
      <c r="A84" s="36" t="n">
        <v>46283</v>
      </c>
      <c r="B84" s="37" t="inlineStr">
        <is>
          <t>אורי טילינגר</t>
        </is>
      </c>
      <c r="C84" s="38" t="inlineStr">
        <is>
          <t>תורנות שישי</t>
        </is>
      </c>
      <c r="D84" s="37" t="inlineStr">
        <is>
          <t>בית מדרש</t>
        </is>
      </c>
      <c r="E84" s="38" t="n">
        <v>3</v>
      </c>
    </row>
    <row r="85">
      <c r="A85" s="36" t="n">
        <v>46283</v>
      </c>
      <c r="B85" s="37" t="inlineStr">
        <is>
          <t>איתי בן יהודה</t>
        </is>
      </c>
      <c r="C85" s="38" t="inlineStr">
        <is>
          <t>תורנות שישי</t>
        </is>
      </c>
      <c r="D85" s="37" t="inlineStr">
        <is>
          <t>בית מדרש</t>
        </is>
      </c>
      <c r="E85" s="38" t="n">
        <v>3</v>
      </c>
    </row>
    <row r="86">
      <c r="A86" s="36" t="n">
        <v>46283</v>
      </c>
      <c r="B86" s="37" t="inlineStr">
        <is>
          <t>איתי בן מנחם</t>
        </is>
      </c>
      <c r="C86" s="38" t="inlineStr">
        <is>
          <t>תורנות שישי</t>
        </is>
      </c>
      <c r="D86" s="37" t="inlineStr">
        <is>
          <t>בית מדרש</t>
        </is>
      </c>
      <c r="E86" s="38" t="n">
        <v>3</v>
      </c>
    </row>
    <row r="87">
      <c r="A87" s="36" t="n">
        <v>46283</v>
      </c>
      <c r="B87" s="37" t="inlineStr">
        <is>
          <t>איתי רוס</t>
        </is>
      </c>
      <c r="C87" s="38" t="inlineStr">
        <is>
          <t>תורנות שישי</t>
        </is>
      </c>
      <c r="D87" s="37" t="inlineStr">
        <is>
          <t>בית מדרש</t>
        </is>
      </c>
      <c r="E87" s="38" t="n">
        <v>3</v>
      </c>
    </row>
    <row r="88">
      <c r="A88" s="36" t="n">
        <v>46283</v>
      </c>
      <c r="B88" s="37" t="inlineStr">
        <is>
          <t>איתן וינסטון</t>
        </is>
      </c>
      <c r="C88" s="38" t="inlineStr">
        <is>
          <t>תורנות שישי</t>
        </is>
      </c>
      <c r="D88" s="37" t="inlineStr">
        <is>
          <t>בית מדרש</t>
        </is>
      </c>
      <c r="E88" s="38" t="n">
        <v>3</v>
      </c>
    </row>
    <row r="89">
      <c r="A89" s="36" t="n">
        <v>46283</v>
      </c>
      <c r="B89" s="37" t="inlineStr">
        <is>
          <t>אלה מאיר</t>
        </is>
      </c>
      <c r="C89" s="38" t="inlineStr">
        <is>
          <t>תורנות שישי</t>
        </is>
      </c>
      <c r="D89" s="37" t="inlineStr">
        <is>
          <t>בית מדרש</t>
        </is>
      </c>
      <c r="E89" s="38" t="n">
        <v>3</v>
      </c>
    </row>
    <row r="90">
      <c r="A90" s="36" t="n">
        <v>46283</v>
      </c>
      <c r="B90" s="37" t="inlineStr">
        <is>
          <t>נועם ישראל קומפאס</t>
        </is>
      </c>
      <c r="C90" s="38" t="inlineStr">
        <is>
          <t>תורנות שישי</t>
        </is>
      </c>
      <c r="D90" s="37" t="inlineStr">
        <is>
          <t>בית מדרש</t>
        </is>
      </c>
      <c r="E90" s="38" t="n">
        <v>3</v>
      </c>
    </row>
    <row r="91">
      <c r="A91" s="36" t="n">
        <v>46283</v>
      </c>
      <c r="B91" s="37" t="inlineStr">
        <is>
          <t>סהר שירון</t>
        </is>
      </c>
      <c r="C91" s="38" t="inlineStr">
        <is>
          <t>תורנות שישי</t>
        </is>
      </c>
      <c r="D91" s="37" t="inlineStr">
        <is>
          <t>בית מדרש</t>
        </is>
      </c>
      <c r="E91" s="38" t="n">
        <v>3</v>
      </c>
    </row>
    <row r="92">
      <c r="A92" s="36" t="n">
        <v>46283</v>
      </c>
      <c r="B92" s="37" t="inlineStr">
        <is>
          <t>עומר יוסף גנון</t>
        </is>
      </c>
      <c r="C92" s="38" t="inlineStr">
        <is>
          <t>תורנות שישי</t>
        </is>
      </c>
      <c r="D92" s="37" t="inlineStr">
        <is>
          <t>בית מדרש</t>
        </is>
      </c>
      <c r="E92" s="38" t="n">
        <v>3</v>
      </c>
    </row>
    <row r="93">
      <c r="A93" s="36" t="n">
        <v>46283</v>
      </c>
      <c r="B93" s="37" t="inlineStr">
        <is>
          <t>עופר בביוף</t>
        </is>
      </c>
      <c r="C93" s="38" t="inlineStr">
        <is>
          <t>תורנות שישי</t>
        </is>
      </c>
      <c r="D93" s="37" t="inlineStr">
        <is>
          <t>בית מדרש</t>
        </is>
      </c>
      <c r="E93" s="38" t="n">
        <v>3</v>
      </c>
    </row>
    <row r="94">
      <c r="A94" s="36" t="n">
        <v>46283</v>
      </c>
      <c r="B94" s="37" t="inlineStr">
        <is>
          <t>עשהאל ירושלמי</t>
        </is>
      </c>
      <c r="C94" s="38" t="inlineStr">
        <is>
          <t>תורנות שישי</t>
        </is>
      </c>
      <c r="D94" s="37" t="inlineStr">
        <is>
          <t>בית מדרש</t>
        </is>
      </c>
      <c r="E94" s="38" t="n">
        <v>3</v>
      </c>
    </row>
    <row r="95">
      <c r="A95" s="36" t="n">
        <v>46283</v>
      </c>
      <c r="B95" s="37" t="inlineStr">
        <is>
          <t>פרת פולס</t>
        </is>
      </c>
      <c r="C95" s="38" t="inlineStr">
        <is>
          <t>תורנות שישי</t>
        </is>
      </c>
      <c r="D95" s="37" t="inlineStr">
        <is>
          <t>בית מדרש</t>
        </is>
      </c>
      <c r="E95" s="38" t="n">
        <v>3</v>
      </c>
    </row>
    <row r="96">
      <c r="A96" s="36" t="n">
        <v>46283</v>
      </c>
      <c r="B96" s="37" t="inlineStr">
        <is>
          <t>רותם דרור</t>
        </is>
      </c>
      <c r="C96" s="38" t="inlineStr">
        <is>
          <t>תורנות שישי</t>
        </is>
      </c>
      <c r="D96" s="37" t="inlineStr">
        <is>
          <t>בית מדרש</t>
        </is>
      </c>
      <c r="E96" s="38" t="n">
        <v>3</v>
      </c>
    </row>
    <row r="97">
      <c r="A97" s="36" t="n">
        <v>46283</v>
      </c>
      <c r="B97" s="37" t="inlineStr">
        <is>
          <t>שירה אדלה לוזון</t>
        </is>
      </c>
      <c r="C97" s="38" t="inlineStr">
        <is>
          <t>תורנות שישי</t>
        </is>
      </c>
      <c r="D97" s="37" t="inlineStr">
        <is>
          <t>בית מדרש</t>
        </is>
      </c>
      <c r="E97" s="38" t="n">
        <v>3</v>
      </c>
    </row>
    <row r="98">
      <c r="A98" s="36" t="n">
        <v>46283</v>
      </c>
      <c r="B98" s="37" t="inlineStr">
        <is>
          <t>תמר פרידמן</t>
        </is>
      </c>
      <c r="C98" s="38" t="inlineStr">
        <is>
          <t>תורנות שישי</t>
        </is>
      </c>
      <c r="D98" s="37" t="inlineStr">
        <is>
          <t>בית מדרש</t>
        </is>
      </c>
      <c r="E98" s="38" t="n">
        <v>3</v>
      </c>
    </row>
    <row r="99">
      <c r="A99" s="36" t="n">
        <v>46283</v>
      </c>
      <c r="B99" s="37" t="inlineStr">
        <is>
          <t>תמר פרימור</t>
        </is>
      </c>
      <c r="C99" s="38" t="inlineStr">
        <is>
          <t>תורנות שישי</t>
        </is>
      </c>
      <c r="D99" s="37" t="inlineStr">
        <is>
          <t>בית מדרש</t>
        </is>
      </c>
      <c r="E99" s="38" t="n">
        <v>3</v>
      </c>
    </row>
    <row r="100">
      <c r="A100" s="36" t="n">
        <v>46311</v>
      </c>
      <c r="B100" s="37" t="inlineStr">
        <is>
          <t>אחיה נחמני</t>
        </is>
      </c>
      <c r="C100" s="38" t="inlineStr">
        <is>
          <t>הכנות שישי</t>
        </is>
      </c>
      <c r="D100" s="37" t="inlineStr">
        <is>
          <t>ארוחת צהריים שישי</t>
        </is>
      </c>
      <c r="E100" s="38" t="n">
        <v>3</v>
      </c>
    </row>
    <row r="101">
      <c r="A101" s="36" t="n">
        <v>46311</v>
      </c>
      <c r="B101" s="37" t="inlineStr">
        <is>
          <t>עמית סיילס</t>
        </is>
      </c>
      <c r="C101" s="38" t="inlineStr">
        <is>
          <t>הכנות שישי</t>
        </is>
      </c>
      <c r="D101" s="37" t="inlineStr">
        <is>
          <t>ארוחת צהריים שישי</t>
        </is>
      </c>
      <c r="E101" s="38" t="n">
        <v>3</v>
      </c>
    </row>
    <row r="102">
      <c r="A102" s="36" t="n">
        <v>46311</v>
      </c>
      <c r="B102" s="37" t="inlineStr">
        <is>
          <t>עמית שי אברהם</t>
        </is>
      </c>
      <c r="C102" s="38" t="inlineStr">
        <is>
          <t>הכנות שישי</t>
        </is>
      </c>
      <c r="D102" s="37" t="inlineStr">
        <is>
          <t>ארוחת צהריים שישי</t>
        </is>
      </c>
      <c r="E102" s="38" t="n">
        <v>3</v>
      </c>
    </row>
    <row r="103">
      <c r="A103" s="36" t="n">
        <v>46311</v>
      </c>
      <c r="B103" s="37" t="inlineStr">
        <is>
          <t>של״ו רובינשטיין</t>
        </is>
      </c>
      <c r="C103" s="38" t="inlineStr">
        <is>
          <t>הכנות שישי</t>
        </is>
      </c>
      <c r="D103" s="37" t="inlineStr">
        <is>
          <t>ארוחת צהריים שישי</t>
        </is>
      </c>
      <c r="E103" s="38" t="n">
        <v>3</v>
      </c>
    </row>
    <row r="104">
      <c r="A104" s="36" t="n">
        <v>46311</v>
      </c>
      <c r="B104" s="37" t="inlineStr">
        <is>
          <t>הלל פינגולד</t>
        </is>
      </c>
      <c r="C104" s="38" t="inlineStr">
        <is>
          <t>הכנות שישי</t>
        </is>
      </c>
      <c r="D104" s="37" t="inlineStr">
        <is>
          <t>חלות</t>
        </is>
      </c>
      <c r="E104" s="38" t="n">
        <v>3</v>
      </c>
    </row>
    <row r="105">
      <c r="A105" s="36" t="n">
        <v>46311</v>
      </c>
      <c r="B105" s="37" t="inlineStr">
        <is>
          <t>ניצן גמלא</t>
        </is>
      </c>
      <c r="C105" s="38" t="inlineStr">
        <is>
          <t>הכנות שישי</t>
        </is>
      </c>
      <c r="D105" s="37" t="inlineStr">
        <is>
          <t>חלות</t>
        </is>
      </c>
      <c r="E105" s="38" t="n">
        <v>3</v>
      </c>
    </row>
    <row r="106">
      <c r="A106" s="36" t="n">
        <v>46311</v>
      </c>
      <c r="B106" s="37" t="inlineStr">
        <is>
          <t>רוני כהן</t>
        </is>
      </c>
      <c r="C106" s="38" t="inlineStr">
        <is>
          <t>הכנות שישי</t>
        </is>
      </c>
      <c r="D106" s="37" t="inlineStr">
        <is>
          <t>חלות</t>
        </is>
      </c>
      <c r="E106" s="38" t="n">
        <v>3</v>
      </c>
    </row>
    <row r="107">
      <c r="A107" s="36" t="n">
        <v>46311</v>
      </c>
      <c r="B107" s="37" t="inlineStr">
        <is>
          <t>אלה גוטליב</t>
        </is>
      </c>
      <c r="C107" s="38" t="inlineStr">
        <is>
          <t>הכנות שישי</t>
        </is>
      </c>
      <c r="D107" s="37" t="inlineStr">
        <is>
          <t>מטבוחה</t>
        </is>
      </c>
      <c r="E107" s="38" t="n">
        <v>3</v>
      </c>
    </row>
    <row r="108">
      <c r="A108" s="36" t="n">
        <v>46311</v>
      </c>
      <c r="B108" s="37" t="inlineStr">
        <is>
          <t>הדר עמדי</t>
        </is>
      </c>
      <c r="C108" s="38" t="inlineStr">
        <is>
          <t>הכנות שישי</t>
        </is>
      </c>
      <c r="D108" s="37" t="inlineStr">
        <is>
          <t>מטבוחה</t>
        </is>
      </c>
      <c r="E108" s="38" t="n">
        <v>3</v>
      </c>
    </row>
    <row r="109">
      <c r="A109" s="36" t="n">
        <v>46311</v>
      </c>
      <c r="B109" s="37" t="inlineStr">
        <is>
          <t>ליבי בוכריס</t>
        </is>
      </c>
      <c r="C109" s="38" t="inlineStr">
        <is>
          <t>הכנות שישי</t>
        </is>
      </c>
      <c r="D109" s="37" t="inlineStr">
        <is>
          <t>מטבוחה</t>
        </is>
      </c>
      <c r="E109" s="38" t="n">
        <v>3</v>
      </c>
    </row>
    <row r="110">
      <c r="A110" s="36" t="n">
        <v>46311</v>
      </c>
      <c r="B110" s="37" t="inlineStr">
        <is>
          <t>שחר קרן</t>
        </is>
      </c>
      <c r="C110" s="38" t="inlineStr">
        <is>
          <t>הכנות שישי</t>
        </is>
      </c>
      <c r="D110" s="37" t="inlineStr">
        <is>
          <t>מטבוחה</t>
        </is>
      </c>
      <c r="E110" s="38" t="n">
        <v>3</v>
      </c>
    </row>
    <row r="111">
      <c r="A111" s="36" t="n">
        <v>46311</v>
      </c>
      <c r="B111" s="37" t="inlineStr">
        <is>
          <t>מאיה פקטר</t>
        </is>
      </c>
      <c r="C111" s="38" t="inlineStr">
        <is>
          <t>הכנות שישי</t>
        </is>
      </c>
      <c r="D111" s="37" t="inlineStr">
        <is>
          <t>עוגיות שוקולד צ'יפס</t>
        </is>
      </c>
      <c r="E111" s="38" t="n">
        <v>3</v>
      </c>
    </row>
    <row r="112">
      <c r="A112" s="36" t="n">
        <v>46311</v>
      </c>
      <c r="B112" s="37" t="inlineStr">
        <is>
          <t>קובי סמייסון</t>
        </is>
      </c>
      <c r="C112" s="38" t="inlineStr">
        <is>
          <t>הכנות שישי</t>
        </is>
      </c>
      <c r="D112" s="37" t="inlineStr">
        <is>
          <t>עוגיות שוקולד צ'יפס</t>
        </is>
      </c>
      <c r="E112" s="38" t="n">
        <v>3</v>
      </c>
    </row>
    <row r="113">
      <c r="A113" s="36" t="n">
        <v>46311</v>
      </c>
      <c r="B113" s="37" t="inlineStr">
        <is>
          <t>בניה מעוז</t>
        </is>
      </c>
      <c r="C113" s="38" t="inlineStr">
        <is>
          <t>הכנות שישי</t>
        </is>
      </c>
      <c r="D113" s="37" t="inlineStr">
        <is>
          <t>עוגת שוקולד</t>
        </is>
      </c>
      <c r="E113" s="38" t="n">
        <v>3</v>
      </c>
    </row>
    <row r="114">
      <c r="A114" s="36" t="n">
        <v>46311</v>
      </c>
      <c r="B114" s="37" t="inlineStr">
        <is>
          <t>הילה לביא</t>
        </is>
      </c>
      <c r="C114" s="38" t="inlineStr">
        <is>
          <t>הכנות שישי</t>
        </is>
      </c>
      <c r="D114" s="37" t="inlineStr">
        <is>
          <t>עוגת שוקולד</t>
        </is>
      </c>
      <c r="E114" s="38" t="n">
        <v>3</v>
      </c>
    </row>
    <row r="115">
      <c r="A115" s="36" t="n">
        <v>46311</v>
      </c>
      <c r="B115" s="37" t="inlineStr">
        <is>
          <t>איתן כהן</t>
        </is>
      </c>
      <c r="C115" s="38" t="inlineStr">
        <is>
          <t>הכנות שישי</t>
        </is>
      </c>
      <c r="D115" s="37" t="inlineStr">
        <is>
          <t>עוגת שמרים</t>
        </is>
      </c>
      <c r="E115" s="38" t="n">
        <v>3</v>
      </c>
    </row>
    <row r="116">
      <c r="A116" s="36" t="n">
        <v>46311</v>
      </c>
      <c r="B116" s="37" t="inlineStr">
        <is>
          <t>אלרואי גרינברג</t>
        </is>
      </c>
      <c r="C116" s="38" t="inlineStr">
        <is>
          <t>הכנות שישי</t>
        </is>
      </c>
      <c r="D116" s="37" t="inlineStr">
        <is>
          <t>עוגת שמרים</t>
        </is>
      </c>
      <c r="E116" s="38" t="n">
        <v>3</v>
      </c>
    </row>
    <row r="117">
      <c r="A117" s="36" t="n">
        <v>46311</v>
      </c>
      <c r="B117" s="37" t="inlineStr">
        <is>
          <t>רגב שהם</t>
        </is>
      </c>
      <c r="C117" s="38" t="inlineStr">
        <is>
          <t>הכנות שישי</t>
        </is>
      </c>
      <c r="D117" s="37" t="inlineStr">
        <is>
          <t>עוגת שמרים</t>
        </is>
      </c>
      <c r="E117" s="38" t="n">
        <v>3</v>
      </c>
    </row>
    <row r="118">
      <c r="A118" s="36" t="n">
        <v>46311</v>
      </c>
      <c r="B118" s="37" t="inlineStr">
        <is>
          <t>אלה גוטליב</t>
        </is>
      </c>
      <c r="C118" s="38" t="inlineStr">
        <is>
          <t>תורנות מוצ"ש</t>
        </is>
      </c>
      <c r="D118" s="37" t="inlineStr">
        <is>
          <t>ארוחת ערב מוצ"ש</t>
        </is>
      </c>
      <c r="E118" s="38" t="n">
        <v>3</v>
      </c>
    </row>
    <row r="119">
      <c r="A119" s="36" t="n">
        <v>46311</v>
      </c>
      <c r="B119" s="37" t="inlineStr">
        <is>
          <t>ירדן בן שחר</t>
        </is>
      </c>
      <c r="C119" s="38" t="inlineStr">
        <is>
          <t>תורנות מוצ"ש</t>
        </is>
      </c>
      <c r="D119" s="37" t="inlineStr">
        <is>
          <t>ארוחת ערב מוצ"ש</t>
        </is>
      </c>
      <c r="E119" s="38" t="n">
        <v>3</v>
      </c>
    </row>
    <row r="120">
      <c r="A120" s="36" t="n">
        <v>46311</v>
      </c>
      <c r="B120" s="37" t="inlineStr">
        <is>
          <t>משה אוברשטיין</t>
        </is>
      </c>
      <c r="C120" s="38" t="inlineStr">
        <is>
          <t>תורנות מוצ"ש</t>
        </is>
      </c>
      <c r="D120" s="37" t="inlineStr">
        <is>
          <t>ארוחת ערב מוצ"ש</t>
        </is>
      </c>
      <c r="E120" s="38" t="n">
        <v>3</v>
      </c>
    </row>
    <row r="121">
      <c r="A121" s="36" t="n">
        <v>46311</v>
      </c>
      <c r="B121" s="37" t="inlineStr">
        <is>
          <t>שחר קרן</t>
        </is>
      </c>
      <c r="C121" s="38" t="inlineStr">
        <is>
          <t>תורנות מוצ"ש</t>
        </is>
      </c>
      <c r="D121" s="37" t="inlineStr">
        <is>
          <t>ארוחת ערב מוצ"ש</t>
        </is>
      </c>
      <c r="E121" s="38" t="n">
        <v>3</v>
      </c>
    </row>
    <row r="122">
      <c r="A122" s="36" t="n">
        <v>46311</v>
      </c>
      <c r="B122" s="37" t="inlineStr">
        <is>
          <t>תמר פרידמן</t>
        </is>
      </c>
      <c r="C122" s="38" t="inlineStr">
        <is>
          <t>תורנות מוצ"ש</t>
        </is>
      </c>
      <c r="D122" s="37" t="inlineStr">
        <is>
          <t>ארוחת ערב מוצ"ש</t>
        </is>
      </c>
      <c r="E122" s="38" t="n">
        <v>3</v>
      </c>
    </row>
    <row r="123">
      <c r="A123" s="36" t="n">
        <v>46311</v>
      </c>
      <c r="B123" s="37" t="inlineStr">
        <is>
          <t>אביה וייל</t>
        </is>
      </c>
      <c r="C123" s="38" t="inlineStr">
        <is>
          <t>תורנות מוצ"ש</t>
        </is>
      </c>
      <c r="D123" s="37" t="inlineStr">
        <is>
          <t>ניקיון בית המדרש במוצ"ש</t>
        </is>
      </c>
      <c r="E123" s="38" t="n">
        <v>2</v>
      </c>
    </row>
    <row r="124">
      <c r="A124" s="36" t="n">
        <v>46311</v>
      </c>
      <c r="B124" s="37" t="inlineStr">
        <is>
          <t>אוריה תעשה</t>
        </is>
      </c>
      <c r="C124" s="38" t="inlineStr">
        <is>
          <t>תורנות מוצ"ש</t>
        </is>
      </c>
      <c r="D124" s="37" t="inlineStr">
        <is>
          <t>ניקיון בית המדרש במוצ"ש</t>
        </is>
      </c>
      <c r="E124" s="38" t="n">
        <v>2</v>
      </c>
    </row>
    <row r="125">
      <c r="A125" s="36" t="n">
        <v>46311</v>
      </c>
      <c r="B125" s="37" t="inlineStr">
        <is>
          <t>ארבל פרנקו</t>
        </is>
      </c>
      <c r="C125" s="38" t="inlineStr">
        <is>
          <t>תורנות מוצ"ש</t>
        </is>
      </c>
      <c r="D125" s="37" t="inlineStr">
        <is>
          <t>ניקיון בית המדרש במוצ"ש</t>
        </is>
      </c>
      <c r="E125" s="38" t="n">
        <v>2</v>
      </c>
    </row>
    <row r="126">
      <c r="A126" s="36" t="n">
        <v>46311</v>
      </c>
      <c r="B126" s="37" t="inlineStr">
        <is>
          <t>חיים שמאי</t>
        </is>
      </c>
      <c r="C126" s="38" t="inlineStr">
        <is>
          <t>תורנות מוצ"ש</t>
        </is>
      </c>
      <c r="D126" s="37" t="inlineStr">
        <is>
          <t>ניקיון בית המדרש במוצ"ש</t>
        </is>
      </c>
      <c r="E126" s="38" t="n">
        <v>2</v>
      </c>
    </row>
    <row r="127">
      <c r="A127" s="36" t="n">
        <v>46311</v>
      </c>
      <c r="B127" s="37" t="inlineStr">
        <is>
          <t>יונתן לירז</t>
        </is>
      </c>
      <c r="C127" s="38" t="inlineStr">
        <is>
          <t>תורנות מוצ"ש</t>
        </is>
      </c>
      <c r="D127" s="37" t="inlineStr">
        <is>
          <t>ניקיון בית המדרש במוצ"ש</t>
        </is>
      </c>
      <c r="E127" s="38" t="n">
        <v>2</v>
      </c>
    </row>
    <row r="128">
      <c r="A128" s="36" t="n">
        <v>46311</v>
      </c>
      <c r="B128" s="37" t="inlineStr">
        <is>
          <t>יערה ריס</t>
        </is>
      </c>
      <c r="C128" s="38" t="inlineStr">
        <is>
          <t>תורנות מוצ"ש</t>
        </is>
      </c>
      <c r="D128" s="37" t="inlineStr">
        <is>
          <t>ניקיון בית המדרש במוצ"ש</t>
        </is>
      </c>
      <c r="E128" s="38" t="n">
        <v>2</v>
      </c>
    </row>
    <row r="129">
      <c r="A129" s="36" t="n">
        <v>46311</v>
      </c>
      <c r="B129" s="37" t="inlineStr">
        <is>
          <t>מעיין יוספי</t>
        </is>
      </c>
      <c r="C129" s="38" t="inlineStr">
        <is>
          <t>תורנות מוצ"ש</t>
        </is>
      </c>
      <c r="D129" s="37" t="inlineStr">
        <is>
          <t>ניקיון בית המדרש במוצ"ש</t>
        </is>
      </c>
      <c r="E129" s="38" t="n">
        <v>2</v>
      </c>
    </row>
    <row r="130">
      <c r="A130" s="36" t="n">
        <v>46311</v>
      </c>
      <c r="B130" s="37" t="inlineStr">
        <is>
          <t>מעיין רחל דינר</t>
        </is>
      </c>
      <c r="C130" s="38" t="inlineStr">
        <is>
          <t>תורנות מוצ"ש</t>
        </is>
      </c>
      <c r="D130" s="37" t="inlineStr">
        <is>
          <t>ניקיון בית המדרש במוצ"ש</t>
        </is>
      </c>
      <c r="E130" s="38" t="n">
        <v>2</v>
      </c>
    </row>
    <row r="131">
      <c r="A131" s="36" t="n">
        <v>46311</v>
      </c>
      <c r="B131" s="37" t="inlineStr">
        <is>
          <t>ניתאי שלום</t>
        </is>
      </c>
      <c r="C131" s="38" t="inlineStr">
        <is>
          <t>תורנות מוצ"ש</t>
        </is>
      </c>
      <c r="D131" s="37" t="inlineStr">
        <is>
          <t>ניקיון בית המדרש במוצ"ש</t>
        </is>
      </c>
      <c r="E131" s="38" t="n">
        <v>2</v>
      </c>
    </row>
    <row r="132">
      <c r="A132" s="36" t="n">
        <v>46311</v>
      </c>
      <c r="B132" s="37" t="inlineStr">
        <is>
          <t>שירה ספונוב</t>
        </is>
      </c>
      <c r="C132" s="38" t="inlineStr">
        <is>
          <t>תורנות מוצ"ש</t>
        </is>
      </c>
      <c r="D132" s="37" t="inlineStr">
        <is>
          <t>ניקיון בית המדרש במוצ"ש</t>
        </is>
      </c>
      <c r="E132" s="38" t="n">
        <v>2</v>
      </c>
    </row>
    <row r="133">
      <c r="A133" s="36" t="n">
        <v>46311</v>
      </c>
      <c r="B133" s="37" t="inlineStr">
        <is>
          <t>איתמר אסנהיים</t>
        </is>
      </c>
      <c r="C133" s="38" t="inlineStr">
        <is>
          <t>תורנות מוצ"ש</t>
        </is>
      </c>
      <c r="D133" s="37" t="inlineStr">
        <is>
          <t>ניקיון חדר האוכל במוצ"ש</t>
        </is>
      </c>
      <c r="E133" s="38" t="n">
        <v>3</v>
      </c>
    </row>
    <row r="134">
      <c r="A134" s="36" t="n">
        <v>46311</v>
      </c>
      <c r="B134" s="37" t="inlineStr">
        <is>
          <t>איתן וינסטון</t>
        </is>
      </c>
      <c r="C134" s="38" t="inlineStr">
        <is>
          <t>תורנות מוצ"ש</t>
        </is>
      </c>
      <c r="D134" s="37" t="inlineStr">
        <is>
          <t>ניקיון חדר האוכל במוצ"ש</t>
        </is>
      </c>
      <c r="E134" s="38" t="n">
        <v>3</v>
      </c>
    </row>
    <row r="135">
      <c r="A135" s="36" t="n">
        <v>46311</v>
      </c>
      <c r="B135" s="37" t="inlineStr">
        <is>
          <t>אלה מאיר</t>
        </is>
      </c>
      <c r="C135" s="38" t="inlineStr">
        <is>
          <t>תורנות מוצ"ש</t>
        </is>
      </c>
      <c r="D135" s="37" t="inlineStr">
        <is>
          <t>ניקיון חדר האוכל במוצ"ש</t>
        </is>
      </c>
      <c r="E135" s="38" t="n">
        <v>3</v>
      </c>
    </row>
    <row r="136">
      <c r="A136" s="36" t="n">
        <v>46311</v>
      </c>
      <c r="B136" s="37" t="inlineStr">
        <is>
          <t>יואב אוחנה</t>
        </is>
      </c>
      <c r="C136" s="38" t="inlineStr">
        <is>
          <t>תורנות מוצ"ש</t>
        </is>
      </c>
      <c r="D136" s="37" t="inlineStr">
        <is>
          <t>ניקיון חדר האוכל במוצ"ש</t>
        </is>
      </c>
      <c r="E136" s="38" t="n">
        <v>3</v>
      </c>
    </row>
    <row r="137">
      <c r="A137" s="36" t="n">
        <v>46311</v>
      </c>
      <c r="B137" s="37" t="inlineStr">
        <is>
          <t>יובל יצחק</t>
        </is>
      </c>
      <c r="C137" s="38" t="inlineStr">
        <is>
          <t>תורנות מוצ"ש</t>
        </is>
      </c>
      <c r="D137" s="37" t="inlineStr">
        <is>
          <t>ניקיון חדר האוכל במוצ"ש</t>
        </is>
      </c>
      <c r="E137" s="38" t="n">
        <v>3</v>
      </c>
    </row>
    <row r="138">
      <c r="A138" s="36" t="n">
        <v>46311</v>
      </c>
      <c r="B138" s="37" t="inlineStr">
        <is>
          <t>ינון לוי</t>
        </is>
      </c>
      <c r="C138" s="38" t="inlineStr">
        <is>
          <t>תורנות מוצ"ש</t>
        </is>
      </c>
      <c r="D138" s="37" t="inlineStr">
        <is>
          <t>ניקיון חדר האוכל במוצ"ש</t>
        </is>
      </c>
      <c r="E138" s="38" t="n">
        <v>3</v>
      </c>
    </row>
    <row r="139">
      <c r="A139" s="36" t="n">
        <v>46311</v>
      </c>
      <c r="B139" s="37" t="inlineStr">
        <is>
          <t>מאיה פקטר</t>
        </is>
      </c>
      <c r="C139" s="38" t="inlineStr">
        <is>
          <t>תורנות מוצ"ש</t>
        </is>
      </c>
      <c r="D139" s="37" t="inlineStr">
        <is>
          <t>ניקיון חדר האוכל במוצ"ש</t>
        </is>
      </c>
      <c r="E139" s="38" t="n">
        <v>3</v>
      </c>
    </row>
    <row r="140">
      <c r="A140" s="36" t="n">
        <v>46311</v>
      </c>
      <c r="B140" s="37" t="inlineStr">
        <is>
          <t>נדב טוקר</t>
        </is>
      </c>
      <c r="C140" s="38" t="inlineStr">
        <is>
          <t>תורנות מוצ"ש</t>
        </is>
      </c>
      <c r="D140" s="37" t="inlineStr">
        <is>
          <t>ניקיון חדר האוכל במוצ"ש</t>
        </is>
      </c>
      <c r="E140" s="38" t="n">
        <v>3</v>
      </c>
    </row>
    <row r="141">
      <c r="A141" s="36" t="n">
        <v>46311</v>
      </c>
      <c r="B141" s="37" t="inlineStr">
        <is>
          <t>עמית סיילס</t>
        </is>
      </c>
      <c r="C141" s="38" t="inlineStr">
        <is>
          <t>תורנות מוצ"ש</t>
        </is>
      </c>
      <c r="D141" s="37" t="inlineStr">
        <is>
          <t>ניקיון חדר האוכל במוצ"ש</t>
        </is>
      </c>
      <c r="E141" s="38" t="n">
        <v>3</v>
      </c>
    </row>
    <row r="142">
      <c r="A142" s="36" t="n">
        <v>46311</v>
      </c>
      <c r="B142" s="37" t="inlineStr">
        <is>
          <t>עמית שי אברהם</t>
        </is>
      </c>
      <c r="C142" s="38" t="inlineStr">
        <is>
          <t>תורנות מוצ"ש</t>
        </is>
      </c>
      <c r="D142" s="37" t="inlineStr">
        <is>
          <t>ניקיון חדר האוכל במוצ"ש</t>
        </is>
      </c>
      <c r="E142" s="38" t="n">
        <v>3</v>
      </c>
    </row>
    <row r="143">
      <c r="A143" s="36" t="n">
        <v>46311</v>
      </c>
      <c r="B143" s="37" t="inlineStr">
        <is>
          <t>רועי צבי סרי</t>
        </is>
      </c>
      <c r="C143" s="38" t="inlineStr">
        <is>
          <t>תורנות מוצ"ש</t>
        </is>
      </c>
      <c r="D143" s="37" t="inlineStr">
        <is>
          <t>ניקיון חדר האוכל במוצ"ש</t>
        </is>
      </c>
      <c r="E143" s="38" t="n">
        <v>3</v>
      </c>
    </row>
    <row r="144">
      <c r="A144" s="36" t="n">
        <v>46311</v>
      </c>
      <c r="B144" s="37" t="inlineStr">
        <is>
          <t>שילת פילפל</t>
        </is>
      </c>
      <c r="C144" s="38" t="inlineStr">
        <is>
          <t>תורנות מוצ"ש</t>
        </is>
      </c>
      <c r="D144" s="37" t="inlineStr">
        <is>
          <t>ניקיון חדר האוכל במוצ"ש</t>
        </is>
      </c>
      <c r="E144" s="38" t="n">
        <v>3</v>
      </c>
    </row>
    <row r="145">
      <c r="A145" s="36" t="n">
        <v>46311</v>
      </c>
      <c r="B145" s="37" t="inlineStr">
        <is>
          <t>יונתן לירז</t>
        </is>
      </c>
      <c r="C145" s="38" t="inlineStr">
        <is>
          <t>תורנות שבת</t>
        </is>
      </c>
      <c r="D145" s="37" t="inlineStr">
        <is>
          <t>ארוחת ערב</t>
        </is>
      </c>
      <c r="E145" s="38" t="n">
        <v>2</v>
      </c>
    </row>
    <row r="146">
      <c r="A146" s="36" t="n">
        <v>46311</v>
      </c>
      <c r="B146" s="37" t="inlineStr">
        <is>
          <t>מעיין יוספי</t>
        </is>
      </c>
      <c r="C146" s="38" t="inlineStr">
        <is>
          <t>תורנות שבת</t>
        </is>
      </c>
      <c r="D146" s="37" t="inlineStr">
        <is>
          <t>ארוחת ערב</t>
        </is>
      </c>
      <c r="E146" s="38" t="n">
        <v>2</v>
      </c>
    </row>
    <row r="147">
      <c r="A147" s="36" t="n">
        <v>46311</v>
      </c>
      <c r="B147" s="37" t="inlineStr">
        <is>
          <t>מעיין רחל דינר</t>
        </is>
      </c>
      <c r="C147" s="38" t="inlineStr">
        <is>
          <t>תורנות שבת</t>
        </is>
      </c>
      <c r="D147" s="37" t="inlineStr">
        <is>
          <t>ארוחת ערב</t>
        </is>
      </c>
      <c r="E147" s="38" t="n">
        <v>2</v>
      </c>
    </row>
    <row r="148">
      <c r="A148" s="36" t="n">
        <v>46311</v>
      </c>
      <c r="B148" s="37" t="inlineStr">
        <is>
          <t>ניתאי שלום</t>
        </is>
      </c>
      <c r="C148" s="38" t="inlineStr">
        <is>
          <t>תורנות שבת</t>
        </is>
      </c>
      <c r="D148" s="37" t="inlineStr">
        <is>
          <t>ארוחת ערב</t>
        </is>
      </c>
      <c r="E148" s="38" t="n">
        <v>2</v>
      </c>
    </row>
    <row r="149">
      <c r="A149" s="36" t="n">
        <v>46311</v>
      </c>
      <c r="B149" s="37" t="inlineStr">
        <is>
          <t>אלרואי גרינברג</t>
        </is>
      </c>
      <c r="C149" s="38" t="inlineStr">
        <is>
          <t>תורנות שבת</t>
        </is>
      </c>
      <c r="D149" s="37" t="inlineStr">
        <is>
          <t>ארוחת צהריים שבת</t>
        </is>
      </c>
      <c r="E149" s="38" t="n">
        <v>2</v>
      </c>
    </row>
    <row r="150">
      <c r="A150" s="36" t="n">
        <v>46311</v>
      </c>
      <c r="B150" s="37" t="inlineStr">
        <is>
          <t>בניה מעוז</t>
        </is>
      </c>
      <c r="C150" s="38" t="inlineStr">
        <is>
          <t>תורנות שבת</t>
        </is>
      </c>
      <c r="D150" s="37" t="inlineStr">
        <is>
          <t>ארוחת צהריים שבת</t>
        </is>
      </c>
      <c r="E150" s="38" t="n">
        <v>2</v>
      </c>
    </row>
    <row r="151">
      <c r="A151" s="36" t="n">
        <v>46311</v>
      </c>
      <c r="B151" s="37" t="inlineStr">
        <is>
          <t>רגב שהם</t>
        </is>
      </c>
      <c r="C151" s="38" t="inlineStr">
        <is>
          <t>תורנות שבת</t>
        </is>
      </c>
      <c r="D151" s="37" t="inlineStr">
        <is>
          <t>ארוחת צהריים שבת</t>
        </is>
      </c>
      <c r="E151" s="38" t="n">
        <v>2</v>
      </c>
    </row>
    <row r="152">
      <c r="A152" s="36" t="n">
        <v>46311</v>
      </c>
      <c r="B152" s="37" t="inlineStr">
        <is>
          <t>רוני כהן</t>
        </is>
      </c>
      <c r="C152" s="38" t="inlineStr">
        <is>
          <t>תורנות שבת</t>
        </is>
      </c>
      <c r="D152" s="37" t="inlineStr">
        <is>
          <t>ארוחת צהריים שבת</t>
        </is>
      </c>
      <c r="E152" s="38" t="n">
        <v>2</v>
      </c>
    </row>
    <row r="153">
      <c r="A153" s="36" t="n">
        <v>46311</v>
      </c>
      <c r="B153" s="37" t="inlineStr">
        <is>
          <t>אלה מאיר</t>
        </is>
      </c>
      <c r="C153" s="38" t="inlineStr">
        <is>
          <t>תורנות שבת</t>
        </is>
      </c>
      <c r="D153" s="37" t="inlineStr">
        <is>
          <t>גסטרונומים</t>
        </is>
      </c>
      <c r="E153" s="38" t="n">
        <v>2</v>
      </c>
    </row>
    <row r="154">
      <c r="A154" s="36" t="n">
        <v>46311</v>
      </c>
      <c r="B154" s="37" t="inlineStr">
        <is>
          <t>שילת פילפל</t>
        </is>
      </c>
      <c r="C154" s="38" t="inlineStr">
        <is>
          <t>תורנות שבת</t>
        </is>
      </c>
      <c r="D154" s="37" t="inlineStr">
        <is>
          <t>גסטרונומים</t>
        </is>
      </c>
      <c r="E154" s="38" t="n">
        <v>2</v>
      </c>
    </row>
    <row r="155">
      <c r="A155" s="36" t="n">
        <v>46311</v>
      </c>
      <c r="B155" s="37" t="inlineStr">
        <is>
          <t>אוריה תעשה</t>
        </is>
      </c>
      <c r="C155" s="38" t="inlineStr">
        <is>
          <t>תורנות שבת</t>
        </is>
      </c>
      <c r="D155" s="37" t="inlineStr">
        <is>
          <t>טיש</t>
        </is>
      </c>
      <c r="E155" s="38" t="n">
        <v>1</v>
      </c>
    </row>
    <row r="156">
      <c r="A156" s="36" t="n">
        <v>46311</v>
      </c>
      <c r="B156" s="37" t="inlineStr">
        <is>
          <t>ארבל פרנקו</t>
        </is>
      </c>
      <c r="C156" s="38" t="inlineStr">
        <is>
          <t>תורנות שבת</t>
        </is>
      </c>
      <c r="D156" s="37" t="inlineStr">
        <is>
          <t>טיש</t>
        </is>
      </c>
      <c r="E156" s="38" t="n">
        <v>1</v>
      </c>
    </row>
    <row r="157">
      <c r="A157" s="36" t="n">
        <v>46311</v>
      </c>
      <c r="B157" s="37" t="inlineStr">
        <is>
          <t>נדב טוקר</t>
        </is>
      </c>
      <c r="C157" s="38" t="inlineStr">
        <is>
          <t>תורנות שבת</t>
        </is>
      </c>
      <c r="D157" s="37" t="inlineStr">
        <is>
          <t>טיש</t>
        </is>
      </c>
      <c r="E157" s="38" t="n">
        <v>1</v>
      </c>
    </row>
    <row r="158">
      <c r="A158" s="36" t="n">
        <v>46311</v>
      </c>
      <c r="B158" s="37" t="inlineStr">
        <is>
          <t>אביה וייל</t>
        </is>
      </c>
      <c r="C158" s="38" t="inlineStr">
        <is>
          <t>תורנות שבת</t>
        </is>
      </c>
      <c r="D158" s="37" t="inlineStr">
        <is>
          <t>פינוי ארוחת ערב</t>
        </is>
      </c>
      <c r="E158" s="38" t="n">
        <v>2</v>
      </c>
    </row>
    <row r="159">
      <c r="A159" s="36" t="n">
        <v>46311</v>
      </c>
      <c r="B159" s="37" t="inlineStr">
        <is>
          <t>יואב אוחנה</t>
        </is>
      </c>
      <c r="C159" s="38" t="inlineStr">
        <is>
          <t>תורנות שבת</t>
        </is>
      </c>
      <c r="D159" s="37" t="inlineStr">
        <is>
          <t>פינוי ארוחת ערב</t>
        </is>
      </c>
      <c r="E159" s="38" t="n">
        <v>2</v>
      </c>
    </row>
    <row r="160">
      <c r="A160" s="36" t="n">
        <v>46311</v>
      </c>
      <c r="B160" s="37" t="inlineStr">
        <is>
          <t>יובל יצחק</t>
        </is>
      </c>
      <c r="C160" s="38" t="inlineStr">
        <is>
          <t>תורנות שבת</t>
        </is>
      </c>
      <c r="D160" s="37" t="inlineStr">
        <is>
          <t>פינוי ארוחת ערב</t>
        </is>
      </c>
      <c r="E160" s="38" t="n">
        <v>2</v>
      </c>
    </row>
    <row r="161">
      <c r="A161" s="36" t="n">
        <v>46311</v>
      </c>
      <c r="B161" s="37" t="inlineStr">
        <is>
          <t>ינון לוי</t>
        </is>
      </c>
      <c r="C161" s="38" t="inlineStr">
        <is>
          <t>תורנות שבת</t>
        </is>
      </c>
      <c r="D161" s="37" t="inlineStr">
        <is>
          <t>פינוי ארוחת ערב</t>
        </is>
      </c>
      <c r="E161" s="38" t="n">
        <v>2</v>
      </c>
    </row>
    <row r="162">
      <c r="A162" s="36" t="n">
        <v>46311</v>
      </c>
      <c r="B162" s="37" t="inlineStr">
        <is>
          <t>רועי צבי סרי</t>
        </is>
      </c>
      <c r="C162" s="38" t="inlineStr">
        <is>
          <t>תורנות שבת</t>
        </is>
      </c>
      <c r="D162" s="37" t="inlineStr">
        <is>
          <t>פינוי ארוחת ערב</t>
        </is>
      </c>
      <c r="E162" s="38" t="n">
        <v>2</v>
      </c>
    </row>
    <row r="163">
      <c r="A163" s="36" t="n">
        <v>46311</v>
      </c>
      <c r="B163" s="37" t="inlineStr">
        <is>
          <t>אחיה נחמני</t>
        </is>
      </c>
      <c r="C163" s="38" t="inlineStr">
        <is>
          <t>תורנות שבת</t>
        </is>
      </c>
      <c r="D163" s="37" t="inlineStr">
        <is>
          <t>פינוי ארוחת צהריים וסעודה שלישית</t>
        </is>
      </c>
      <c r="E163" s="38" t="n">
        <v>2</v>
      </c>
    </row>
    <row r="164">
      <c r="A164" s="36" t="n">
        <v>46311</v>
      </c>
      <c r="B164" s="37" t="inlineStr">
        <is>
          <t>הדר עמדי</t>
        </is>
      </c>
      <c r="C164" s="38" t="inlineStr">
        <is>
          <t>תורנות שבת</t>
        </is>
      </c>
      <c r="D164" s="37" t="inlineStr">
        <is>
          <t>פינוי ארוחת צהריים וסעודה שלישית</t>
        </is>
      </c>
      <c r="E164" s="38" t="n">
        <v>2</v>
      </c>
    </row>
    <row r="165">
      <c r="A165" s="36" t="n">
        <v>46311</v>
      </c>
      <c r="B165" s="37" t="inlineStr">
        <is>
          <t>זואי כהן</t>
        </is>
      </c>
      <c r="C165" s="38" t="inlineStr">
        <is>
          <t>תורנות שבת</t>
        </is>
      </c>
      <c r="D165" s="37" t="inlineStr">
        <is>
          <t>פינוי ארוחת צהריים וסעודה שלישית</t>
        </is>
      </c>
      <c r="E165" s="38" t="n">
        <v>2</v>
      </c>
    </row>
    <row r="166">
      <c r="A166" s="36" t="n">
        <v>46311</v>
      </c>
      <c r="B166" s="37" t="inlineStr">
        <is>
          <t>נגה שוהם</t>
        </is>
      </c>
      <c r="C166" s="38" t="inlineStr">
        <is>
          <t>תורנות שבת</t>
        </is>
      </c>
      <c r="D166" s="37" t="inlineStr">
        <is>
          <t>פינוי ארוחת צהריים וסעודה שלישית</t>
        </is>
      </c>
      <c r="E166" s="38" t="n">
        <v>2</v>
      </c>
    </row>
    <row r="167">
      <c r="A167" s="36" t="n">
        <v>46311</v>
      </c>
      <c r="B167" s="37" t="inlineStr">
        <is>
          <t>קובי סמייסון</t>
        </is>
      </c>
      <c r="C167" s="38" t="inlineStr">
        <is>
          <t>תורנות שבת</t>
        </is>
      </c>
      <c r="D167" s="37" t="inlineStr">
        <is>
          <t>פינוי ארוחת צהריים וסעודה שלישית</t>
        </is>
      </c>
      <c r="E167" s="38" t="n">
        <v>2</v>
      </c>
    </row>
    <row r="168">
      <c r="A168" s="36" t="n">
        <v>46311</v>
      </c>
      <c r="B168" s="37" t="inlineStr">
        <is>
          <t>הלל פינגולד</t>
        </is>
      </c>
      <c r="C168" s="38" t="inlineStr">
        <is>
          <t>תורנות שבת</t>
        </is>
      </c>
      <c r="D168" s="37" t="inlineStr">
        <is>
          <t>קידוש</t>
        </is>
      </c>
      <c r="E168" s="38" t="n">
        <v>1</v>
      </c>
    </row>
    <row r="169">
      <c r="A169" s="36" t="n">
        <v>46311</v>
      </c>
      <c r="B169" s="37" t="inlineStr">
        <is>
          <t>ליבי בוכריס</t>
        </is>
      </c>
      <c r="C169" s="38" t="inlineStr">
        <is>
          <t>תורנות שבת</t>
        </is>
      </c>
      <c r="D169" s="37" t="inlineStr">
        <is>
          <t>קידוש</t>
        </is>
      </c>
      <c r="E169" s="38" t="n">
        <v>1</v>
      </c>
    </row>
    <row r="170">
      <c r="A170" s="36" t="n">
        <v>46311</v>
      </c>
      <c r="B170" s="37" t="inlineStr">
        <is>
          <t>ניצן גמלא</t>
        </is>
      </c>
      <c r="C170" s="38" t="inlineStr">
        <is>
          <t>תורנות שבת</t>
        </is>
      </c>
      <c r="D170" s="37" t="inlineStr">
        <is>
          <t>קידוש</t>
        </is>
      </c>
      <c r="E170" s="38" t="n">
        <v>1</v>
      </c>
    </row>
    <row r="171">
      <c r="A171" s="36" t="n">
        <v>46311</v>
      </c>
      <c r="B171" s="37" t="inlineStr">
        <is>
          <t>הילי אלפסי</t>
        </is>
      </c>
      <c r="C171" s="38" t="inlineStr">
        <is>
          <t>תורנות שישי</t>
        </is>
      </c>
      <c r="D171" s="37" t="inlineStr">
        <is>
          <t>בית מדרש</t>
        </is>
      </c>
      <c r="E171" s="38" t="n">
        <v>3</v>
      </c>
    </row>
    <row r="172">
      <c r="A172" s="36" t="n">
        <v>46311</v>
      </c>
      <c r="B172" s="37" t="inlineStr">
        <is>
          <t>זואי כהן</t>
        </is>
      </c>
      <c r="C172" s="38" t="inlineStr">
        <is>
          <t>תורנות שישי</t>
        </is>
      </c>
      <c r="D172" s="37" t="inlineStr">
        <is>
          <t>בית מדרש</t>
        </is>
      </c>
      <c r="E172" s="38" t="n">
        <v>3</v>
      </c>
    </row>
    <row r="173">
      <c r="A173" s="36" t="n">
        <v>46311</v>
      </c>
      <c r="B173" s="37" t="inlineStr">
        <is>
          <t>טליה קור</t>
        </is>
      </c>
      <c r="C173" s="38" t="inlineStr">
        <is>
          <t>תורנות שישי</t>
        </is>
      </c>
      <c r="D173" s="37" t="inlineStr">
        <is>
          <t>בית מדרש</t>
        </is>
      </c>
      <c r="E173" s="38" t="n">
        <v>3</v>
      </c>
    </row>
    <row r="174">
      <c r="A174" s="36" t="n">
        <v>46311</v>
      </c>
      <c r="B174" s="37" t="inlineStr">
        <is>
          <t>יהב לוי</t>
        </is>
      </c>
      <c r="C174" s="38" t="inlineStr">
        <is>
          <t>תורנות שישי</t>
        </is>
      </c>
      <c r="D174" s="37" t="inlineStr">
        <is>
          <t>בית מדרש</t>
        </is>
      </c>
      <c r="E174" s="38" t="n">
        <v>3</v>
      </c>
    </row>
    <row r="175">
      <c r="A175" s="36" t="n">
        <v>46311</v>
      </c>
      <c r="B175" s="37" t="inlineStr">
        <is>
          <t>יערה ריס</t>
        </is>
      </c>
      <c r="C175" s="38" t="inlineStr">
        <is>
          <t>תורנות שישי</t>
        </is>
      </c>
      <c r="D175" s="37" t="inlineStr">
        <is>
          <t>בית מדרש</t>
        </is>
      </c>
      <c r="E175" s="38" t="n">
        <v>3</v>
      </c>
    </row>
    <row r="176">
      <c r="A176" s="36" t="n">
        <v>46311</v>
      </c>
      <c r="B176" s="37" t="inlineStr">
        <is>
          <t>כליל בלאוקופף</t>
        </is>
      </c>
      <c r="C176" s="38" t="inlineStr">
        <is>
          <t>תורנות שישי</t>
        </is>
      </c>
      <c r="D176" s="37" t="inlineStr">
        <is>
          <t>בית מדרש</t>
        </is>
      </c>
      <c r="E176" s="38" t="n">
        <v>3</v>
      </c>
    </row>
    <row r="177">
      <c r="A177" s="36" t="n">
        <v>46311</v>
      </c>
      <c r="B177" s="37" t="inlineStr">
        <is>
          <t>נבו בלוך</t>
        </is>
      </c>
      <c r="C177" s="38" t="inlineStr">
        <is>
          <t>תורנות שישי</t>
        </is>
      </c>
      <c r="D177" s="37" t="inlineStr">
        <is>
          <t>בית מדרש</t>
        </is>
      </c>
      <c r="E177" s="38" t="n">
        <v>3</v>
      </c>
    </row>
    <row r="178">
      <c r="A178" s="36" t="n">
        <v>46311</v>
      </c>
      <c r="B178" s="37" t="inlineStr">
        <is>
          <t>עופר בביוף</t>
        </is>
      </c>
      <c r="C178" s="38" t="inlineStr">
        <is>
          <t>תורנות שישי</t>
        </is>
      </c>
      <c r="D178" s="37" t="inlineStr">
        <is>
          <t>בית מדרש</t>
        </is>
      </c>
      <c r="E178" s="38" t="n">
        <v>3</v>
      </c>
    </row>
    <row r="179">
      <c r="A179" s="36" t="n">
        <v>46311</v>
      </c>
      <c r="B179" s="37" t="inlineStr">
        <is>
          <t>רוני פרנקל</t>
        </is>
      </c>
      <c r="C179" s="38" t="inlineStr">
        <is>
          <t>תורנות שישי</t>
        </is>
      </c>
      <c r="D179" s="37" t="inlineStr">
        <is>
          <t>בית מדרש</t>
        </is>
      </c>
      <c r="E179" s="38" t="n">
        <v>3</v>
      </c>
    </row>
    <row r="180">
      <c r="A180" s="36" t="n">
        <v>46311</v>
      </c>
      <c r="B180" s="37" t="inlineStr">
        <is>
          <t>שחר מרקוביץ' גליק</t>
        </is>
      </c>
      <c r="C180" s="38" t="inlineStr">
        <is>
          <t>תורנות שישי</t>
        </is>
      </c>
      <c r="D180" s="37" t="inlineStr">
        <is>
          <t>בית מדרש</t>
        </is>
      </c>
      <c r="E180" s="38" t="n">
        <v>3</v>
      </c>
    </row>
    <row r="181">
      <c r="A181" s="36" t="n">
        <v>46311</v>
      </c>
      <c r="B181" s="37" t="inlineStr">
        <is>
          <t>שירה ספונוב</t>
        </is>
      </c>
      <c r="C181" s="38" t="inlineStr">
        <is>
          <t>תורנות שישי</t>
        </is>
      </c>
      <c r="D181" s="37" t="inlineStr">
        <is>
          <t>בית מדרש</t>
        </is>
      </c>
      <c r="E181" s="38" t="n">
        <v>3</v>
      </c>
    </row>
    <row r="182">
      <c r="A182" s="36" t="n">
        <v>46311</v>
      </c>
      <c r="B182" s="37" t="inlineStr">
        <is>
          <t>תמר פרידמן</t>
        </is>
      </c>
      <c r="C182" s="38" t="inlineStr">
        <is>
          <t>תורנות שישי</t>
        </is>
      </c>
      <c r="D182" s="37" t="inlineStr">
        <is>
          <t>בית מדרש</t>
        </is>
      </c>
      <c r="E182" s="38" t="n">
        <v>3</v>
      </c>
    </row>
    <row r="183">
      <c r="A183" s="36" t="n">
        <v>46311</v>
      </c>
      <c r="B183" s="37" t="inlineStr">
        <is>
          <t>איתי בן מנחם</t>
        </is>
      </c>
      <c r="C183" s="38" t="inlineStr">
        <is>
          <t>תורנות שישי</t>
        </is>
      </c>
      <c r="D183" s="37" t="inlineStr">
        <is>
          <t>ניקיון חדר האוכל בשישי</t>
        </is>
      </c>
      <c r="E183" s="38" t="n">
        <v>3</v>
      </c>
    </row>
    <row r="184">
      <c r="A184" s="36" t="n">
        <v>46311</v>
      </c>
      <c r="B184" s="37" t="inlineStr">
        <is>
          <t>אנה עזריאל</t>
        </is>
      </c>
      <c r="C184" s="38" t="inlineStr">
        <is>
          <t>תורנות שישי</t>
        </is>
      </c>
      <c r="D184" s="37" t="inlineStr">
        <is>
          <t>ניקיון חדר האוכל בשישי</t>
        </is>
      </c>
      <c r="E184" s="38" t="n">
        <v>3</v>
      </c>
    </row>
    <row r="185">
      <c r="A185" s="36" t="n">
        <v>46311</v>
      </c>
      <c r="B185" s="37" t="inlineStr">
        <is>
          <t>ירדן בן שחר</t>
        </is>
      </c>
      <c r="C185" s="38" t="inlineStr">
        <is>
          <t>תורנות שישי</t>
        </is>
      </c>
      <c r="D185" s="37" t="inlineStr">
        <is>
          <t>ניקיון חדר האוכל בשישי</t>
        </is>
      </c>
      <c r="E185" s="38" t="n">
        <v>3</v>
      </c>
    </row>
    <row r="186">
      <c r="A186" s="36" t="n">
        <v>46311</v>
      </c>
      <c r="B186" s="37" t="inlineStr">
        <is>
          <t>משה אוברשטיין</t>
        </is>
      </c>
      <c r="C186" s="38" t="inlineStr">
        <is>
          <t>תורנות שישי</t>
        </is>
      </c>
      <c r="D186" s="37" t="inlineStr">
        <is>
          <t>ניקיון חדר האוכל בשישי</t>
        </is>
      </c>
      <c r="E186" s="38" t="n">
        <v>3</v>
      </c>
    </row>
    <row r="187">
      <c r="A187" s="36" t="n">
        <v>46311</v>
      </c>
      <c r="B187" s="37" t="inlineStr">
        <is>
          <t>נגה חוה כהן</t>
        </is>
      </c>
      <c r="C187" s="38" t="inlineStr">
        <is>
          <t>תורנות שישי</t>
        </is>
      </c>
      <c r="D187" s="37" t="inlineStr">
        <is>
          <t>ניקיון חדר האוכל בשישי</t>
        </is>
      </c>
      <c r="E187" s="38" t="n">
        <v>3</v>
      </c>
    </row>
    <row r="188">
      <c r="A188" s="36" t="n">
        <v>46311</v>
      </c>
      <c r="B188" s="37" t="inlineStr">
        <is>
          <t>נועם ישראל קומפאס</t>
        </is>
      </c>
      <c r="C188" s="38" t="inlineStr">
        <is>
          <t>תורנות שישי</t>
        </is>
      </c>
      <c r="D188" s="37" t="inlineStr">
        <is>
          <t>ניקיון חדר האוכל בשישי</t>
        </is>
      </c>
      <c r="E188" s="38" t="n">
        <v>3</v>
      </c>
    </row>
    <row r="189">
      <c r="A189" s="36" t="n">
        <v>46311</v>
      </c>
      <c r="B189" s="37" t="inlineStr">
        <is>
          <t>תמר פרימור</t>
        </is>
      </c>
      <c r="C189" s="38" t="inlineStr">
        <is>
          <t>תורנות שישי</t>
        </is>
      </c>
      <c r="D189" s="37" t="inlineStr">
        <is>
          <t>ניקיון חדר האוכל בשישי</t>
        </is>
      </c>
      <c r="E189" s="38" t="n">
        <v>3</v>
      </c>
    </row>
    <row r="190">
      <c r="A190" s="36" t="n">
        <v>46325</v>
      </c>
      <c r="B190" s="37" t="inlineStr">
        <is>
          <t>הילה עזרא</t>
        </is>
      </c>
      <c r="C190" s="38" t="inlineStr">
        <is>
          <t>הכנות שישי</t>
        </is>
      </c>
      <c r="D190" s="37" t="inlineStr">
        <is>
          <t>ארוחת צהריים שישי</t>
        </is>
      </c>
      <c r="E190" s="38" t="n">
        <v>3</v>
      </c>
    </row>
    <row r="191">
      <c r="A191" s="36" t="n">
        <v>46325</v>
      </c>
      <c r="B191" s="37" t="inlineStr">
        <is>
          <t>רוני פרנקל</t>
        </is>
      </c>
      <c r="C191" s="38" t="inlineStr">
        <is>
          <t>הכנות שישי</t>
        </is>
      </c>
      <c r="D191" s="37" t="inlineStr">
        <is>
          <t>ארוחת צהריים שישי</t>
        </is>
      </c>
      <c r="E191" s="38" t="n">
        <v>3</v>
      </c>
    </row>
    <row r="192">
      <c r="A192" s="36" t="n">
        <v>46325</v>
      </c>
      <c r="B192" s="37" t="inlineStr">
        <is>
          <t>רותם דרור</t>
        </is>
      </c>
      <c r="C192" s="38" t="inlineStr">
        <is>
          <t>הכנות שישי</t>
        </is>
      </c>
      <c r="D192" s="37" t="inlineStr">
        <is>
          <t>ארוחת צהריים שישי</t>
        </is>
      </c>
      <c r="E192" s="38" t="n">
        <v>3</v>
      </c>
    </row>
    <row r="193">
      <c r="A193" s="36" t="n">
        <v>46325</v>
      </c>
      <c r="B193" s="37" t="inlineStr">
        <is>
          <t>שחר מרקוביץ' גליק</t>
        </is>
      </c>
      <c r="C193" s="38" t="inlineStr">
        <is>
          <t>הכנות שישי</t>
        </is>
      </c>
      <c r="D193" s="37" t="inlineStr">
        <is>
          <t>ארוחת צהריים שישי</t>
        </is>
      </c>
      <c r="E193" s="38" t="n">
        <v>3</v>
      </c>
    </row>
    <row r="194">
      <c r="A194" s="36" t="n">
        <v>46325</v>
      </c>
      <c r="B194" s="37" t="inlineStr">
        <is>
          <t>אריאלה מרכוס</t>
        </is>
      </c>
      <c r="C194" s="38" t="inlineStr">
        <is>
          <t>הכנות שישי</t>
        </is>
      </c>
      <c r="D194" s="37" t="inlineStr">
        <is>
          <t>חלות</t>
        </is>
      </c>
      <c r="E194" s="38" t="n">
        <v>3</v>
      </c>
    </row>
    <row r="195">
      <c r="A195" s="36" t="n">
        <v>46325</v>
      </c>
      <c r="B195" s="37" t="inlineStr">
        <is>
          <t>ליעם גבע</t>
        </is>
      </c>
      <c r="C195" s="38" t="inlineStr">
        <is>
          <t>הכנות שישי</t>
        </is>
      </c>
      <c r="D195" s="37" t="inlineStr">
        <is>
          <t>חלות</t>
        </is>
      </c>
      <c r="E195" s="38" t="n">
        <v>3</v>
      </c>
    </row>
    <row r="196">
      <c r="A196" s="36" t="n">
        <v>46325</v>
      </c>
      <c r="B196" s="37" t="inlineStr">
        <is>
          <t>פנחס אליהו גלוסקין</t>
        </is>
      </c>
      <c r="C196" s="38" t="inlineStr">
        <is>
          <t>הכנות שישי</t>
        </is>
      </c>
      <c r="D196" s="37" t="inlineStr">
        <is>
          <t>חלות</t>
        </is>
      </c>
      <c r="E196" s="38" t="n">
        <v>3</v>
      </c>
    </row>
    <row r="197">
      <c r="A197" s="36" t="n">
        <v>46325</v>
      </c>
      <c r="B197" s="37" t="inlineStr">
        <is>
          <t>הילי אלפסי</t>
        </is>
      </c>
      <c r="C197" s="38" t="inlineStr">
        <is>
          <t>הכנות שישי</t>
        </is>
      </c>
      <c r="D197" s="37" t="inlineStr">
        <is>
          <t>מטבוחה</t>
        </is>
      </c>
      <c r="E197" s="38" t="n">
        <v>3</v>
      </c>
    </row>
    <row r="198">
      <c r="A198" s="36" t="n">
        <v>46325</v>
      </c>
      <c r="B198" s="37" t="inlineStr">
        <is>
          <t>טליה קור</t>
        </is>
      </c>
      <c r="C198" s="38" t="inlineStr">
        <is>
          <t>הכנות שישי</t>
        </is>
      </c>
      <c r="D198" s="37" t="inlineStr">
        <is>
          <t>מטבוחה</t>
        </is>
      </c>
      <c r="E198" s="38" t="n">
        <v>3</v>
      </c>
    </row>
    <row r="199">
      <c r="A199" s="36" t="n">
        <v>46325</v>
      </c>
      <c r="B199" s="37" t="inlineStr">
        <is>
          <t>נועם ישראל קומפאס</t>
        </is>
      </c>
      <c r="C199" s="38" t="inlineStr">
        <is>
          <t>הכנות שישי</t>
        </is>
      </c>
      <c r="D199" s="37" t="inlineStr">
        <is>
          <t>מטבוחה</t>
        </is>
      </c>
      <c r="E199" s="38" t="n">
        <v>3</v>
      </c>
    </row>
    <row r="200">
      <c r="A200" s="36" t="n">
        <v>46325</v>
      </c>
      <c r="B200" s="37" t="inlineStr">
        <is>
          <t>של״ו רובינשטיין</t>
        </is>
      </c>
      <c r="C200" s="38" t="inlineStr">
        <is>
          <t>הכנות שישי</t>
        </is>
      </c>
      <c r="D200" s="37" t="inlineStr">
        <is>
          <t>מטבוחה</t>
        </is>
      </c>
      <c r="E200" s="38" t="n">
        <v>3</v>
      </c>
    </row>
    <row r="201">
      <c r="A201" s="36" t="n">
        <v>46325</v>
      </c>
      <c r="B201" s="37" t="inlineStr">
        <is>
          <t>הדר עמדי</t>
        </is>
      </c>
      <c r="C201" s="38" t="inlineStr">
        <is>
          <t>הכנות שישי</t>
        </is>
      </c>
      <c r="D201" s="37" t="inlineStr">
        <is>
          <t>עוגיות שוקולד צ'יפס</t>
        </is>
      </c>
      <c r="E201" s="38" t="n">
        <v>3</v>
      </c>
    </row>
    <row r="202">
      <c r="A202" s="36" t="n">
        <v>46325</v>
      </c>
      <c r="B202" s="37" t="inlineStr">
        <is>
          <t>שי- לי וולגמוט</t>
        </is>
      </c>
      <c r="C202" s="38" t="inlineStr">
        <is>
          <t>הכנות שישי</t>
        </is>
      </c>
      <c r="D202" s="37" t="inlineStr">
        <is>
          <t>עוגיות שוקולד צ'יפס</t>
        </is>
      </c>
      <c r="E202" s="38" t="n">
        <v>3</v>
      </c>
    </row>
    <row r="203">
      <c r="A203" s="36" t="n">
        <v>46325</v>
      </c>
      <c r="B203" s="37" t="inlineStr">
        <is>
          <t>יותם ספיר</t>
        </is>
      </c>
      <c r="C203" s="38" t="inlineStr">
        <is>
          <t>הכנות שישי</t>
        </is>
      </c>
      <c r="D203" s="37" t="inlineStr">
        <is>
          <t>עוגת שוקולד</t>
        </is>
      </c>
      <c r="E203" s="38" t="n">
        <v>3</v>
      </c>
    </row>
    <row r="204">
      <c r="A204" s="36" t="n">
        <v>46325</v>
      </c>
      <c r="B204" s="37" t="inlineStr">
        <is>
          <t>ניצן גמלא</t>
        </is>
      </c>
      <c r="C204" s="38" t="inlineStr">
        <is>
          <t>הכנות שישי</t>
        </is>
      </c>
      <c r="D204" s="37" t="inlineStr">
        <is>
          <t>עוגת שוקולד</t>
        </is>
      </c>
      <c r="E204" s="38" t="n">
        <v>3</v>
      </c>
    </row>
    <row r="205">
      <c r="A205" s="36" t="n">
        <v>46325</v>
      </c>
      <c r="B205" s="37" t="inlineStr">
        <is>
          <t>הלל פינגולד</t>
        </is>
      </c>
      <c r="C205" s="38" t="inlineStr">
        <is>
          <t>הכנות שישי</t>
        </is>
      </c>
      <c r="D205" s="37" t="inlineStr">
        <is>
          <t>עוגת שמרים</t>
        </is>
      </c>
      <c r="E205" s="38" t="n">
        <v>3</v>
      </c>
    </row>
    <row r="206">
      <c r="A206" s="36" t="n">
        <v>46325</v>
      </c>
      <c r="B206" s="37" t="inlineStr">
        <is>
          <t>ליבי בוכריס</t>
        </is>
      </c>
      <c r="C206" s="38" t="inlineStr">
        <is>
          <t>הכנות שישי</t>
        </is>
      </c>
      <c r="D206" s="37" t="inlineStr">
        <is>
          <t>עוגת שמרים</t>
        </is>
      </c>
      <c r="E206" s="38" t="n">
        <v>3</v>
      </c>
    </row>
    <row r="207">
      <c r="A207" s="36" t="n">
        <v>46325</v>
      </c>
      <c r="B207" s="37" t="inlineStr">
        <is>
          <t>מעיין רחל דינר</t>
        </is>
      </c>
      <c r="C207" s="38" t="inlineStr">
        <is>
          <t>הכנות שישי</t>
        </is>
      </c>
      <c r="D207" s="37" t="inlineStr">
        <is>
          <t>עוגת שמרים</t>
        </is>
      </c>
      <c r="E207" s="38" t="n">
        <v>3</v>
      </c>
    </row>
    <row r="208">
      <c r="A208" s="36" t="n">
        <v>46325</v>
      </c>
      <c r="B208" s="37" t="inlineStr">
        <is>
          <t>איתמר אסנהיים</t>
        </is>
      </c>
      <c r="C208" s="38" t="inlineStr">
        <is>
          <t>תורנות מוצ"ש</t>
        </is>
      </c>
      <c r="D208" s="37" t="inlineStr">
        <is>
          <t>ארוחת ערב מוצ"ש</t>
        </is>
      </c>
      <c r="E208" s="38" t="n">
        <v>3</v>
      </c>
    </row>
    <row r="209">
      <c r="A209" s="36" t="n">
        <v>46325</v>
      </c>
      <c r="B209" s="37" t="inlineStr">
        <is>
          <t>אלה מאיר</t>
        </is>
      </c>
      <c r="C209" s="38" t="inlineStr">
        <is>
          <t>תורנות מוצ"ש</t>
        </is>
      </c>
      <c r="D209" s="37" t="inlineStr">
        <is>
          <t>ארוחת ערב מוצ"ש</t>
        </is>
      </c>
      <c r="E209" s="38" t="n">
        <v>3</v>
      </c>
    </row>
    <row r="210">
      <c r="A210" s="36" t="n">
        <v>46325</v>
      </c>
      <c r="B210" s="37" t="inlineStr">
        <is>
          <t>ינון לוי</t>
        </is>
      </c>
      <c r="C210" s="38" t="inlineStr">
        <is>
          <t>תורנות מוצ"ש</t>
        </is>
      </c>
      <c r="D210" s="37" t="inlineStr">
        <is>
          <t>ארוחת ערב מוצ"ש</t>
        </is>
      </c>
      <c r="E210" s="38" t="n">
        <v>3</v>
      </c>
    </row>
    <row r="211">
      <c r="A211" s="36" t="n">
        <v>46325</v>
      </c>
      <c r="B211" s="37" t="inlineStr">
        <is>
          <t>ירדן בן שחר</t>
        </is>
      </c>
      <c r="C211" s="38" t="inlineStr">
        <is>
          <t>תורנות מוצ"ש</t>
        </is>
      </c>
      <c r="D211" s="37" t="inlineStr">
        <is>
          <t>ארוחת ערב מוצ"ש</t>
        </is>
      </c>
      <c r="E211" s="38" t="n">
        <v>3</v>
      </c>
    </row>
    <row r="212">
      <c r="A212" s="36" t="n">
        <v>46325</v>
      </c>
      <c r="B212" s="37" t="inlineStr">
        <is>
          <t>עמית שי אברהם</t>
        </is>
      </c>
      <c r="C212" s="38" t="inlineStr">
        <is>
          <t>תורנות מוצ"ש</t>
        </is>
      </c>
      <c r="D212" s="37" t="inlineStr">
        <is>
          <t>ארוחת ערב מוצ"ש</t>
        </is>
      </c>
      <c r="E212" s="38" t="n">
        <v>3</v>
      </c>
    </row>
    <row r="213">
      <c r="A213" s="36" t="n">
        <v>46325</v>
      </c>
      <c r="B213" s="37" t="inlineStr">
        <is>
          <t>אחיה נחמני</t>
        </is>
      </c>
      <c r="C213" s="38" t="inlineStr">
        <is>
          <t>תורנות מוצ"ש</t>
        </is>
      </c>
      <c r="D213" s="37" t="inlineStr">
        <is>
          <t>ניקיון בית המדרש במוצ"ש</t>
        </is>
      </c>
      <c r="E213" s="38" t="n">
        <v>2</v>
      </c>
    </row>
    <row r="214">
      <c r="A214" s="36" t="n">
        <v>46325</v>
      </c>
      <c r="B214" s="37" t="inlineStr">
        <is>
          <t>הדר עמדי</t>
        </is>
      </c>
      <c r="C214" s="38" t="inlineStr">
        <is>
          <t>תורנות מוצ"ש</t>
        </is>
      </c>
      <c r="D214" s="37" t="inlineStr">
        <is>
          <t>ניקיון בית המדרש במוצ"ש</t>
        </is>
      </c>
      <c r="E214" s="38" t="n">
        <v>2</v>
      </c>
    </row>
    <row r="215">
      <c r="A215" s="36" t="n">
        <v>46325</v>
      </c>
      <c r="B215" s="37" t="inlineStr">
        <is>
          <t>חיים שמאי</t>
        </is>
      </c>
      <c r="C215" s="38" t="inlineStr">
        <is>
          <t>תורנות מוצ"ש</t>
        </is>
      </c>
      <c r="D215" s="37" t="inlineStr">
        <is>
          <t>ניקיון בית המדרש במוצ"ש</t>
        </is>
      </c>
      <c r="E215" s="38" t="n">
        <v>2</v>
      </c>
    </row>
    <row r="216">
      <c r="A216" s="36" t="n">
        <v>46325</v>
      </c>
      <c r="B216" s="37" t="inlineStr">
        <is>
          <t>יובל יצחק</t>
        </is>
      </c>
      <c r="C216" s="38" t="inlineStr">
        <is>
          <t>תורנות מוצ"ש</t>
        </is>
      </c>
      <c r="D216" s="37" t="inlineStr">
        <is>
          <t>ניקיון בית המדרש במוצ"ש</t>
        </is>
      </c>
      <c r="E216" s="38" t="n">
        <v>2</v>
      </c>
    </row>
    <row r="217">
      <c r="A217" s="36" t="n">
        <v>46325</v>
      </c>
      <c r="B217" s="37" t="inlineStr">
        <is>
          <t>יונתן לירז</t>
        </is>
      </c>
      <c r="C217" s="38" t="inlineStr">
        <is>
          <t>תורנות מוצ"ש</t>
        </is>
      </c>
      <c r="D217" s="37" t="inlineStr">
        <is>
          <t>ניקיון בית המדרש במוצ"ש</t>
        </is>
      </c>
      <c r="E217" s="38" t="n">
        <v>2</v>
      </c>
    </row>
    <row r="218">
      <c r="A218" s="36" t="n">
        <v>46325</v>
      </c>
      <c r="B218" s="37" t="inlineStr">
        <is>
          <t>יערה ריס</t>
        </is>
      </c>
      <c r="C218" s="38" t="inlineStr">
        <is>
          <t>תורנות מוצ"ש</t>
        </is>
      </c>
      <c r="D218" s="37" t="inlineStr">
        <is>
          <t>ניקיון בית המדרש במוצ"ש</t>
        </is>
      </c>
      <c r="E218" s="38" t="n">
        <v>2</v>
      </c>
    </row>
    <row r="219">
      <c r="A219" s="36" t="n">
        <v>46325</v>
      </c>
      <c r="B219" s="37" t="inlineStr">
        <is>
          <t>סהר שירון</t>
        </is>
      </c>
      <c r="C219" s="38" t="inlineStr">
        <is>
          <t>תורנות מוצ"ש</t>
        </is>
      </c>
      <c r="D219" s="37" t="inlineStr">
        <is>
          <t>ניקיון בית המדרש במוצ"ש</t>
        </is>
      </c>
      <c r="E219" s="38" t="n">
        <v>2</v>
      </c>
    </row>
    <row r="220">
      <c r="A220" s="36" t="n">
        <v>46325</v>
      </c>
      <c r="B220" s="37" t="inlineStr">
        <is>
          <t>רוני פרנקל</t>
        </is>
      </c>
      <c r="C220" s="38" t="inlineStr">
        <is>
          <t>תורנות מוצ"ש</t>
        </is>
      </c>
      <c r="D220" s="37" t="inlineStr">
        <is>
          <t>ניקיון בית המדרש במוצ"ש</t>
        </is>
      </c>
      <c r="E220" s="38" t="n">
        <v>2</v>
      </c>
    </row>
    <row r="221">
      <c r="A221" s="36" t="n">
        <v>46325</v>
      </c>
      <c r="B221" s="37" t="inlineStr">
        <is>
          <t>שחר מרקוביץ' גליק</t>
        </is>
      </c>
      <c r="C221" s="38" t="inlineStr">
        <is>
          <t>תורנות מוצ"ש</t>
        </is>
      </c>
      <c r="D221" s="37" t="inlineStr">
        <is>
          <t>ניקיון בית המדרש במוצ"ש</t>
        </is>
      </c>
      <c r="E221" s="38" t="n">
        <v>2</v>
      </c>
    </row>
    <row r="222">
      <c r="A222" s="36" t="n">
        <v>46325</v>
      </c>
      <c r="B222" s="37" t="inlineStr">
        <is>
          <t>תמר פרידמן</t>
        </is>
      </c>
      <c r="C222" s="38" t="inlineStr">
        <is>
          <t>תורנות מוצ"ש</t>
        </is>
      </c>
      <c r="D222" s="37" t="inlineStr">
        <is>
          <t>ניקיון בית המדרש במוצ"ש</t>
        </is>
      </c>
      <c r="E222" s="38" t="n">
        <v>2</v>
      </c>
    </row>
    <row r="223">
      <c r="A223" s="36" t="n">
        <v>46325</v>
      </c>
      <c r="B223" s="37" t="inlineStr">
        <is>
          <t>אביה וייל</t>
        </is>
      </c>
      <c r="C223" s="38" t="inlineStr">
        <is>
          <t>תורנות מוצ"ש</t>
        </is>
      </c>
      <c r="D223" s="37" t="inlineStr">
        <is>
          <t>ניקיון חדר האוכל במוצ"ש</t>
        </is>
      </c>
      <c r="E223" s="38" t="n">
        <v>3</v>
      </c>
    </row>
    <row r="224">
      <c r="A224" s="36" t="n">
        <v>46325</v>
      </c>
      <c r="B224" s="37" t="inlineStr">
        <is>
          <t>אלה גוטליב</t>
        </is>
      </c>
      <c r="C224" s="38" t="inlineStr">
        <is>
          <t>תורנות מוצ"ש</t>
        </is>
      </c>
      <c r="D224" s="37" t="inlineStr">
        <is>
          <t>ניקיון חדר האוכל במוצ"ש</t>
        </is>
      </c>
      <c r="E224" s="38" t="n">
        <v>3</v>
      </c>
    </row>
    <row r="225">
      <c r="A225" s="36" t="n">
        <v>46325</v>
      </c>
      <c r="B225" s="37" t="inlineStr">
        <is>
          <t>זואי כהן</t>
        </is>
      </c>
      <c r="C225" s="38" t="inlineStr">
        <is>
          <t>תורנות מוצ"ש</t>
        </is>
      </c>
      <c r="D225" s="37" t="inlineStr">
        <is>
          <t>ניקיון חדר האוכל במוצ"ש</t>
        </is>
      </c>
      <c r="E225" s="38" t="n">
        <v>3</v>
      </c>
    </row>
    <row r="226">
      <c r="A226" s="36" t="n">
        <v>46325</v>
      </c>
      <c r="B226" s="37" t="inlineStr">
        <is>
          <t>יואב אוחנה</t>
        </is>
      </c>
      <c r="C226" s="38" t="inlineStr">
        <is>
          <t>תורנות מוצ"ש</t>
        </is>
      </c>
      <c r="D226" s="37" t="inlineStr">
        <is>
          <t>ניקיון חדר האוכל במוצ"ש</t>
        </is>
      </c>
      <c r="E226" s="38" t="n">
        <v>3</v>
      </c>
    </row>
    <row r="227">
      <c r="A227" s="36" t="n">
        <v>46325</v>
      </c>
      <c r="B227" s="37" t="inlineStr">
        <is>
          <t>מאיה פקטר</t>
        </is>
      </c>
      <c r="C227" s="38" t="inlineStr">
        <is>
          <t>תורנות מוצ"ש</t>
        </is>
      </c>
      <c r="D227" s="37" t="inlineStr">
        <is>
          <t>ניקיון חדר האוכל במוצ"ש</t>
        </is>
      </c>
      <c r="E227" s="38" t="n">
        <v>3</v>
      </c>
    </row>
    <row r="228">
      <c r="A228" s="36" t="n">
        <v>46325</v>
      </c>
      <c r="B228" s="37" t="inlineStr">
        <is>
          <t>משה אוברשטיין</t>
        </is>
      </c>
      <c r="C228" s="38" t="inlineStr">
        <is>
          <t>תורנות מוצ"ש</t>
        </is>
      </c>
      <c r="D228" s="37" t="inlineStr">
        <is>
          <t>ניקיון חדר האוכל במוצ"ש</t>
        </is>
      </c>
      <c r="E228" s="38" t="n">
        <v>3</v>
      </c>
    </row>
    <row r="229">
      <c r="A229" s="36" t="n">
        <v>46325</v>
      </c>
      <c r="B229" s="37" t="inlineStr">
        <is>
          <t>עמית סיילס</t>
        </is>
      </c>
      <c r="C229" s="38" t="inlineStr">
        <is>
          <t>תורנות מוצ"ש</t>
        </is>
      </c>
      <c r="D229" s="37" t="inlineStr">
        <is>
          <t>ניקיון חדר האוכל במוצ"ש</t>
        </is>
      </c>
      <c r="E229" s="38" t="n">
        <v>3</v>
      </c>
    </row>
    <row r="230">
      <c r="A230" s="36" t="n">
        <v>46325</v>
      </c>
      <c r="B230" s="37" t="inlineStr">
        <is>
          <t>שחר קרן</t>
        </is>
      </c>
      <c r="C230" s="38" t="inlineStr">
        <is>
          <t>תורנות מוצ"ש</t>
        </is>
      </c>
      <c r="D230" s="37" t="inlineStr">
        <is>
          <t>ניקיון חדר האוכל במוצ"ש</t>
        </is>
      </c>
      <c r="E230" s="38" t="n">
        <v>3</v>
      </c>
    </row>
    <row r="231">
      <c r="A231" s="36" t="n">
        <v>46325</v>
      </c>
      <c r="B231" s="37" t="inlineStr">
        <is>
          <t>שילת פילפל</t>
        </is>
      </c>
      <c r="C231" s="38" t="inlineStr">
        <is>
          <t>תורנות מוצ"ש</t>
        </is>
      </c>
      <c r="D231" s="37" t="inlineStr">
        <is>
          <t>ניקיון חדר האוכל במוצ"ש</t>
        </is>
      </c>
      <c r="E231" s="38" t="n">
        <v>3</v>
      </c>
    </row>
    <row r="232">
      <c r="A232" s="36" t="n">
        <v>46325</v>
      </c>
      <c r="B232" s="37" t="inlineStr">
        <is>
          <t>שירה ספונוב</t>
        </is>
      </c>
      <c r="C232" s="38" t="inlineStr">
        <is>
          <t>תורנות מוצ"ש</t>
        </is>
      </c>
      <c r="D232" s="37" t="inlineStr">
        <is>
          <t>ניקיון חדר האוכל במוצ"ש</t>
        </is>
      </c>
      <c r="E232" s="38" t="n">
        <v>3</v>
      </c>
    </row>
    <row r="233">
      <c r="A233" s="36" t="n">
        <v>46325</v>
      </c>
      <c r="B233" s="37" t="inlineStr">
        <is>
          <t>יואב אוחנה</t>
        </is>
      </c>
      <c r="C233" s="38" t="inlineStr">
        <is>
          <t>תורנות שבת</t>
        </is>
      </c>
      <c r="D233" s="37" t="inlineStr">
        <is>
          <t>ארוחת ערב</t>
        </is>
      </c>
      <c r="E233" s="38" t="n">
        <v>2</v>
      </c>
    </row>
    <row r="234">
      <c r="A234" s="36" t="n">
        <v>46325</v>
      </c>
      <c r="B234" s="37" t="inlineStr">
        <is>
          <t>יובל יצחק</t>
        </is>
      </c>
      <c r="C234" s="38" t="inlineStr">
        <is>
          <t>תורנות שבת</t>
        </is>
      </c>
      <c r="D234" s="37" t="inlineStr">
        <is>
          <t>ארוחת ערב</t>
        </is>
      </c>
      <c r="E234" s="38" t="n">
        <v>2</v>
      </c>
    </row>
    <row r="235">
      <c r="A235" s="36" t="n">
        <v>46325</v>
      </c>
      <c r="B235" s="37" t="inlineStr">
        <is>
          <t>יונתן לירז</t>
        </is>
      </c>
      <c r="C235" s="38" t="inlineStr">
        <is>
          <t>תורנות שבת</t>
        </is>
      </c>
      <c r="D235" s="37" t="inlineStr">
        <is>
          <t>ארוחת ערב</t>
        </is>
      </c>
      <c r="E235" s="38" t="n">
        <v>2</v>
      </c>
    </row>
    <row r="236">
      <c r="A236" s="36" t="n">
        <v>46325</v>
      </c>
      <c r="B236" s="37" t="inlineStr">
        <is>
          <t>רוני כהן</t>
        </is>
      </c>
      <c r="C236" s="38" t="inlineStr">
        <is>
          <t>תורנות שבת</t>
        </is>
      </c>
      <c r="D236" s="37" t="inlineStr">
        <is>
          <t>ארוחת ערב</t>
        </is>
      </c>
      <c r="E236" s="38" t="n">
        <v>2</v>
      </c>
    </row>
    <row r="237">
      <c r="A237" s="36" t="n">
        <v>46325</v>
      </c>
      <c r="B237" s="37" t="inlineStr">
        <is>
          <t>הלל פינגולד</t>
        </is>
      </c>
      <c r="C237" s="38" t="inlineStr">
        <is>
          <t>תורנות שבת</t>
        </is>
      </c>
      <c r="D237" s="37" t="inlineStr">
        <is>
          <t>ארוחת צהריים שבת</t>
        </is>
      </c>
      <c r="E237" s="38" t="n">
        <v>2</v>
      </c>
    </row>
    <row r="238">
      <c r="A238" s="36" t="n">
        <v>46325</v>
      </c>
      <c r="B238" s="37" t="inlineStr">
        <is>
          <t>יותם ספיר</t>
        </is>
      </c>
      <c r="C238" s="38" t="inlineStr">
        <is>
          <t>תורנות שבת</t>
        </is>
      </c>
      <c r="D238" s="37" t="inlineStr">
        <is>
          <t>ארוחת צהריים שבת</t>
        </is>
      </c>
      <c r="E238" s="38" t="n">
        <v>2</v>
      </c>
    </row>
    <row r="239">
      <c r="A239" s="36" t="n">
        <v>46325</v>
      </c>
      <c r="B239" s="37" t="inlineStr">
        <is>
          <t>ליבי בוכריס</t>
        </is>
      </c>
      <c r="C239" s="38" t="inlineStr">
        <is>
          <t>תורנות שבת</t>
        </is>
      </c>
      <c r="D239" s="37" t="inlineStr">
        <is>
          <t>ארוחת צהריים שבת</t>
        </is>
      </c>
      <c r="E239" s="38" t="n">
        <v>2</v>
      </c>
    </row>
    <row r="240">
      <c r="A240" s="36" t="n">
        <v>46325</v>
      </c>
      <c r="B240" s="37" t="inlineStr">
        <is>
          <t>ניצן גמלא</t>
        </is>
      </c>
      <c r="C240" s="38" t="inlineStr">
        <is>
          <t>תורנות שבת</t>
        </is>
      </c>
      <c r="D240" s="37" t="inlineStr">
        <is>
          <t>ארוחת צהריים שבת</t>
        </is>
      </c>
      <c r="E240" s="38" t="n">
        <v>2</v>
      </c>
    </row>
    <row r="241">
      <c r="A241" s="36" t="n">
        <v>46325</v>
      </c>
      <c r="B241" s="37" t="inlineStr">
        <is>
          <t>ניתאי שלום</t>
        </is>
      </c>
      <c r="C241" s="38" t="inlineStr">
        <is>
          <t>תורנות שבת</t>
        </is>
      </c>
      <c r="D241" s="37" t="inlineStr">
        <is>
          <t>גסטרונומים</t>
        </is>
      </c>
      <c r="E241" s="38" t="n">
        <v>2</v>
      </c>
    </row>
    <row r="242">
      <c r="A242" s="36" t="n">
        <v>46325</v>
      </c>
      <c r="B242" s="37" t="inlineStr">
        <is>
          <t>שי- לי וולגמוט</t>
        </is>
      </c>
      <c r="C242" s="38" t="inlineStr">
        <is>
          <t>תורנות שבת</t>
        </is>
      </c>
      <c r="D242" s="37" t="inlineStr">
        <is>
          <t>גסטרונומים</t>
        </is>
      </c>
      <c r="E242" s="38" t="n">
        <v>2</v>
      </c>
    </row>
    <row r="243">
      <c r="A243" s="36" t="n">
        <v>46325</v>
      </c>
      <c r="B243" s="37" t="inlineStr">
        <is>
          <t>טליה קור</t>
        </is>
      </c>
      <c r="C243" s="38" t="inlineStr">
        <is>
          <t>תורנות שבת</t>
        </is>
      </c>
      <c r="D243" s="37" t="inlineStr">
        <is>
          <t>טיש</t>
        </is>
      </c>
      <c r="E243" s="38" t="n">
        <v>1</v>
      </c>
    </row>
    <row r="244">
      <c r="A244" s="36" t="n">
        <v>46325</v>
      </c>
      <c r="B244" s="37" t="inlineStr">
        <is>
          <t>עופר בביוף</t>
        </is>
      </c>
      <c r="C244" s="38" t="inlineStr">
        <is>
          <t>תורנות שבת</t>
        </is>
      </c>
      <c r="D244" s="37" t="inlineStr">
        <is>
          <t>טיש</t>
        </is>
      </c>
      <c r="E244" s="38" t="n">
        <v>1</v>
      </c>
    </row>
    <row r="245">
      <c r="A245" s="36" t="n">
        <v>46325</v>
      </c>
      <c r="B245" s="37" t="inlineStr">
        <is>
          <t>תמר פרידמן</t>
        </is>
      </c>
      <c r="C245" s="38" t="inlineStr">
        <is>
          <t>תורנות שבת</t>
        </is>
      </c>
      <c r="D245" s="37" t="inlineStr">
        <is>
          <t>טיש</t>
        </is>
      </c>
      <c r="E245" s="38" t="n">
        <v>1</v>
      </c>
    </row>
    <row r="246">
      <c r="A246" s="36" t="n">
        <v>46325</v>
      </c>
      <c r="B246" s="37" t="inlineStr">
        <is>
          <t>אוריה תעשה</t>
        </is>
      </c>
      <c r="C246" s="38" t="inlineStr">
        <is>
          <t>תורנות שבת</t>
        </is>
      </c>
      <c r="D246" s="37" t="inlineStr">
        <is>
          <t>פינוי ארוחת ערב</t>
        </is>
      </c>
      <c r="E246" s="38" t="n">
        <v>2</v>
      </c>
    </row>
    <row r="247">
      <c r="A247" s="36" t="n">
        <v>46325</v>
      </c>
      <c r="B247" s="37" t="inlineStr">
        <is>
          <t>ארבל פרנקו</t>
        </is>
      </c>
      <c r="C247" s="38" t="inlineStr">
        <is>
          <t>תורנות שבת</t>
        </is>
      </c>
      <c r="D247" s="37" t="inlineStr">
        <is>
          <t>פינוי ארוחת ערב</t>
        </is>
      </c>
      <c r="E247" s="38" t="n">
        <v>2</v>
      </c>
    </row>
    <row r="248">
      <c r="A248" s="36" t="n">
        <v>46325</v>
      </c>
      <c r="B248" s="37" t="inlineStr">
        <is>
          <t>כליל בלאוקופף</t>
        </is>
      </c>
      <c r="C248" s="38" t="inlineStr">
        <is>
          <t>תורנות שבת</t>
        </is>
      </c>
      <c r="D248" s="37" t="inlineStr">
        <is>
          <t>פינוי ארוחת ערב</t>
        </is>
      </c>
      <c r="E248" s="38" t="n">
        <v>2</v>
      </c>
    </row>
    <row r="249">
      <c r="A249" s="36" t="n">
        <v>46325</v>
      </c>
      <c r="B249" s="37" t="inlineStr">
        <is>
          <t>משה אוברשטיין</t>
        </is>
      </c>
      <c r="C249" s="38" t="inlineStr">
        <is>
          <t>תורנות שבת</t>
        </is>
      </c>
      <c r="D249" s="37" t="inlineStr">
        <is>
          <t>פינוי ארוחת ערב</t>
        </is>
      </c>
      <c r="E249" s="38" t="n">
        <v>2</v>
      </c>
    </row>
    <row r="250">
      <c r="A250" s="36" t="n">
        <v>46325</v>
      </c>
      <c r="B250" s="37" t="inlineStr">
        <is>
          <t>נבו בלוך</t>
        </is>
      </c>
      <c r="C250" s="38" t="inlineStr">
        <is>
          <t>תורנות שבת</t>
        </is>
      </c>
      <c r="D250" s="37" t="inlineStr">
        <is>
          <t>פינוי ארוחת ערב</t>
        </is>
      </c>
      <c r="E250" s="38" t="n">
        <v>2</v>
      </c>
    </row>
    <row r="251">
      <c r="A251" s="36" t="n">
        <v>46325</v>
      </c>
      <c r="B251" s="37" t="inlineStr">
        <is>
          <t>רותם דרור</t>
        </is>
      </c>
      <c r="C251" s="38" t="inlineStr">
        <is>
          <t>תורנות שבת</t>
        </is>
      </c>
      <c r="D251" s="37" t="inlineStr">
        <is>
          <t>פינוי ארוחת ערב</t>
        </is>
      </c>
      <c r="E251" s="38" t="n">
        <v>2</v>
      </c>
    </row>
    <row r="252">
      <c r="A252" s="36" t="n">
        <v>46325</v>
      </c>
      <c r="B252" s="37" t="inlineStr">
        <is>
          <t>של״ו רובינשטיין</t>
        </is>
      </c>
      <c r="C252" s="38" t="inlineStr">
        <is>
          <t>תורנות שבת</t>
        </is>
      </c>
      <c r="D252" s="37" t="inlineStr">
        <is>
          <t>פינוי ארוחת ערב</t>
        </is>
      </c>
      <c r="E252" s="38" t="n">
        <v>2</v>
      </c>
    </row>
    <row r="253">
      <c r="A253" s="36" t="n">
        <v>46325</v>
      </c>
      <c r="B253" s="37" t="inlineStr">
        <is>
          <t>הילה עזרא</t>
        </is>
      </c>
      <c r="C253" s="38" t="inlineStr">
        <is>
          <t>תורנות שבת</t>
        </is>
      </c>
      <c r="D253" s="37" t="inlineStr">
        <is>
          <t>פינוי ארוחת צהריים וסעודה שלישית</t>
        </is>
      </c>
      <c r="E253" s="38" t="n">
        <v>2</v>
      </c>
    </row>
    <row r="254">
      <c r="A254" s="36" t="n">
        <v>46325</v>
      </c>
      <c r="B254" s="37" t="inlineStr">
        <is>
          <t>הילי אלפסי</t>
        </is>
      </c>
      <c r="C254" s="38" t="inlineStr">
        <is>
          <t>תורנות שבת</t>
        </is>
      </c>
      <c r="D254" s="37" t="inlineStr">
        <is>
          <t>פינוי ארוחת צהריים וסעודה שלישית</t>
        </is>
      </c>
      <c r="E254" s="38" t="n">
        <v>2</v>
      </c>
    </row>
    <row r="255">
      <c r="A255" s="36" t="n">
        <v>46325</v>
      </c>
      <c r="B255" s="37" t="inlineStr">
        <is>
          <t>מעיין רחל דינר</t>
        </is>
      </c>
      <c r="C255" s="38" t="inlineStr">
        <is>
          <t>תורנות שבת</t>
        </is>
      </c>
      <c r="D255" s="37" t="inlineStr">
        <is>
          <t>פינוי ארוחת צהריים וסעודה שלישית</t>
        </is>
      </c>
      <c r="E255" s="38" t="n">
        <v>2</v>
      </c>
    </row>
    <row r="256">
      <c r="A256" s="36" t="n">
        <v>46325</v>
      </c>
      <c r="B256" s="37" t="inlineStr">
        <is>
          <t>נגה שוהם</t>
        </is>
      </c>
      <c r="C256" s="38" t="inlineStr">
        <is>
          <t>תורנות שבת</t>
        </is>
      </c>
      <c r="D256" s="37" t="inlineStr">
        <is>
          <t>פינוי ארוחת צהריים וסעודה שלישית</t>
        </is>
      </c>
      <c r="E256" s="38" t="n">
        <v>2</v>
      </c>
    </row>
    <row r="257">
      <c r="A257" s="36" t="n">
        <v>46325</v>
      </c>
      <c r="B257" s="37" t="inlineStr">
        <is>
          <t>נועם ישראל קומפאס</t>
        </is>
      </c>
      <c r="C257" s="38" t="inlineStr">
        <is>
          <t>תורנות שבת</t>
        </is>
      </c>
      <c r="D257" s="37" t="inlineStr">
        <is>
          <t>פינוי ארוחת צהריים וסעודה שלישית</t>
        </is>
      </c>
      <c r="E257" s="38" t="n">
        <v>2</v>
      </c>
    </row>
    <row r="258">
      <c r="A258" s="36" t="n">
        <v>46325</v>
      </c>
      <c r="B258" s="37" t="inlineStr">
        <is>
          <t>אריאלה מרכוס</t>
        </is>
      </c>
      <c r="C258" s="38" t="inlineStr">
        <is>
          <t>תורנות שבת</t>
        </is>
      </c>
      <c r="D258" s="37" t="inlineStr">
        <is>
          <t>קידוש</t>
        </is>
      </c>
      <c r="E258" s="38" t="n">
        <v>1</v>
      </c>
    </row>
    <row r="259">
      <c r="A259" s="36" t="n">
        <v>46325</v>
      </c>
      <c r="B259" s="37" t="inlineStr">
        <is>
          <t>ליעם גבע</t>
        </is>
      </c>
      <c r="C259" s="38" t="inlineStr">
        <is>
          <t>תורנות שבת</t>
        </is>
      </c>
      <c r="D259" s="37" t="inlineStr">
        <is>
          <t>קידוש</t>
        </is>
      </c>
      <c r="E259" s="38" t="n">
        <v>1</v>
      </c>
    </row>
    <row r="260">
      <c r="A260" s="36" t="n">
        <v>46325</v>
      </c>
      <c r="B260" s="37" t="inlineStr">
        <is>
          <t>פנחס אליהו גלוסקין</t>
        </is>
      </c>
      <c r="C260" s="38" t="inlineStr">
        <is>
          <t>תורנות שבת</t>
        </is>
      </c>
      <c r="D260" s="37" t="inlineStr">
        <is>
          <t>קידוש</t>
        </is>
      </c>
      <c r="E260" s="38" t="n">
        <v>1</v>
      </c>
    </row>
    <row r="261">
      <c r="A261" s="36" t="n">
        <v>46325</v>
      </c>
      <c r="B261" s="37" t="inlineStr">
        <is>
          <t>אביה וייל</t>
        </is>
      </c>
      <c r="C261" s="38" t="inlineStr">
        <is>
          <t>תורנות שישי</t>
        </is>
      </c>
      <c r="D261" s="37" t="inlineStr">
        <is>
          <t>בית מדרש</t>
        </is>
      </c>
      <c r="E261" s="38" t="n">
        <v>3</v>
      </c>
    </row>
    <row r="262">
      <c r="A262" s="36" t="n">
        <v>46325</v>
      </c>
      <c r="B262" s="37" t="inlineStr">
        <is>
          <t>אוריה תעשה</t>
        </is>
      </c>
      <c r="C262" s="38" t="inlineStr">
        <is>
          <t>תורנות שישי</t>
        </is>
      </c>
      <c r="D262" s="37" t="inlineStr">
        <is>
          <t>בית מדרש</t>
        </is>
      </c>
      <c r="E262" s="38" t="n">
        <v>3</v>
      </c>
    </row>
    <row r="263">
      <c r="A263" s="36" t="n">
        <v>46325</v>
      </c>
      <c r="B263" s="37" t="inlineStr">
        <is>
          <t>אחיה נחמני</t>
        </is>
      </c>
      <c r="C263" s="38" t="inlineStr">
        <is>
          <t>תורנות שישי</t>
        </is>
      </c>
      <c r="D263" s="37" t="inlineStr">
        <is>
          <t>בית מדרש</t>
        </is>
      </c>
      <c r="E263" s="38" t="n">
        <v>3</v>
      </c>
    </row>
    <row r="264">
      <c r="A264" s="36" t="n">
        <v>46325</v>
      </c>
      <c r="B264" s="37" t="inlineStr">
        <is>
          <t>ארבל פרנקו</t>
        </is>
      </c>
      <c r="C264" s="38" t="inlineStr">
        <is>
          <t>תורנות שישי</t>
        </is>
      </c>
      <c r="D264" s="37" t="inlineStr">
        <is>
          <t>בית מדרש</t>
        </is>
      </c>
      <c r="E264" s="38" t="n">
        <v>3</v>
      </c>
    </row>
    <row r="265">
      <c r="A265" s="36" t="n">
        <v>46325</v>
      </c>
      <c r="B265" s="37" t="inlineStr">
        <is>
          <t>חיים שמאי</t>
        </is>
      </c>
      <c r="C265" s="38" t="inlineStr">
        <is>
          <t>תורנות שישי</t>
        </is>
      </c>
      <c r="D265" s="37" t="inlineStr">
        <is>
          <t>בית מדרש</t>
        </is>
      </c>
      <c r="E265" s="38" t="n">
        <v>3</v>
      </c>
    </row>
    <row r="266">
      <c r="A266" s="36" t="n">
        <v>46325</v>
      </c>
      <c r="B266" s="37" t="inlineStr">
        <is>
          <t>כליל בלאוקופף</t>
        </is>
      </c>
      <c r="C266" s="38" t="inlineStr">
        <is>
          <t>תורנות שישי</t>
        </is>
      </c>
      <c r="D266" s="37" t="inlineStr">
        <is>
          <t>בית מדרש</t>
        </is>
      </c>
      <c r="E266" s="38" t="n">
        <v>3</v>
      </c>
    </row>
    <row r="267">
      <c r="A267" s="36" t="n">
        <v>46325</v>
      </c>
      <c r="B267" s="37" t="inlineStr">
        <is>
          <t>נבו בלוך</t>
        </is>
      </c>
      <c r="C267" s="38" t="inlineStr">
        <is>
          <t>תורנות שישי</t>
        </is>
      </c>
      <c r="D267" s="37" t="inlineStr">
        <is>
          <t>בית מדרש</t>
        </is>
      </c>
      <c r="E267" s="38" t="n">
        <v>3</v>
      </c>
    </row>
    <row r="268">
      <c r="A268" s="36" t="n">
        <v>46325</v>
      </c>
      <c r="B268" s="37" t="inlineStr">
        <is>
          <t>נגה שוהם</t>
        </is>
      </c>
      <c r="C268" s="38" t="inlineStr">
        <is>
          <t>תורנות שישי</t>
        </is>
      </c>
      <c r="D268" s="37" t="inlineStr">
        <is>
          <t>בית מדרש</t>
        </is>
      </c>
      <c r="E268" s="38" t="n">
        <v>3</v>
      </c>
    </row>
    <row r="269">
      <c r="A269" s="36" t="n">
        <v>46325</v>
      </c>
      <c r="B269" s="37" t="inlineStr">
        <is>
          <t>ניתאי שלום</t>
        </is>
      </c>
      <c r="C269" s="38" t="inlineStr">
        <is>
          <t>תורנות שישי</t>
        </is>
      </c>
      <c r="D269" s="37" t="inlineStr">
        <is>
          <t>בית מדרש</t>
        </is>
      </c>
      <c r="E269" s="38" t="n">
        <v>3</v>
      </c>
    </row>
    <row r="270">
      <c r="A270" s="36" t="n">
        <v>46325</v>
      </c>
      <c r="B270" s="37" t="inlineStr">
        <is>
          <t>סהר שירון</t>
        </is>
      </c>
      <c r="C270" s="38" t="inlineStr">
        <is>
          <t>תורנות שישי</t>
        </is>
      </c>
      <c r="D270" s="37" t="inlineStr">
        <is>
          <t>בית מדרש</t>
        </is>
      </c>
      <c r="E270" s="38" t="n">
        <v>3</v>
      </c>
    </row>
    <row r="271">
      <c r="A271" s="36" t="n">
        <v>46325</v>
      </c>
      <c r="B271" s="37" t="inlineStr">
        <is>
          <t>עופר בביוף</t>
        </is>
      </c>
      <c r="C271" s="38" t="inlineStr">
        <is>
          <t>תורנות שישי</t>
        </is>
      </c>
      <c r="D271" s="37" t="inlineStr">
        <is>
          <t>בית מדרש</t>
        </is>
      </c>
      <c r="E271" s="38" t="n">
        <v>3</v>
      </c>
    </row>
    <row r="272">
      <c r="A272" s="36" t="n">
        <v>46325</v>
      </c>
      <c r="B272" s="37" t="inlineStr">
        <is>
          <t>שירה ספונוב</t>
        </is>
      </c>
      <c r="C272" s="38" t="inlineStr">
        <is>
          <t>תורנות שישי</t>
        </is>
      </c>
      <c r="D272" s="37" t="inlineStr">
        <is>
          <t>בית מדרש</t>
        </is>
      </c>
      <c r="E272" s="38" t="n">
        <v>3</v>
      </c>
    </row>
    <row r="273">
      <c r="A273" s="36" t="n">
        <v>46325</v>
      </c>
      <c r="B273" s="37" t="inlineStr">
        <is>
          <t>איתמר אסנהיים</t>
        </is>
      </c>
      <c r="C273" s="38" t="inlineStr">
        <is>
          <t>תורנות שישי</t>
        </is>
      </c>
      <c r="D273" s="37" t="inlineStr">
        <is>
          <t>ניקיון חדר האוכל בשישי</t>
        </is>
      </c>
      <c r="E273" s="38" t="n">
        <v>3</v>
      </c>
    </row>
    <row r="274">
      <c r="A274" s="36" t="n">
        <v>46325</v>
      </c>
      <c r="B274" s="37" t="inlineStr">
        <is>
          <t>אלה גוטליב</t>
        </is>
      </c>
      <c r="C274" s="38" t="inlineStr">
        <is>
          <t>תורנות שישי</t>
        </is>
      </c>
      <c r="D274" s="37" t="inlineStr">
        <is>
          <t>ניקיון חדר האוכל בשישי</t>
        </is>
      </c>
      <c r="E274" s="38" t="n">
        <v>3</v>
      </c>
    </row>
    <row r="275">
      <c r="A275" s="36" t="n">
        <v>46325</v>
      </c>
      <c r="B275" s="37" t="inlineStr">
        <is>
          <t>אלה מאיר</t>
        </is>
      </c>
      <c r="C275" s="38" t="inlineStr">
        <is>
          <t>תורנות שישי</t>
        </is>
      </c>
      <c r="D275" s="37" t="inlineStr">
        <is>
          <t>ניקיון חדר האוכל בשישי</t>
        </is>
      </c>
      <c r="E275" s="38" t="n">
        <v>3</v>
      </c>
    </row>
    <row r="276">
      <c r="A276" s="36" t="n">
        <v>46325</v>
      </c>
      <c r="B276" s="37" t="inlineStr">
        <is>
          <t>זואי כהן</t>
        </is>
      </c>
      <c r="C276" s="38" t="inlineStr">
        <is>
          <t>תורנות שישי</t>
        </is>
      </c>
      <c r="D276" s="37" t="inlineStr">
        <is>
          <t>ניקיון חדר האוכל בשישי</t>
        </is>
      </c>
      <c r="E276" s="38" t="n">
        <v>3</v>
      </c>
    </row>
    <row r="277">
      <c r="A277" s="36" t="n">
        <v>46325</v>
      </c>
      <c r="B277" s="37" t="inlineStr">
        <is>
          <t>ינון לוי</t>
        </is>
      </c>
      <c r="C277" s="38" t="inlineStr">
        <is>
          <t>תורנות שישי</t>
        </is>
      </c>
      <c r="D277" s="37" t="inlineStr">
        <is>
          <t>ניקיון חדר האוכל בשישי</t>
        </is>
      </c>
      <c r="E277" s="38" t="n">
        <v>3</v>
      </c>
    </row>
    <row r="278">
      <c r="A278" s="36" t="n">
        <v>46325</v>
      </c>
      <c r="B278" s="37" t="inlineStr">
        <is>
          <t>יערה ריס</t>
        </is>
      </c>
      <c r="C278" s="38" t="inlineStr">
        <is>
          <t>תורנות שישי</t>
        </is>
      </c>
      <c r="D278" s="37" t="inlineStr">
        <is>
          <t>ניקיון חדר האוכל בשישי</t>
        </is>
      </c>
      <c r="E278" s="38" t="n">
        <v>3</v>
      </c>
    </row>
    <row r="279">
      <c r="A279" s="36" t="n">
        <v>46325</v>
      </c>
      <c r="B279" s="37" t="inlineStr">
        <is>
          <t>ירדן בן שחר</t>
        </is>
      </c>
      <c r="C279" s="38" t="inlineStr">
        <is>
          <t>תורנות שישי</t>
        </is>
      </c>
      <c r="D279" s="37" t="inlineStr">
        <is>
          <t>ניקיון חדר האוכל בשישי</t>
        </is>
      </c>
      <c r="E279" s="38" t="n">
        <v>3</v>
      </c>
    </row>
    <row r="280">
      <c r="A280" s="36" t="n">
        <v>46325</v>
      </c>
      <c r="B280" s="37" t="inlineStr">
        <is>
          <t>מאיה פקטר</t>
        </is>
      </c>
      <c r="C280" s="38" t="inlineStr">
        <is>
          <t>תורנות שישי</t>
        </is>
      </c>
      <c r="D280" s="37" t="inlineStr">
        <is>
          <t>ניקיון חדר האוכל בשישי</t>
        </is>
      </c>
      <c r="E280" s="38" t="n">
        <v>3</v>
      </c>
    </row>
    <row r="281">
      <c r="A281" s="36" t="n">
        <v>46325</v>
      </c>
      <c r="B281" s="37" t="inlineStr">
        <is>
          <t>עמית סיילס</t>
        </is>
      </c>
      <c r="C281" s="38" t="inlineStr">
        <is>
          <t>תורנות שישי</t>
        </is>
      </c>
      <c r="D281" s="37" t="inlineStr">
        <is>
          <t>ניקיון חדר האוכל בשישי</t>
        </is>
      </c>
      <c r="E281" s="38" t="n">
        <v>3</v>
      </c>
    </row>
    <row r="282">
      <c r="A282" s="36" t="n">
        <v>46325</v>
      </c>
      <c r="B282" s="37" t="inlineStr">
        <is>
          <t>עמית שי אברהם</t>
        </is>
      </c>
      <c r="C282" s="38" t="inlineStr">
        <is>
          <t>תורנות שישי</t>
        </is>
      </c>
      <c r="D282" s="37" t="inlineStr">
        <is>
          <t>ניקיון חדר האוכל בשישי</t>
        </is>
      </c>
      <c r="E282" s="38" t="n">
        <v>3</v>
      </c>
    </row>
    <row r="283">
      <c r="A283" s="36" t="n">
        <v>46325</v>
      </c>
      <c r="B283" s="37" t="inlineStr">
        <is>
          <t>שחר קרן</t>
        </is>
      </c>
      <c r="C283" s="38" t="inlineStr">
        <is>
          <t>תורנות שישי</t>
        </is>
      </c>
      <c r="D283" s="37" t="inlineStr">
        <is>
          <t>ניקיון חדר האוכל בשישי</t>
        </is>
      </c>
      <c r="E283" s="38" t="n">
        <v>3</v>
      </c>
    </row>
    <row r="284">
      <c r="A284" s="36" t="n">
        <v>46325</v>
      </c>
      <c r="B284" s="37" t="inlineStr">
        <is>
          <t>שילת פילפל</t>
        </is>
      </c>
      <c r="C284" s="38" t="inlineStr">
        <is>
          <t>תורנות שישי</t>
        </is>
      </c>
      <c r="D284" s="37" t="inlineStr">
        <is>
          <t>ניקיון חדר האוכל בשישי</t>
        </is>
      </c>
      <c r="E284" s="38" t="n">
        <v>3</v>
      </c>
    </row>
  </sheetData>
  <mergeCells count="1">
    <mergeCell ref="A1:E1"/>
  </mergeCells>
  <pageMargins left="0.75" right="0.75" top="1" bottom="1" header="0.5" footer="0.5"/>
  <pageSetup paperSize="9" fitToHeight="0" fitToWidth="1"/>
</worksheet>
</file>

<file path=xl/worksheets/sheet7.xml><?xml version="1.0" encoding="utf-8"?>
<worksheet xmlns="http://schemas.openxmlformats.org/spreadsheetml/2006/main">
  <sheetPr>
    <tabColor rgb="00E8A33D"/>
    <outlinePr summaryBelow="1" summaryRight="1"/>
    <pageSetUpPr fitToPage="1"/>
  </sheetPr>
  <dimension ref="A1:F8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26" customWidth="1" min="2" max="2"/>
    <col width="12" customWidth="1" min="3" max="3"/>
    <col width="50" customWidth="1" min="4" max="4"/>
    <col width="50" customWidth="1" min="5" max="5"/>
    <col width="24" customWidth="1" min="6" max="6"/>
  </cols>
  <sheetData>
    <row r="1" ht="36" customHeight="1">
      <c r="A1" s="27" t="inlineStr">
        <is>
          <t>מתכונים — עוגות, סלטים, מטבוחה וארוחת צהריים שישי</t>
        </is>
      </c>
    </row>
    <row r="2" ht="24" customHeight="1">
      <c r="A2" s="9" t="inlineStr">
        <is>
          <t>קטגוריה</t>
        </is>
      </c>
      <c r="B2" s="9" t="inlineStr">
        <is>
          <t>מנה</t>
        </is>
      </c>
      <c r="C2" s="9" t="inlineStr">
        <is>
          <t>כמות</t>
        </is>
      </c>
      <c r="D2" s="9" t="inlineStr">
        <is>
          <t>מרכיבים</t>
        </is>
      </c>
      <c r="E2" s="9" t="inlineStr">
        <is>
          <t>הוראות</t>
        </is>
      </c>
      <c r="F2" s="9" t="inlineStr">
        <is>
          <t>הערה</t>
        </is>
      </c>
    </row>
    <row r="3" ht="120" customHeight="1">
      <c r="A3" s="28" t="inlineStr">
        <is>
          <t>מאפים</t>
        </is>
      </c>
      <c r="B3" s="19" t="inlineStr">
        <is>
          <t>חלות</t>
        </is>
      </c>
      <c r="C3" s="28" t="inlineStr">
        <is>
          <t>10 ק"ג קמח</t>
        </is>
      </c>
      <c r="D3" s="21" t="inlineStr">
        <is>
          <t>10 ק"ג קמח
200 גרם שמרים יבשים
1 ק"ג סוכר
1.2–1.33 ליטר שמן
כ-5 ליטר מים פושרים
כ-150 גרם מלח (כ-6 כפות)
ביצים ושומשום להברשה</t>
        </is>
      </c>
      <c r="E3" s="21" t="inlineStr">
        <is>
          <t>בקערות גדולות מאוד שופכים את הקמח, יוצרים גומות ושמים את השמרים והסוכר. מוסיפים בהדרגה כ-4.5 ליטר מים פושרים ומתחילים ללוש.
מוסיפים את השמן וממשיכים ללוש. לקראת סוף הלישה מוסיפים את המלח ואת יתרת המים במידת הצורך, עד לבצק רך, גמיש ולא דביק (כ-10–12 דקות).
משמנים מעט את פני הבצק, מכסים ומתפיחים עד להכפלת הנפח (60–90 דקות).
מורידים אוויר, מחלקים לכדורים שווים, יוצרים רצועות וקולעים חלות.
מניחים על תבניות עם נייר אפייה, מכסים ומתפיחים שוב 30–40 דקות.
מברישים בביצה טרופה, מפזרים שומשום ואופים ב-180 מעלות 25–30 דקות, עד להזהבה עמוקה גם בתחתית.</t>
        </is>
      </c>
      <c r="F3" s="21" t="inlineStr">
        <is>
          <t>שתי התפחות — להתחיל מוקדם</t>
        </is>
      </c>
    </row>
    <row r="4" ht="120" customHeight="1">
      <c r="A4" s="28" t="inlineStr">
        <is>
          <t>עוגות</t>
        </is>
      </c>
      <c r="B4" s="19" t="inlineStr">
        <is>
          <t>עוגות שמרים (קינמון ושוקולד)</t>
        </is>
      </c>
      <c r="C4" s="28" t="inlineStr">
        <is>
          <t>6–8 עוגות</t>
        </is>
      </c>
      <c r="D4" s="21" t="inlineStr">
        <is>
          <t>לבצק:
3 ק"ג קמח
50 גרם שמרים יבשים
3 שקיות אבקת אפייה
400 גרם סוכר (כ-2 כוסות)
12 ביצים
500 מ"ל שמן
תמצית וניל
כ-700–900 מ"ל מים פושרים (לפי ספיגת הבצק)
למילוי:
1.6 ק"ג סוכר
300 גרם קקאו
6 כפות קינמון
500 מ"ל שמן (למריחה וחיבור המילוי)</t>
        </is>
      </c>
      <c r="E4" s="21" t="inlineStr">
        <is>
          <t>הבצק: מערבבים קמח, שמרים, אבקת אפייה ו-400 גרם סוכר. מוסיפים ביצים, תמצית וניל, שמן ומים בהדרגה. לשים כ-10 דקות לבצק רך, חלק וגמיש. מתפיחים שעה עד שעה וחצי להכפלת הנפח.
המילוי: מערבבים את הסוכר שנותר, הקקאו והקינמון לתערובת אחידה.
מחלקים את הבצק ל-6–8 כדורים שווים ומרדדים כל אחד למלבן דק.
מברישים בשכבת שמן נדיבה ומפזרים שכבה אחידה ונדיבה מתערובת הסוכר-קקאו-קינמון.
מגלגלים לרולדה מהודקת, חוצים לאורכה לשתי רצועות וקולעים לצמת בורג.
מניחים בתבניות, מתפיחים 30 דקות נוספות, ואופים ב-175 מעלות 25–30 דקות עד להשחמה יפה.</t>
        </is>
      </c>
      <c r="F4" s="21" t="n"/>
    </row>
    <row r="5" ht="120" customHeight="1">
      <c r="A5" s="28" t="inlineStr">
        <is>
          <t>בישול</t>
        </is>
      </c>
      <c r="B5" s="19" t="inlineStr">
        <is>
          <t>מטבוחה</t>
        </is>
      </c>
      <c r="C5" s="28" t="inlineStr">
        <is>
          <t>100 עגבניות</t>
        </is>
      </c>
      <c r="D5" s="21" t="inlineStr">
        <is>
          <t>100 עגבניות אדומות ובשלות (חלוטות, מקולפות וקצוצות)
1 ק"ג עגבניות שרי (קצוצות, אם משתמשים)
3–4 ק"ג פלפלים אדומים (קוביות קטנות או קלויים ומקולפים)
6 פלפלים ירוקים חריפים (קצוצים דק)
22 שיני שום פרוסות או כתושות
1 ליטר שמן (עדיף זית)
מלח גס לפי הטעם
4–5 כפות פפריקה מתוקה בשמן
מעט פפריקה חריפה</t>
        </is>
      </c>
      <c r="E5" s="21" t="inlineStr">
        <is>
          <t>בסיר גדול ורחב מחממים חצי מכמות השמן (500 מ"ל) על אש בינונית. מוסיפים שום ופלפלים חריפים ומטגנים כדקה (להיזהר לא לשרוף את השום).
מוסיפים את הפלפלים האדומים ומבשלים תוך ערבוב כ-15 דקות עד שהם מתרככים.
מוסיפים את העגבניות הקצוצות (והשרי). מביאים לרתיחה, מנמיכים לאש נמוכה ומבשלים ללא מכסה עד שהנוזלים מצטמצמים כמעט לחלוטין (כשעתיים-שלוש).
כשהעגבניות התפרקו והנוזלים התאדו, מוסיפים את יתרת השמן (500 מ"ל), מלח ופפריקה.
ממשיכים לבשל על אש קטנה מאוד עוד כשעה, תוך ערבוב תכוף בתחתית, עד למרקם ריבתי מבריק והשמן נפרד וצף בצדדים.</t>
        </is>
      </c>
      <c r="F5" s="21" t="inlineStr">
        <is>
          <t>בישול ארוך — כ-4 שעות בסך הכל</t>
        </is>
      </c>
    </row>
    <row r="6" ht="120" customHeight="1">
      <c r="A6" s="28" t="inlineStr">
        <is>
          <t>עוגות</t>
        </is>
      </c>
      <c r="B6" s="19" t="inlineStr">
        <is>
          <t>עוגת דבש</t>
        </is>
      </c>
      <c r="C6" s="28" t="inlineStr">
        <is>
          <t>10–12 תבניות אינגליש קייק</t>
        </is>
      </c>
      <c r="D6" s="21" t="inlineStr">
        <is>
          <t>30 ביצים
1.5 ק"ג סוכר (7.5 כוסות)
1.8 ליטר שמן (7.5 כוסות)
7.5 כוסות דבש
10 כפיות גדושות קפה נמס (מומסות ב-3 כוסות מים רותחים)
2.8 ק"ג קמח (20 כוסות)
10 כפיות אבקת אפייה (כ-3 שקיות)
5 כפיות סודה לשתייה
5 כפיות קינמון</t>
        </is>
      </c>
      <c r="E6" s="21" t="inlineStr">
        <is>
          <t>בקערת ערבוב ענקית טורפים היטב את הביצים עם הסוכר עד לתערובת בהירה ומעט תפוחה.
מוסיפים בהדרגה את השמן, הדבש והקפה המומס (לוודא שאינו רותח מדי שלא יבשל את הביצים) וטורפים עד לאיחוד.
בקערה נפרדת מערבבים את היבשים: קמח, אבקת אפייה, סודה לשתייה וקינמון.
מוסיפים את היבשים אל הרטובים וטורפים רק עד לבלילה חלקה ללא גושים (ערבוב יתר יפגע באווריריות).
מחלקים לתבניות אינגליש משומנות (עד 2/3 מגובה התבנית) ואופים ב-165 מעלות 35–45 דקות, עד שקיסם במרכז יוצא יבש עם פירורים לחים.</t>
        </is>
      </c>
      <c r="F6" s="21" t="n"/>
    </row>
    <row r="7" ht="120" customHeight="1">
      <c r="A7" s="28" t="inlineStr">
        <is>
          <t>עוגות</t>
        </is>
      </c>
      <c r="B7" s="19" t="inlineStr">
        <is>
          <t>עוגיות שוקולד צ'יפס</t>
        </is>
      </c>
      <c r="C7" s="28" t="inlineStr">
        <is>
          <t>כ-1.2 ק"ג קמח</t>
        </is>
      </c>
      <c r="D7" s="21" t="inlineStr">
        <is>
          <t>1.2 ק"ג קמח
1 שקית אבקת אפייה
1 כפית סודה לשתייה
675 גרם חמאה קרה (חתוכה לקוביות)
540 גרם סוכר חום כהה
300 גרם סוכר לבן
360 גרם ביצים (כ-6–7 ביצים)
1 כף תמצית וניל
קורט מלח
990 גרם שוקולד צ'יפס</t>
        </is>
      </c>
      <c r="E7" s="21" t="inlineStr">
        <is>
          <t>מעבדים בקערה גדולה (או במיקסר עם וו גיטרה) את החמאה הקרה עם שני סוגי הסוכר עד לתערובת פירורית ואחידה.
מוסיפים את הביצים בהדרגה ואת תמצית הווניל, ומערבבים עד להטמעה.
מוסיפים קמח, אבקת אפייה, סודה לשתייה וקורט מלח, ומערבבים רק עד שמתקבל בצק אחיד (לא ללוש יותר מדי).
מקפלים פנימה את השוקולד צ'יפס. מומלץ להכניס למקרר ל-30 דקות לייצוב.
מכדררים כדורים בגודל כדור פינג-פונג, מניחים על תבנית מרופדת עם מרווחים נדיבים, ואופים ב-175 מעלות 10–12 דקות, עד שהשוליים זהובים והמרכז עדיין רך.</t>
        </is>
      </c>
      <c r="F7" s="21" t="n"/>
    </row>
    <row r="8" ht="120" customHeight="1">
      <c r="A8" s="28" t="inlineStr">
        <is>
          <t>עוגות</t>
        </is>
      </c>
      <c r="B8" s="19" t="inlineStr">
        <is>
          <t>בראוניז ללא גלוטן</t>
        </is>
      </c>
      <c r="C8" s="28" t="inlineStr">
        <is>
          <t>כ-600 גרם שוקולד</t>
        </is>
      </c>
      <c r="D8" s="21" t="inlineStr">
        <is>
          <t>600 גרם שוקולד מריר
660 מ"ל שמן (כ-2.75 כוסות)
3.75 כוסות סוכר
15 ביצים שלמות
3 חבילות אינסטנט פודינג שוקולד או וניל ללא גלוטן</t>
        </is>
      </c>
      <c r="E8" s="21" t="inlineStr">
        <is>
          <t>ממיסים את השוקולד המריר יחד עם השמן בקערה גדולה (במיקרוגל בפולסים של 30 שניות או מעל סיר מים חמים) עד לתערובת חלקה ומבריקה.
בקערה נפרדת טורפים היטב את הביצים יחד עם הסוכר במטרפה ידנית.
יוצקים את תערובת השוקולד והשמן אל הביצים תוך כדי טריפה מתמדת.
מוסיפים את אבקת האינסטנט פודינג וטורפים רק עד לבלילה אחידה ללא גושים.
יוצקים לתבניות מרופדות בנייר אפייה ואופים ב-175 מעלות 25–30 דקות. מוכן כשהשוליים יציבים והמרכז מעט רוטט ופאדג'י. מצננים לחלוטין לפני חיתוך.</t>
        </is>
      </c>
      <c r="F8" s="21" t="inlineStr">
        <is>
          <t>ללא גלוטן — לוודא שכל המצרכים מסומנים</t>
        </is>
      </c>
    </row>
    <row r="9" ht="120" customHeight="1">
      <c r="A9" s="28" t="inlineStr">
        <is>
          <t>סלטים</t>
        </is>
      </c>
      <c r="B9" s="19" t="inlineStr">
        <is>
          <t>סלט חצילים קלויים</t>
        </is>
      </c>
      <c r="C9" s="28" t="inlineStr">
        <is>
          <t>10 חצילים</t>
        </is>
      </c>
      <c r="D9" s="21" t="inlineStr">
        <is>
          <t>10 חצילים שלמים
5–7 שיני שום כתושות
מיץ מ-4–5 לימונים
1 כוס שמן זית (200–250 מ"ל)
מלח לפי הטעם
לחציל בטחינה: 1–1.5 חבילות טחינה גולמית ומעט מים</t>
        </is>
      </c>
      <c r="E9" s="21" t="inlineStr">
        <is>
          <t>דוקרים כל חציל במזלג ב-2–3 מקומות וקולים על להבת גז גלויה, גריל, או בתנור על חום מקסימלי (גריל עליון) 30–40 דקות, עד שהקליפה חרוכה לחלוטין והבשר רך מאוד.
מעבירים למסננת לכ-15 דקות לצינון ולהגרת נוזלים מרירים.
חורצים לאורך, גורפים את בשר החציל בכף לקערה, וקוצצים גס בסכין (לא לטחון בבלנדר).
מוסיפים שום כתוש, מיץ לימון, שמן זית ומלח ומערבבים היטב במזלג.</t>
        </is>
      </c>
      <c r="F9" s="21" t="n"/>
    </row>
    <row r="10" ht="120" customHeight="1">
      <c r="A10" s="28" t="inlineStr">
        <is>
          <t>סלטים</t>
        </is>
      </c>
      <c r="B10" s="19" t="inlineStr">
        <is>
          <t>סלט כרוב מרענן</t>
        </is>
      </c>
      <c r="C10" s="28" t="inlineStr">
        <is>
          <t>2 ראשי כרוב (לארוחה אחת)</t>
        </is>
      </c>
      <c r="D10" s="21" t="inlineStr">
        <is>
          <t>2 ראשי כרוב (קצוצים לרצועות דקות)
מיץ מ-2–3 לימונים
כ-⅔ כוס שמן זית (125–150 מ"ל)
כ-1 כף מלח (לפי הטעם)
אופציונלי: חצי כפית סוכר / פלפל שחור / שמיר קצוץ</t>
        </is>
      </c>
      <c r="E10" s="21" t="inlineStr">
        <is>
          <t>חותכים את הכרוב לרצועות דקות ושמים בקערה גדולה מאוד.
בצנצנת או קערה קטנה טורפים יחד שמן זית, מיץ לימון ומלח עד לאיחוד.
יוצקים את הרוטב מעל הכרוב ומעסים את הכרוב בידיים דקה-שתיים (העיסוי מרכך את הכרוב ומחדיר את הטעמים).
מניחים בצד כ-20 דקות לפני ההגשה, טועמים ומתקנים תיבול.</t>
        </is>
      </c>
      <c r="F10" s="21" t="inlineStr">
        <is>
          <t>כמות לארוחה אחת — סמוך להגשה</t>
        </is>
      </c>
    </row>
    <row r="11" ht="120" customHeight="1">
      <c r="A11" s="28" t="inlineStr">
        <is>
          <t>סלטים</t>
        </is>
      </c>
      <c r="B11" s="19" t="inlineStr">
        <is>
          <t>סלט טחינה ביתית</t>
        </is>
      </c>
      <c r="C11" s="28" t="inlineStr">
        <is>
          <t>1.5–2 חבילות טחינה (לארוחה אחת)</t>
        </is>
      </c>
      <c r="D11" s="21" t="inlineStr">
        <is>
          <t>1.5–2 חבילות טחינה גולמית
מיץ מ-2.5–3 לימונים
2–3 שיני שום כתושות
מים קרים מאוד (בערך נפח הטחינה — להוסיף בהדרגה)
מלח לפי הטעם
1–2 כפות שמן זית לזילוף</t>
        </is>
      </c>
      <c r="E11" s="21" t="inlineStr">
        <is>
          <t>יוצקים את הטחינה הגולמית לקערה גדולה.
מוסיפים מיץ לימון, שום כתוש ומלח, ומתחילים לערבב במטרפה (התערובת תהפוך תחילה סמיכה מאוד וגושית — זה נורמלי).
מוסיפים מים קרים בהדרגה תוך טריפה נמרצת, עד למרקם הרצוי (טחינה מסמיכה בקירור, לא להשאיר סמיכה מדי).
טועמים ומאזנים מליחות וחמיצות.
מעבירים לקערות הגשה ומזלפים מעט שמן זית מעל.</t>
        </is>
      </c>
      <c r="F11" s="21" t="inlineStr">
        <is>
          <t>כמות לארוחה אחת — סמוך להגשה</t>
        </is>
      </c>
    </row>
    <row r="12" ht="120" customHeight="1">
      <c r="A12" s="28" t="n"/>
      <c r="B12" s="19" t="inlineStr">
        <is>
          <t>עוגת שוקולד</t>
        </is>
      </c>
      <c r="C12" s="28" t="inlineStr">
        <is>
          <t>12 עוגות אינגליש קייק</t>
        </is>
      </c>
      <c r="D12" s="21" t="inlineStr">
        <is>
          <t>אבקת שוקולית: כ-420 גרם (3 כוסות)
אבקת קקאו: כ-140 גרם (1 כוס)
אבקת נס קפה: כ-10 גרם (4 כפיות)
סוכר:  1.2 ק"ג (6 כוסות)
שמן: ליטר (4 כוסות)
8 ביצים
תמצית וניל
קמח: 1.12 ק"ג (8 כוסות)
אבקת אפייה: 40 גרם (4 שקיות)
לציפוי:
שוקולד מריר: 600 גרם
שמנת צימחית: 600 מ"ל (כ-2.5 כוסות)</t>
        </is>
      </c>
      <c r="E12" s="21" t="inlineStr">
        <is>
          <t>לחמם תנור ל-180 מעלות.
לשים את השוקולית, הקקאו והנס קפה בקערת ערבוב גדולה. להוסיף 2 כוסות מים רותחים ולערבב עם מטרפה ידנית עד שהכול נמס.
להוסיף לקערה את עוד 6 כוסות מים פושרים , הסוכר, השמן, הביצים ותמצית ווניל. לערבב הכול לתערובת אחידה.
להוסיף את הקמח, אבקת אפייה והמלח. לערבב לתערובת אחידה בלי גושים.
לשפוך את הבלילה לתבנית אפייה ולאפות כ- 40-35 דקות, או עד שקיסם הננעץ במרכז העוגה יוצא יבש. (אם רוצים להוציא את העוגה מהתבנית, יש לרפד את התבנית בנייר אפייה)
בינתיים כשהעוגה בתנור להכין את הציפוי.
לציפוי:
לשפוך את השמנת המתוקה על השוקולד.
להכניס למיקרו לדקה\ דקה וחצי.
להוציא ולחכות כ-2 דקות.
לערבב את השוקולד עם השמנת עד שמתקבלת תערובת חלקה ואחידה. אם יש עדיין גושי שוקולד, להחזיר למיקרו לעוד כחצי דקה ולערבב שוב עד שתהיה תערובת אחידה.
להוציא את העוגה מהתנור וכשהיא עוד חמה, ליצור בה חורים עם קיסם כדי שהצפוי יחלחל לתוך העוגה.
לשפוך מיד את הציפוי על העוגה החמה וליישר.
לתת לעוגה להצטנן ולאכול.</t>
        </is>
      </c>
      <c r="F12" s="21" t="n"/>
    </row>
    <row r="13" ht="120" customHeight="1">
      <c r="A13" s="28" t="n"/>
      <c r="B13" s="19" t="inlineStr">
        <is>
          <t>עוגת שמרים</t>
        </is>
      </c>
      <c r="C13" s="28" t="inlineStr">
        <is>
          <t>12 עוגות אינגליש קייק</t>
        </is>
      </c>
      <c r="D13" s="21" t="inlineStr">
        <is>
          <t>ליטר שמן
12 ביצים
3 קילוגרם קמח
3 שקיות אבקת אפייה
2 קילו סוכר
6 כפות קינמון
300 גרם קקאו
תמצית וניל
50 גרם שמרים יבשים</t>
        </is>
      </c>
      <c r="E13" s="21" t="inlineStr">
        <is>
          <t>1. ערבוב השמרים והביצים: בקערה קטנה, מערבבים את השמרים עם הסוכר. מוסיפים את 12 הביצים השלמות ומערבבים היטב.
2. הכנת הבצק: מוסיפים לסירוגין לקערה את הקמח 6 כוסות מים ושמן פנימה. לישים/מערבבים עד לקבלת בצק אחיד (הבצק יצא רך ומעט דביק).
3. התפחה: מכסים את הקערה בניילון/מגבת. להתפחה מהירה בטמפרטורת החדר יש להשהות כ-שעה.
4. עיצוב: מחלקים את הבצק לכדורים שווים. מרדדים אותם הכי דק שאפשר. מורחים מעט שמן ומפזרים מתערובת הסוכר-קקאו-קינמון, מרדדים ומגלגלים לרולדות. מפתלים כל זוג רולדות לצורת בורג ().
5. אפייה: אופים בתנור שחומם מראש לחום בינוני (175°C–180°C) כ-35 דקות, עד להזהבה.
6. זיגוג: בזמן שהעוגות בתנור, מרתיחים בסיר קטן 2 כוס מים, 2 כוס סוכר ו4 שקיות סוכר וניל עד שהסוכר נמס. כשהעוגות יוצאות חמות מהתנור, יוצקים עליהן את הסירופ.</t>
        </is>
      </c>
      <c r="F13" s="21" t="n"/>
    </row>
    <row r="14" ht="120" customHeight="1">
      <c r="A14" s="28" t="n"/>
      <c r="B14" s="19" t="inlineStr">
        <is>
          <t>סלט חצילים</t>
        </is>
      </c>
      <c r="C14" s="28" t="inlineStr">
        <is>
          <t>10 חצילים</t>
        </is>
      </c>
      <c r="D14" s="21" t="inlineStr">
        <is>
          <t>10 חצילים
15 לימונים
שמן זית
ראש שום</t>
        </is>
      </c>
      <c r="E14" s="21" t="inlineStr">
        <is>
          <t>חותכים לקוביות את החצילים, שמים בתנור עם שמן זית ומלח (200 מעלות) עד שזהוב. מוציאים, מוסיפים לימון ושום</t>
        </is>
      </c>
      <c r="F14" s="21" t="n"/>
    </row>
    <row r="15" ht="120" customHeight="1">
      <c r="A15" s="28" t="inlineStr">
        <is>
          <t>ארוחת צהריים שישי</t>
        </is>
      </c>
      <c r="B15" s="19" t="inlineStr">
        <is>
          <t>שקשוקה ולחם</t>
        </is>
      </c>
      <c r="C15" s="28" t="n"/>
      <c r="D15" s="21" t="inlineStr">
        <is>
          <t>ביצים: 70 ביצים
רסק עגבניות: 3 קילו רסק עגבניות מרוכז
מים: 8–9 ליטר מים חמים (לדילול הרסק ובישול הרוטב).
בצל: 18 בצלים בינוניים, קצוצים דק.
שום: 3 ראשי שום
פלפלים אדומים מתוקים (גמבה): 3 קילו (כ-18 פלפלים), חתוכים לקוביות.
שמן: 3–4 כוסות שמן זית או שמן קנולה.
6–7 כפות גדושות פפריקה מתוקה
4 כפות מלח (להוסיף בהדרגה ולטעום).
2 כפות פלפל שחור גרוס.
5–6 כפות סוכר</t>
        </is>
      </c>
      <c r="E15" s="21" t="inlineStr">
        <is>
          <t>1. חממו את השמן בסירים וטגנו את 18 הבצלים הקצוצים במשך כ-8–10 דקות עד להתרככות.
2. הוסיפו את 3 קילו קוביות הפלפלים האדומים והמשיכו לטגן יחד עוד כ-5 דקות.
3. ערבבו פנימה את 3 ראשי השום, 3 קילו רסק העגבניות, הפפריקה, המלח, הפלפל השחור והסוכר, וטגנו הכל יחד במשך 2–3 דקות.
4. יצקו את 8–9 ליטר המים החמים, ערבבו היטב ובשלו על אש קטנה כ-20 דקות עד שהרוטב מסמיך.
5. צרו גומות ברוטב, שברו לתוכן את 70 הביצים במרחקים שווים וכסו את הסירים.
6. בשלו על אש נמוכה במשך 10–15 דקות עד שחלבון הביצה מתייצב, וכבו את האש</t>
        </is>
      </c>
      <c r="F15" s="21" t="n"/>
    </row>
    <row r="16" ht="120" customHeight="1">
      <c r="A16" s="28" t="inlineStr">
        <is>
          <t>בישול</t>
        </is>
      </c>
      <c r="B16" s="19" t="inlineStr">
        <is>
          <t>פסטה ברוטב עגבניות</t>
        </is>
      </c>
      <c r="C16" s="28" t="n"/>
      <c r="D16" s="21" t="inlineStr">
        <is>
          <t>לפסטה
7 ק"ג פסטה יבשה
כ־7–10 כפות מלח למי הבישול
לרוטב העגבניות
3 ק"ג רסק עגבניות
8-10 בצל
3 ראשי שום קלוף
3 כפות מלח
2 כפות פלפל שחור
5–7 כפות פפריקה מתוקה
3–5 כפות סוכר, לפי החמיצות של העגבניות</t>
        </is>
      </c>
      <c r="E16" s="21" t="inlineStr">
        <is>
          <t>לפסטה:
מרתיחים מים לפסטה ומוסיפים לה מלח
ברגע שהמים רותחים מוסיפים את הפסטה ומורידים את המכסה
נותנים לפסטה להתבשל עד שהיא מוכנה
מסננים את הפסטה.
לרוטב:
חותכים בצל ושום.
מטגנים על מחבת גדולה את הבצל והשום בקצת שמן
מוסיפים את הרסק עגבניות עם מים עד למרקם מתאים
מוסיפים תבלינים לפי הטעם</t>
        </is>
      </c>
      <c r="F16" s="21" t="n"/>
    </row>
    <row r="17">
      <c r="A17" s="28" t="n"/>
      <c r="B17" s="19" t="n"/>
      <c r="C17" s="28" t="n"/>
      <c r="D17" s="21" t="n"/>
      <c r="E17" s="21" t="n"/>
      <c r="F17" s="21" t="n"/>
    </row>
    <row r="18">
      <c r="A18" s="28" t="n"/>
      <c r="B18" s="19" t="n"/>
      <c r="C18" s="28" t="n"/>
      <c r="D18" s="21" t="n"/>
      <c r="E18" s="21" t="n"/>
      <c r="F18" s="21" t="n"/>
    </row>
    <row r="19">
      <c r="A19" s="28" t="n"/>
      <c r="B19" s="19" t="n"/>
      <c r="C19" s="28" t="n"/>
      <c r="D19" s="21" t="n"/>
      <c r="E19" s="21" t="n"/>
      <c r="F19" s="21" t="n"/>
    </row>
    <row r="20">
      <c r="A20" s="28" t="n"/>
      <c r="B20" s="19" t="n"/>
      <c r="C20" s="28" t="n"/>
      <c r="D20" s="21" t="n"/>
      <c r="E20" s="21" t="n"/>
      <c r="F20" s="21" t="n"/>
    </row>
    <row r="21">
      <c r="A21" s="28" t="n"/>
      <c r="B21" s="19" t="n"/>
      <c r="C21" s="28" t="n"/>
      <c r="D21" s="21" t="n"/>
      <c r="E21" s="21" t="n"/>
      <c r="F21" s="21" t="n"/>
    </row>
    <row r="22">
      <c r="A22" s="28" t="n"/>
      <c r="B22" s="19" t="n"/>
      <c r="C22" s="28" t="n"/>
      <c r="D22" s="21" t="n"/>
      <c r="E22" s="21" t="n"/>
      <c r="F22" s="21" t="n"/>
    </row>
    <row r="23">
      <c r="A23" s="28" t="n"/>
      <c r="B23" s="19" t="n"/>
      <c r="C23" s="28" t="n"/>
      <c r="D23" s="21" t="n"/>
      <c r="E23" s="21" t="n"/>
      <c r="F23" s="21" t="n"/>
    </row>
    <row r="24">
      <c r="A24" s="28" t="n"/>
      <c r="B24" s="19" t="n"/>
      <c r="C24" s="28" t="n"/>
      <c r="D24" s="21" t="n"/>
      <c r="E24" s="21" t="n"/>
      <c r="F24" s="21" t="n"/>
    </row>
    <row r="25">
      <c r="A25" s="28" t="n"/>
      <c r="B25" s="19" t="n"/>
      <c r="C25" s="28" t="n"/>
      <c r="D25" s="21" t="n"/>
      <c r="E25" s="21" t="n"/>
      <c r="F25" s="21" t="n"/>
    </row>
    <row r="26">
      <c r="A26" s="28" t="n"/>
      <c r="B26" s="19" t="n"/>
      <c r="C26" s="28" t="n"/>
      <c r="D26" s="21" t="n"/>
      <c r="E26" s="21" t="n"/>
      <c r="F26" s="21" t="n"/>
    </row>
    <row r="27">
      <c r="A27" s="28" t="n"/>
      <c r="B27" s="19" t="n"/>
      <c r="C27" s="28" t="n"/>
      <c r="D27" s="21" t="n"/>
      <c r="E27" s="21" t="n"/>
      <c r="F27" s="21" t="n"/>
    </row>
    <row r="28">
      <c r="A28" s="28" t="n"/>
      <c r="B28" s="19" t="n"/>
      <c r="C28" s="28" t="n"/>
      <c r="D28" s="21" t="n"/>
      <c r="E28" s="21" t="n"/>
      <c r="F28" s="21" t="n"/>
    </row>
    <row r="29">
      <c r="A29" s="28" t="n"/>
      <c r="B29" s="19" t="n"/>
      <c r="C29" s="28" t="n"/>
      <c r="D29" s="21" t="n"/>
      <c r="E29" s="21" t="n"/>
      <c r="F29" s="21" t="n"/>
    </row>
    <row r="30">
      <c r="A30" s="28" t="n"/>
      <c r="B30" s="19" t="n"/>
      <c r="C30" s="28" t="n"/>
      <c r="D30" s="21" t="n"/>
      <c r="E30" s="21" t="n"/>
      <c r="F30" s="21" t="n"/>
    </row>
    <row r="31">
      <c r="A31" s="28" t="n"/>
      <c r="B31" s="19" t="n"/>
      <c r="C31" s="28" t="n"/>
      <c r="D31" s="21" t="n"/>
      <c r="E31" s="21" t="n"/>
      <c r="F31" s="21" t="n"/>
    </row>
    <row r="32">
      <c r="A32" s="28" t="n"/>
      <c r="B32" s="19" t="n"/>
      <c r="C32" s="28" t="n"/>
      <c r="D32" s="21" t="n"/>
      <c r="E32" s="21" t="n"/>
      <c r="F32" s="21" t="n"/>
    </row>
    <row r="33">
      <c r="A33" s="28" t="n"/>
      <c r="B33" s="19" t="n"/>
      <c r="C33" s="28" t="n"/>
      <c r="D33" s="21" t="n"/>
      <c r="E33" s="21" t="n"/>
      <c r="F33" s="21" t="n"/>
    </row>
    <row r="34">
      <c r="A34" s="28" t="n"/>
      <c r="B34" s="19" t="n"/>
      <c r="C34" s="28" t="n"/>
      <c r="D34" s="21" t="n"/>
      <c r="E34" s="21" t="n"/>
      <c r="F34" s="21" t="n"/>
    </row>
    <row r="35">
      <c r="A35" s="28" t="n"/>
      <c r="B35" s="19" t="n"/>
      <c r="C35" s="28" t="n"/>
      <c r="D35" s="21" t="n"/>
      <c r="E35" s="21" t="n"/>
      <c r="F35" s="21" t="n"/>
    </row>
    <row r="36">
      <c r="A36" s="28" t="n"/>
      <c r="B36" s="19" t="n"/>
      <c r="C36" s="28" t="n"/>
      <c r="D36" s="21" t="n"/>
      <c r="E36" s="21" t="n"/>
      <c r="F36" s="21" t="n"/>
    </row>
    <row r="37">
      <c r="A37" s="28" t="n"/>
      <c r="B37" s="19" t="n"/>
      <c r="C37" s="28" t="n"/>
      <c r="D37" s="21" t="n"/>
      <c r="E37" s="21" t="n"/>
      <c r="F37" s="21" t="n"/>
    </row>
    <row r="38">
      <c r="A38" s="28" t="n"/>
      <c r="B38" s="19" t="n"/>
      <c r="C38" s="28" t="n"/>
      <c r="D38" s="21" t="n"/>
      <c r="E38" s="21" t="n"/>
      <c r="F38" s="21" t="n"/>
    </row>
    <row r="39">
      <c r="A39" s="28" t="n"/>
      <c r="B39" s="19" t="n"/>
      <c r="C39" s="28" t="n"/>
      <c r="D39" s="21" t="n"/>
      <c r="E39" s="21" t="n"/>
      <c r="F39" s="21" t="n"/>
    </row>
    <row r="40">
      <c r="A40" s="28" t="n"/>
      <c r="B40" s="19" t="n"/>
      <c r="C40" s="28" t="n"/>
      <c r="D40" s="21" t="n"/>
      <c r="E40" s="21" t="n"/>
      <c r="F40" s="21" t="n"/>
    </row>
    <row r="41">
      <c r="A41" s="28" t="n"/>
      <c r="B41" s="19" t="n"/>
      <c r="C41" s="28" t="n"/>
      <c r="D41" s="21" t="n"/>
      <c r="E41" s="21" t="n"/>
      <c r="F41" s="21" t="n"/>
    </row>
    <row r="42">
      <c r="A42" s="28" t="n"/>
      <c r="B42" s="19" t="n"/>
      <c r="C42" s="28" t="n"/>
      <c r="D42" s="21" t="n"/>
      <c r="E42" s="21" t="n"/>
      <c r="F42" s="21" t="n"/>
    </row>
    <row r="43">
      <c r="A43" s="28" t="n"/>
      <c r="B43" s="19" t="n"/>
      <c r="C43" s="28" t="n"/>
      <c r="D43" s="21" t="n"/>
      <c r="E43" s="21" t="n"/>
      <c r="F43" s="21" t="n"/>
    </row>
    <row r="44">
      <c r="A44" s="28" t="n"/>
      <c r="B44" s="19" t="n"/>
      <c r="C44" s="28" t="n"/>
      <c r="D44" s="21" t="n"/>
      <c r="E44" s="21" t="n"/>
      <c r="F44" s="21" t="n"/>
    </row>
    <row r="45">
      <c r="A45" s="28" t="n"/>
      <c r="B45" s="19" t="n"/>
      <c r="C45" s="28" t="n"/>
      <c r="D45" s="21" t="n"/>
      <c r="E45" s="21" t="n"/>
      <c r="F45" s="21" t="n"/>
    </row>
    <row r="46">
      <c r="A46" s="28" t="n"/>
      <c r="B46" s="19" t="n"/>
      <c r="C46" s="28" t="n"/>
      <c r="D46" s="21" t="n"/>
      <c r="E46" s="21" t="n"/>
      <c r="F46" s="21" t="n"/>
    </row>
    <row r="47">
      <c r="A47" s="28" t="n"/>
      <c r="B47" s="19" t="n"/>
      <c r="C47" s="28" t="n"/>
      <c r="D47" s="21" t="n"/>
      <c r="E47" s="21" t="n"/>
      <c r="F47" s="21" t="n"/>
    </row>
    <row r="48">
      <c r="A48" s="28" t="n"/>
      <c r="B48" s="19" t="n"/>
      <c r="C48" s="28" t="n"/>
      <c r="D48" s="21" t="n"/>
      <c r="E48" s="21" t="n"/>
      <c r="F48" s="21" t="n"/>
    </row>
    <row r="49">
      <c r="A49" s="28" t="n"/>
      <c r="B49" s="19" t="n"/>
      <c r="C49" s="28" t="n"/>
      <c r="D49" s="21" t="n"/>
      <c r="E49" s="21" t="n"/>
      <c r="F49" s="21" t="n"/>
    </row>
    <row r="50">
      <c r="A50" s="28" t="n"/>
      <c r="B50" s="19" t="n"/>
      <c r="C50" s="28" t="n"/>
      <c r="D50" s="21" t="n"/>
      <c r="E50" s="21" t="n"/>
      <c r="F50" s="21" t="n"/>
    </row>
    <row r="51">
      <c r="A51" s="28" t="n"/>
      <c r="B51" s="19" t="n"/>
      <c r="C51" s="28" t="n"/>
      <c r="D51" s="21" t="n"/>
      <c r="E51" s="21" t="n"/>
      <c r="F51" s="21" t="n"/>
    </row>
    <row r="52">
      <c r="A52" s="28" t="n"/>
      <c r="B52" s="19" t="n"/>
      <c r="C52" s="28" t="n"/>
      <c r="D52" s="21" t="n"/>
      <c r="E52" s="21" t="n"/>
      <c r="F52" s="21" t="n"/>
    </row>
    <row r="53">
      <c r="A53" s="28" t="n"/>
      <c r="B53" s="19" t="n"/>
      <c r="C53" s="28" t="n"/>
      <c r="D53" s="21" t="n"/>
      <c r="E53" s="21" t="n"/>
      <c r="F53" s="21" t="n"/>
    </row>
    <row r="54">
      <c r="A54" s="28" t="n"/>
      <c r="B54" s="19" t="n"/>
      <c r="C54" s="28" t="n"/>
      <c r="D54" s="21" t="n"/>
      <c r="E54" s="21" t="n"/>
      <c r="F54" s="21" t="n"/>
    </row>
    <row r="55">
      <c r="A55" s="28" t="n"/>
      <c r="B55" s="19" t="n"/>
      <c r="C55" s="28" t="n"/>
      <c r="D55" s="21" t="n"/>
      <c r="E55" s="21" t="n"/>
      <c r="F55" s="21" t="n"/>
    </row>
    <row r="56">
      <c r="A56" s="28" t="n"/>
      <c r="B56" s="19" t="n"/>
      <c r="C56" s="28" t="n"/>
      <c r="D56" s="21" t="n"/>
      <c r="E56" s="21" t="n"/>
      <c r="F56" s="21" t="n"/>
    </row>
    <row r="57">
      <c r="A57" s="28" t="n"/>
      <c r="B57" s="19" t="n"/>
      <c r="C57" s="28" t="n"/>
      <c r="D57" s="21" t="n"/>
      <c r="E57" s="21" t="n"/>
      <c r="F57" s="21" t="n"/>
    </row>
    <row r="58">
      <c r="A58" s="28" t="n"/>
      <c r="B58" s="19" t="n"/>
      <c r="C58" s="28" t="n"/>
      <c r="D58" s="21" t="n"/>
      <c r="E58" s="21" t="n"/>
      <c r="F58" s="21" t="n"/>
    </row>
    <row r="59">
      <c r="A59" s="28" t="n"/>
      <c r="B59" s="19" t="n"/>
      <c r="C59" s="28" t="n"/>
      <c r="D59" s="21" t="n"/>
      <c r="E59" s="21" t="n"/>
      <c r="F59" s="21" t="n"/>
    </row>
    <row r="60">
      <c r="A60" s="28" t="n"/>
      <c r="B60" s="19" t="n"/>
      <c r="C60" s="28" t="n"/>
      <c r="D60" s="21" t="n"/>
      <c r="E60" s="21" t="n"/>
      <c r="F60" s="21" t="n"/>
    </row>
    <row r="61">
      <c r="A61" s="28" t="n"/>
      <c r="B61" s="19" t="n"/>
      <c r="C61" s="28" t="n"/>
      <c r="D61" s="21" t="n"/>
      <c r="E61" s="21" t="n"/>
      <c r="F61" s="21" t="n"/>
    </row>
    <row r="62">
      <c r="A62" s="28" t="n"/>
      <c r="B62" s="19" t="n"/>
      <c r="C62" s="28" t="n"/>
      <c r="D62" s="21" t="n"/>
      <c r="E62" s="21" t="n"/>
      <c r="F62" s="21" t="n"/>
    </row>
    <row r="63">
      <c r="A63" s="28" t="n"/>
      <c r="B63" s="19" t="n"/>
      <c r="C63" s="28" t="n"/>
      <c r="D63" s="21" t="n"/>
      <c r="E63" s="21" t="n"/>
      <c r="F63" s="21" t="n"/>
    </row>
    <row r="64">
      <c r="A64" s="28" t="n"/>
      <c r="B64" s="19" t="n"/>
      <c r="C64" s="28" t="n"/>
      <c r="D64" s="21" t="n"/>
      <c r="E64" s="21" t="n"/>
      <c r="F64" s="21" t="n"/>
    </row>
    <row r="65">
      <c r="A65" s="28" t="n"/>
      <c r="B65" s="19" t="n"/>
      <c r="C65" s="28" t="n"/>
      <c r="D65" s="21" t="n"/>
      <c r="E65" s="21" t="n"/>
      <c r="F65" s="21" t="n"/>
    </row>
    <row r="66">
      <c r="A66" s="28" t="n"/>
      <c r="B66" s="19" t="n"/>
      <c r="C66" s="28" t="n"/>
      <c r="D66" s="21" t="n"/>
      <c r="E66" s="21" t="n"/>
      <c r="F66" s="21" t="n"/>
    </row>
    <row r="67">
      <c r="A67" s="28" t="n"/>
      <c r="B67" s="19" t="n"/>
      <c r="C67" s="28" t="n"/>
      <c r="D67" s="21" t="n"/>
      <c r="E67" s="21" t="n"/>
      <c r="F67" s="21" t="n"/>
    </row>
    <row r="68">
      <c r="A68" s="28" t="n"/>
      <c r="B68" s="19" t="n"/>
      <c r="C68" s="28" t="n"/>
      <c r="D68" s="21" t="n"/>
      <c r="E68" s="21" t="n"/>
      <c r="F68" s="21" t="n"/>
    </row>
    <row r="69">
      <c r="A69" s="28" t="n"/>
      <c r="B69" s="19" t="n"/>
      <c r="C69" s="28" t="n"/>
      <c r="D69" s="21" t="n"/>
      <c r="E69" s="21" t="n"/>
      <c r="F69" s="21" t="n"/>
    </row>
    <row r="70">
      <c r="A70" s="28" t="n"/>
      <c r="B70" s="19" t="n"/>
      <c r="C70" s="28" t="n"/>
      <c r="D70" s="21" t="n"/>
      <c r="E70" s="21" t="n"/>
      <c r="F70" s="21" t="n"/>
    </row>
    <row r="71">
      <c r="A71" s="28" t="n"/>
      <c r="B71" s="19" t="n"/>
      <c r="C71" s="28" t="n"/>
      <c r="D71" s="21" t="n"/>
      <c r="E71" s="21" t="n"/>
      <c r="F71" s="21" t="n"/>
    </row>
    <row r="72">
      <c r="A72" s="28" t="n"/>
      <c r="B72" s="19" t="n"/>
      <c r="C72" s="28" t="n"/>
      <c r="D72" s="21" t="n"/>
      <c r="E72" s="21" t="n"/>
      <c r="F72" s="21" t="n"/>
    </row>
    <row r="73">
      <c r="A73" s="28" t="n"/>
      <c r="B73" s="19" t="n"/>
      <c r="C73" s="28" t="n"/>
      <c r="D73" s="21" t="n"/>
      <c r="E73" s="21" t="n"/>
      <c r="F73" s="21" t="n"/>
    </row>
    <row r="74">
      <c r="A74" s="28" t="n"/>
      <c r="B74" s="19" t="n"/>
      <c r="C74" s="28" t="n"/>
      <c r="D74" s="21" t="n"/>
      <c r="E74" s="21" t="n"/>
      <c r="F74" s="21" t="n"/>
    </row>
    <row r="75">
      <c r="A75" s="28" t="n"/>
      <c r="B75" s="19" t="n"/>
      <c r="C75" s="28" t="n"/>
      <c r="D75" s="21" t="n"/>
      <c r="E75" s="21" t="n"/>
      <c r="F75" s="21" t="n"/>
    </row>
    <row r="76">
      <c r="A76" s="28" t="n"/>
      <c r="B76" s="19" t="n"/>
      <c r="C76" s="28" t="n"/>
      <c r="D76" s="21" t="n"/>
      <c r="E76" s="21" t="n"/>
      <c r="F76" s="21" t="n"/>
    </row>
    <row r="77">
      <c r="A77" s="28" t="n"/>
      <c r="B77" s="19" t="n"/>
      <c r="C77" s="28" t="n"/>
      <c r="D77" s="21" t="n"/>
      <c r="E77" s="21" t="n"/>
      <c r="F77" s="21" t="n"/>
    </row>
    <row r="78">
      <c r="A78" s="28" t="n"/>
      <c r="B78" s="19" t="n"/>
      <c r="C78" s="28" t="n"/>
      <c r="D78" s="21" t="n"/>
      <c r="E78" s="21" t="n"/>
      <c r="F78" s="21" t="n"/>
    </row>
    <row r="79">
      <c r="A79" s="28" t="n"/>
      <c r="B79" s="19" t="n"/>
      <c r="C79" s="28" t="n"/>
      <c r="D79" s="21" t="n"/>
      <c r="E79" s="21" t="n"/>
      <c r="F79" s="21" t="n"/>
    </row>
    <row r="80">
      <c r="A80" s="28" t="n"/>
      <c r="B80" s="19" t="n"/>
      <c r="C80" s="28" t="n"/>
      <c r="D80" s="21" t="n"/>
      <c r="E80" s="21" t="n"/>
      <c r="F80" s="21" t="n"/>
    </row>
    <row r="81">
      <c r="A81" s="28" t="n"/>
      <c r="B81" s="19" t="n"/>
      <c r="C81" s="28" t="n"/>
      <c r="D81" s="21" t="n"/>
      <c r="E81" s="21" t="n"/>
      <c r="F81" s="21" t="n"/>
    </row>
    <row r="82">
      <c r="A82" s="28" t="n"/>
      <c r="B82" s="19" t="n"/>
      <c r="C82" s="28" t="n"/>
      <c r="D82" s="21" t="n"/>
      <c r="E82" s="21" t="n"/>
      <c r="F82" s="21" t="n"/>
    </row>
    <row r="84" ht="28" customHeight="1">
      <c r="A84" s="26" t="inlineStr">
        <is>
          <t>שם המנה (עמודה B) הוא מה שבוחרים בעמודת «מתכון» ב«משימות» — והמצרכים מודפסים על הפלייר של הקבוצה (גם המצרכים וגם אופן ההכנה, בדף של התורנות). מרכיבים והוראות: שורה לכל פריט (Alt+Enter לשורה חדשה בתא).</t>
        </is>
      </c>
    </row>
  </sheetData>
  <mergeCells count="2">
    <mergeCell ref="A1:F1"/>
    <mergeCell ref="A84:F84"/>
  </mergeCells>
  <dataValidations count="1">
    <dataValidation sqref="A3:A82" showDropDown="0" showInputMessage="0" showErrorMessage="0" allowBlank="1" type="list">
      <formula1>"מאפים,עוגות,סלטים,בישול,ארוחת צהריים שישי"</formula1>
    </dataValidation>
  </dataValidations>
  <pageMargins left="0.75" right="0.75" top="1" bottom="1" header="0.5" footer="0.5"/>
  <pageSetup paperSize="9" fitToHeight="0" fitToWidth="1"/>
</worksheet>
</file>

<file path=xl/worksheets/sheet8.xml><?xml version="1.0" encoding="utf-8"?>
<worksheet xmlns="http://schemas.openxmlformats.org/spreadsheetml/2006/main">
  <sheetPr>
    <tabColor rgb="00E8A33D"/>
    <outlinePr summaryBelow="1" summaryRight="1"/>
    <pageSetUpPr fitToPage="1"/>
  </sheetPr>
  <dimension ref="A1:D5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34" customWidth="1" min="2" max="2"/>
    <col width="12" customWidth="1" min="3" max="3"/>
    <col width="44" customWidth="1" min="4" max="4"/>
  </cols>
  <sheetData>
    <row r="1" ht="36" customHeight="1">
      <c r="A1" s="27" t="inlineStr">
        <is>
          <t>קייטרינג — מה מגיע לכל ארוחה</t>
        </is>
      </c>
    </row>
    <row r="2" ht="24" customHeight="1">
      <c r="A2" s="9" t="inlineStr">
        <is>
          <t>ארוחה</t>
        </is>
      </c>
      <c r="B2" s="9" t="inlineStr">
        <is>
          <t>מנה</t>
        </is>
      </c>
      <c r="C2" s="9" t="inlineStr">
        <is>
          <t>כמות</t>
        </is>
      </c>
      <c r="D2" s="9" t="inlineStr">
        <is>
          <t>הערה</t>
        </is>
      </c>
    </row>
    <row r="3">
      <c r="A3" s="28" t="n"/>
      <c r="B3" s="20" t="n"/>
      <c r="C3" s="28" t="n"/>
      <c r="D3" s="21" t="n"/>
    </row>
    <row r="4">
      <c r="A4" s="28" t="n"/>
      <c r="B4" s="20" t="n"/>
      <c r="C4" s="28" t="n"/>
      <c r="D4" s="21" t="n"/>
    </row>
    <row r="5">
      <c r="A5" s="28" t="n"/>
      <c r="B5" s="20" t="n"/>
      <c r="C5" s="28" t="n"/>
      <c r="D5" s="21" t="n"/>
    </row>
    <row r="6">
      <c r="A6" s="28" t="n"/>
      <c r="B6" s="20" t="n"/>
      <c r="C6" s="28" t="n"/>
      <c r="D6" s="21" t="n"/>
    </row>
    <row r="7">
      <c r="A7" s="28" t="n"/>
      <c r="B7" s="20" t="n"/>
      <c r="C7" s="28" t="n"/>
      <c r="D7" s="21" t="n"/>
    </row>
    <row r="8">
      <c r="A8" s="28" t="n"/>
      <c r="B8" s="20" t="n"/>
      <c r="C8" s="28" t="n"/>
      <c r="D8" s="21" t="n"/>
    </row>
    <row r="9">
      <c r="A9" s="28" t="n"/>
      <c r="B9" s="20" t="n"/>
      <c r="C9" s="28" t="n"/>
      <c r="D9" s="21" t="n"/>
    </row>
    <row r="10">
      <c r="A10" s="28" t="n"/>
      <c r="B10" s="20" t="n"/>
      <c r="C10" s="28" t="n"/>
      <c r="D10" s="21" t="n"/>
    </row>
    <row r="11">
      <c r="A11" s="28" t="n"/>
      <c r="B11" s="20" t="n"/>
      <c r="C11" s="28" t="n"/>
      <c r="D11" s="21" t="n"/>
    </row>
    <row r="12">
      <c r="A12" s="28" t="n"/>
      <c r="B12" s="20" t="n"/>
      <c r="C12" s="28" t="n"/>
      <c r="D12" s="21" t="n"/>
    </row>
    <row r="13">
      <c r="A13" s="28" t="n"/>
      <c r="B13" s="20" t="n"/>
      <c r="C13" s="28" t="n"/>
      <c r="D13" s="21" t="n"/>
    </row>
    <row r="14">
      <c r="A14" s="28" t="n"/>
      <c r="B14" s="20" t="n"/>
      <c r="C14" s="28" t="n"/>
      <c r="D14" s="21" t="n"/>
    </row>
    <row r="15">
      <c r="A15" s="28" t="n"/>
      <c r="B15" s="20" t="n"/>
      <c r="C15" s="28" t="n"/>
      <c r="D15" s="21" t="n"/>
    </row>
    <row r="16">
      <c r="A16" s="28" t="n"/>
      <c r="B16" s="20" t="n"/>
      <c r="C16" s="28" t="n"/>
      <c r="D16" s="21" t="n"/>
    </row>
    <row r="17">
      <c r="A17" s="28" t="n"/>
      <c r="B17" s="20" t="n"/>
      <c r="C17" s="28" t="n"/>
      <c r="D17" s="21" t="n"/>
    </row>
    <row r="18">
      <c r="A18" s="28" t="n"/>
      <c r="B18" s="20" t="n"/>
      <c r="C18" s="28" t="n"/>
      <c r="D18" s="21" t="n"/>
    </row>
    <row r="19">
      <c r="A19" s="28" t="n"/>
      <c r="B19" s="20" t="n"/>
      <c r="C19" s="28" t="n"/>
      <c r="D19" s="21" t="n"/>
    </row>
    <row r="20">
      <c r="A20" s="28" t="n"/>
      <c r="B20" s="20" t="n"/>
      <c r="C20" s="28" t="n"/>
      <c r="D20" s="21" t="n"/>
    </row>
    <row r="21">
      <c r="A21" s="28" t="n"/>
      <c r="B21" s="20" t="n"/>
      <c r="C21" s="28" t="n"/>
      <c r="D21" s="21" t="n"/>
    </row>
    <row r="22">
      <c r="A22" s="28" t="n"/>
      <c r="B22" s="20" t="n"/>
      <c r="C22" s="28" t="n"/>
      <c r="D22" s="21" t="n"/>
    </row>
    <row r="23">
      <c r="A23" s="28" t="n"/>
      <c r="B23" s="20" t="n"/>
      <c r="C23" s="28" t="n"/>
      <c r="D23" s="21" t="n"/>
    </row>
    <row r="24">
      <c r="A24" s="28" t="n"/>
      <c r="B24" s="20" t="n"/>
      <c r="C24" s="28" t="n"/>
      <c r="D24" s="21" t="n"/>
    </row>
    <row r="25">
      <c r="A25" s="28" t="n"/>
      <c r="B25" s="20" t="n"/>
      <c r="C25" s="28" t="n"/>
      <c r="D25" s="21" t="n"/>
    </row>
    <row r="26">
      <c r="A26" s="28" t="n"/>
      <c r="B26" s="20" t="n"/>
      <c r="C26" s="28" t="n"/>
      <c r="D26" s="21" t="n"/>
    </row>
    <row r="27">
      <c r="A27" s="28" t="n"/>
      <c r="B27" s="20" t="n"/>
      <c r="C27" s="28" t="n"/>
      <c r="D27" s="21" t="n"/>
    </row>
    <row r="28">
      <c r="A28" s="28" t="n"/>
      <c r="B28" s="20" t="n"/>
      <c r="C28" s="28" t="n"/>
      <c r="D28" s="21" t="n"/>
    </row>
    <row r="29">
      <c r="A29" s="28" t="n"/>
      <c r="B29" s="20" t="n"/>
      <c r="C29" s="28" t="n"/>
      <c r="D29" s="21" t="n"/>
    </row>
    <row r="30">
      <c r="A30" s="28" t="n"/>
      <c r="B30" s="20" t="n"/>
      <c r="C30" s="28" t="n"/>
      <c r="D30" s="21" t="n"/>
    </row>
    <row r="31">
      <c r="A31" s="28" t="n"/>
      <c r="B31" s="20" t="n"/>
      <c r="C31" s="28" t="n"/>
      <c r="D31" s="21" t="n"/>
    </row>
    <row r="32">
      <c r="A32" s="28" t="n"/>
      <c r="B32" s="20" t="n"/>
      <c r="C32" s="28" t="n"/>
      <c r="D32" s="21" t="n"/>
    </row>
    <row r="33">
      <c r="A33" s="28" t="n"/>
      <c r="B33" s="20" t="n"/>
      <c r="C33" s="28" t="n"/>
      <c r="D33" s="21" t="n"/>
    </row>
    <row r="34">
      <c r="A34" s="28" t="n"/>
      <c r="B34" s="20" t="n"/>
      <c r="C34" s="28" t="n"/>
      <c r="D34" s="21" t="n"/>
    </row>
    <row r="35">
      <c r="A35" s="28" t="n"/>
      <c r="B35" s="20" t="n"/>
      <c r="C35" s="28" t="n"/>
      <c r="D35" s="21" t="n"/>
    </row>
    <row r="36">
      <c r="A36" s="28" t="n"/>
      <c r="B36" s="20" t="n"/>
      <c r="C36" s="28" t="n"/>
      <c r="D36" s="21" t="n"/>
    </row>
    <row r="37">
      <c r="A37" s="28" t="n"/>
      <c r="B37" s="20" t="n"/>
      <c r="C37" s="28" t="n"/>
      <c r="D37" s="21" t="n"/>
    </row>
    <row r="38">
      <c r="A38" s="28" t="n"/>
      <c r="B38" s="20" t="n"/>
      <c r="C38" s="28" t="n"/>
      <c r="D38" s="21" t="n"/>
    </row>
    <row r="39">
      <c r="A39" s="28" t="n"/>
      <c r="B39" s="20" t="n"/>
      <c r="C39" s="28" t="n"/>
      <c r="D39" s="21" t="n"/>
    </row>
    <row r="40">
      <c r="A40" s="28" t="n"/>
      <c r="B40" s="20" t="n"/>
      <c r="C40" s="28" t="n"/>
      <c r="D40" s="21" t="n"/>
    </row>
    <row r="41">
      <c r="A41" s="28" t="n"/>
      <c r="B41" s="20" t="n"/>
      <c r="C41" s="28" t="n"/>
      <c r="D41" s="21" t="n"/>
    </row>
    <row r="42">
      <c r="A42" s="28" t="n"/>
      <c r="B42" s="20" t="n"/>
      <c r="C42" s="28" t="n"/>
      <c r="D42" s="21" t="n"/>
    </row>
    <row r="43">
      <c r="A43" s="28" t="n"/>
      <c r="B43" s="20" t="n"/>
      <c r="C43" s="28" t="n"/>
      <c r="D43" s="21" t="n"/>
    </row>
    <row r="44">
      <c r="A44" s="28" t="n"/>
      <c r="B44" s="20" t="n"/>
      <c r="C44" s="28" t="n"/>
      <c r="D44" s="21" t="n"/>
    </row>
    <row r="45">
      <c r="A45" s="28" t="n"/>
      <c r="B45" s="20" t="n"/>
      <c r="C45" s="28" t="n"/>
      <c r="D45" s="21" t="n"/>
    </row>
    <row r="46">
      <c r="A46" s="28" t="n"/>
      <c r="B46" s="20" t="n"/>
      <c r="C46" s="28" t="n"/>
      <c r="D46" s="21" t="n"/>
    </row>
    <row r="47">
      <c r="A47" s="28" t="n"/>
      <c r="B47" s="20" t="n"/>
      <c r="C47" s="28" t="n"/>
      <c r="D47" s="21" t="n"/>
    </row>
    <row r="48">
      <c r="A48" s="28" t="n"/>
      <c r="B48" s="20" t="n"/>
      <c r="C48" s="28" t="n"/>
      <c r="D48" s="21" t="n"/>
    </row>
    <row r="49">
      <c r="A49" s="28" t="n"/>
      <c r="B49" s="20" t="n"/>
      <c r="C49" s="28" t="n"/>
      <c r="D49" s="21" t="n"/>
    </row>
    <row r="50">
      <c r="A50" s="28" t="n"/>
      <c r="B50" s="20" t="n"/>
      <c r="C50" s="28" t="n"/>
      <c r="D50" s="21" t="n"/>
    </row>
    <row r="51">
      <c r="A51" s="28" t="n"/>
      <c r="B51" s="20" t="n"/>
      <c r="C51" s="28" t="n"/>
      <c r="D51" s="21" t="n"/>
    </row>
    <row r="52">
      <c r="A52" s="28" t="n"/>
      <c r="B52" s="20" t="n"/>
      <c r="C52" s="28" t="n"/>
      <c r="D52" s="21" t="n"/>
    </row>
    <row r="54" ht="28" customHeight="1">
      <c r="A54" s="26" t="inlineStr">
        <is>
          <t>המקור הוא data/menu/&lt;תאריך&gt;.csv. משימה שכתוב בה {ארוחת ערב}, {סלטים}, {טיש|העוגות} וכו' מקבלת את מה שמוגש באותה ארוחה — כך התפריט וחלוקת העוגות מתעדכנים בכל המשימות בבת אחת.</t>
        </is>
      </c>
    </row>
  </sheetData>
  <mergeCells count="2">
    <mergeCell ref="A1:D1"/>
    <mergeCell ref="A54:D54"/>
  </mergeCells>
  <dataValidations count="1">
    <dataValidation sqref="A3:A52" showDropDown="0" showInputMessage="0" showErrorMessage="0" allowBlank="1" type="list">
      <formula1>"ארוחת ערב,ארוחת צהריים,סלטים,קידוש,סעודה שלישית"</formula1>
    </dataValidation>
  </dataValidations>
  <pageMargins left="0.75" right="0.75" top="1" bottom="1" header="0.5" footer="0.5"/>
  <pageSetup paperSize="9" fitToHeight="0" fitToWidth="1"/>
</worksheet>
</file>

<file path=xl/worksheets/sheet9.xml><?xml version="1.0" encoding="utf-8"?>
<worksheet xmlns="http://schemas.openxmlformats.org/spreadsheetml/2006/main">
  <sheetPr>
    <tabColor rgb="009AA5B1"/>
    <outlinePr summaryBelow="1" summaryRight="1"/>
    <pageSetUpPr fitToPage="1"/>
  </sheetPr>
  <dimension ref="A1:F54"/>
  <sheetViews>
    <sheetView showGridLines="0" rightToLeft="1" workbookViewId="0">
      <pane ySplit="2" topLeftCell="A3" activePane="bottomLeft" state="frozen"/>
      <selection pane="bottomLeft" activeCell="A1" sqref="A1"/>
    </sheetView>
  </sheetViews>
  <sheetFormatPr baseColWidth="8" defaultRowHeight="15"/>
  <cols>
    <col width="16" customWidth="1" min="1" max="1"/>
    <col width="26" customWidth="1" min="2" max="2"/>
    <col width="14" customWidth="1" min="3" max="3"/>
    <col width="14" customWidth="1" min="4" max="4"/>
    <col width="24" customWidth="1" min="5" max="5"/>
    <col width="46" customWidth="1" min="6" max="6"/>
  </cols>
  <sheetData>
    <row r="1" ht="32" customHeight="1">
      <c r="A1" s="39" t="inlineStr">
        <is>
          <t>לוח שבתות — כניסה וצאה</t>
        </is>
      </c>
    </row>
    <row r="2" ht="24" customHeight="1">
      <c r="A2" s="9" t="inlineStr">
        <is>
          <t>תאריך</t>
        </is>
      </c>
      <c r="B2" s="9" t="inlineStr">
        <is>
          <t>פרשה</t>
        </is>
      </c>
      <c r="C2" s="9" t="inlineStr">
        <is>
          <t>כניסת שבת</t>
        </is>
      </c>
      <c r="D2" s="9" t="inlineStr">
        <is>
          <t>צאת שבת</t>
        </is>
      </c>
      <c r="E2" s="9" t="inlineStr">
        <is>
          <t>מקור</t>
        </is>
      </c>
      <c r="F2" s="9" t="inlineStr">
        <is>
          <t>ניתן לעריכה</t>
        </is>
      </c>
    </row>
    <row r="3">
      <c r="A3" s="40" t="n">
        <v>46269</v>
      </c>
      <c r="B3" s="41" t="inlineStr">
        <is>
          <t>נצבים, וילך</t>
        </is>
      </c>
      <c r="C3" s="42" t="n">
        <v>0.7638888888888888</v>
      </c>
      <c r="D3" s="42" t="n">
        <v>0.81875</v>
      </c>
      <c r="E3" s="43" t="inlineStr">
        <is>
          <t>חישוב (ירושלים)</t>
        </is>
      </c>
      <c r="F3" s="44" t="inlineStr">
        <is>
          <t>בשבתות שלנו (data/shabbatot.csv) — הזמנים מאתר ישיבה לכפר אדומים. בשאר — חישוב לירושלים (כניסה 40 דק' לפני השקיעה, צאה 40 דק' אחריה). new_shabbat כותב מחדש את שורת השבת שלו.</t>
        </is>
      </c>
    </row>
    <row r="4">
      <c r="A4" s="40" t="n">
        <v>46276</v>
      </c>
      <c r="B4" s="41" t="inlineStr">
        <is>
          <t>ראש השנה</t>
        </is>
      </c>
      <c r="C4" s="42" t="n">
        <v>0.7576388888888889</v>
      </c>
      <c r="D4" s="42" t="n">
        <v>0.8125</v>
      </c>
      <c r="E4" s="43" t="inlineStr">
        <is>
          <t>חישוב (ירושלים)</t>
        </is>
      </c>
    </row>
    <row r="5">
      <c r="A5" s="40" t="n">
        <v>46283</v>
      </c>
      <c r="B5" s="41" t="inlineStr">
        <is>
          <t>האזינו</t>
        </is>
      </c>
      <c r="C5" s="42" t="n">
        <v>0.7513888888888889</v>
      </c>
      <c r="D5" s="42" t="n">
        <v>0.8055555555555556</v>
      </c>
      <c r="E5" s="43" t="inlineStr">
        <is>
          <t>חישוב (ירושלים)</t>
        </is>
      </c>
    </row>
    <row r="6">
      <c r="A6" s="40" t="n">
        <v>46290</v>
      </c>
      <c r="B6" s="41" t="inlineStr">
        <is>
          <t>סוכות</t>
        </is>
      </c>
      <c r="C6" s="42" t="n">
        <v>0.7451388888888889</v>
      </c>
      <c r="D6" s="42" t="n">
        <v>0.7993055555555556</v>
      </c>
      <c r="E6" s="43" t="inlineStr">
        <is>
          <t>חישוב (ירושלים)</t>
        </is>
      </c>
    </row>
    <row r="7">
      <c r="A7" s="40" t="n">
        <v>46297</v>
      </c>
      <c r="B7" s="41" t="inlineStr">
        <is>
          <t>שמיני עצרת</t>
        </is>
      </c>
      <c r="C7" s="42" t="n">
        <v>0.7388888888888889</v>
      </c>
      <c r="D7" s="42" t="n">
        <v>0.7930555555555555</v>
      </c>
      <c r="E7" s="43" t="inlineStr">
        <is>
          <t>חישוב (ירושלים)</t>
        </is>
      </c>
    </row>
    <row r="8">
      <c r="A8" s="40" t="n">
        <v>46304</v>
      </c>
      <c r="B8" s="41" t="inlineStr">
        <is>
          <t>בראשית</t>
        </is>
      </c>
      <c r="C8" s="42" t="n">
        <v>0.7326388888888888</v>
      </c>
      <c r="D8" s="42" t="n">
        <v>0.7875</v>
      </c>
      <c r="E8" s="43" t="inlineStr">
        <is>
          <t>חישוב (ירושלים)</t>
        </is>
      </c>
    </row>
    <row r="9">
      <c r="A9" s="40" t="n">
        <v>46311</v>
      </c>
      <c r="B9" s="41" t="inlineStr">
        <is>
          <t>נח</t>
        </is>
      </c>
      <c r="C9" s="42" t="n">
        <v>0.7347222222222223</v>
      </c>
      <c r="D9" s="42" t="n">
        <v>0.7784722222222222</v>
      </c>
      <c r="E9" s="43" t="inlineStr">
        <is>
          <t>אתר ישיבה (כפר אדומים)</t>
        </is>
      </c>
    </row>
    <row r="10">
      <c r="A10" s="40" t="n">
        <v>46318</v>
      </c>
      <c r="B10" s="41" t="inlineStr">
        <is>
          <t>לך לך</t>
        </is>
      </c>
      <c r="C10" s="42" t="n">
        <v>0.7215277777777778</v>
      </c>
      <c r="D10" s="42" t="n">
        <v>0.7763888888888889</v>
      </c>
      <c r="E10" s="43" t="inlineStr">
        <is>
          <t>חישוב (ירושלים)</t>
        </is>
      </c>
    </row>
    <row r="11">
      <c r="A11" s="40" t="n">
        <v>46325</v>
      </c>
      <c r="B11" s="41" t="inlineStr">
        <is>
          <t>וירא</t>
        </is>
      </c>
      <c r="C11" s="42" t="n">
        <v>0.6826388888888889</v>
      </c>
      <c r="D11" s="42" t="n">
        <v>0.7277777777777777</v>
      </c>
      <c r="E11" s="43" t="inlineStr">
        <is>
          <t>אתר ישיבה (כפר אדומים)</t>
        </is>
      </c>
    </row>
    <row r="12">
      <c r="A12" s="40" t="n">
        <v>46332</v>
      </c>
      <c r="B12" s="41" t="inlineStr">
        <is>
          <t>חיי שרה</t>
        </is>
      </c>
      <c r="C12" s="42" t="n">
        <v>0.6708333333333333</v>
      </c>
      <c r="D12" s="42" t="n">
        <v>0.7256944444444444</v>
      </c>
      <c r="E12" s="43" t="inlineStr">
        <is>
          <t>חישוב (ירושלים)</t>
        </is>
      </c>
    </row>
    <row r="13">
      <c r="A13" s="40" t="n">
        <v>46339</v>
      </c>
      <c r="B13" s="41" t="inlineStr">
        <is>
          <t>תולדות</t>
        </is>
      </c>
      <c r="C13" s="42" t="n">
        <v>0.6756944444444445</v>
      </c>
      <c r="D13" s="42" t="n">
        <v>0.7208333333333333</v>
      </c>
      <c r="E13" s="43" t="inlineStr">
        <is>
          <t>אתר ישיבה (כפר אדומים)</t>
        </is>
      </c>
    </row>
    <row r="14">
      <c r="A14" s="40" t="n">
        <v>46346</v>
      </c>
      <c r="B14" s="41" t="inlineStr">
        <is>
          <t>ויצא</t>
        </is>
      </c>
      <c r="C14" s="42" t="n">
        <v>0.6652777777777777</v>
      </c>
      <c r="D14" s="42" t="n">
        <v>0.7201388888888889</v>
      </c>
      <c r="E14" s="43" t="inlineStr">
        <is>
          <t>חישוב (ירושלים)</t>
        </is>
      </c>
    </row>
    <row r="15">
      <c r="A15" s="40" t="n">
        <v>46353</v>
      </c>
      <c r="B15" s="41" t="inlineStr">
        <is>
          <t>וישלח</t>
        </is>
      </c>
      <c r="C15" s="42" t="n">
        <v>0.6715277777777777</v>
      </c>
      <c r="D15" s="42" t="n">
        <v>0.7180555555555556</v>
      </c>
      <c r="E15" s="43" t="inlineStr">
        <is>
          <t>אתר ישיבה (כפר אדומים)</t>
        </is>
      </c>
    </row>
    <row r="16">
      <c r="A16" s="40" t="n">
        <v>46360</v>
      </c>
      <c r="B16" s="41" t="inlineStr">
        <is>
          <t>וישב (חנוכה)</t>
        </is>
      </c>
      <c r="C16" s="42" t="n">
        <v>0.6631944444444444</v>
      </c>
      <c r="D16" s="42" t="n">
        <v>0.71875</v>
      </c>
      <c r="E16" s="43" t="inlineStr">
        <is>
          <t>חישוב (ירושלים)</t>
        </is>
      </c>
    </row>
    <row r="17">
      <c r="A17" s="40" t="n">
        <v>46367</v>
      </c>
      <c r="B17" s="41" t="inlineStr">
        <is>
          <t>מקץ (חנוכה)</t>
        </is>
      </c>
      <c r="C17" s="42" t="n">
        <v>0.6638888888888889</v>
      </c>
      <c r="D17" s="42" t="n">
        <v>0.7194444444444444</v>
      </c>
      <c r="E17" s="43" t="inlineStr">
        <is>
          <t>חישוב (ירושלים)</t>
        </is>
      </c>
    </row>
    <row r="18">
      <c r="A18" s="40" t="n">
        <v>46374</v>
      </c>
      <c r="B18" s="41" t="inlineStr">
        <is>
          <t>ויגש</t>
        </is>
      </c>
      <c r="C18" s="42" t="n">
        <v>0.6652777777777777</v>
      </c>
      <c r="D18" s="42" t="n">
        <v>0.7208333333333333</v>
      </c>
      <c r="E18" s="43" t="inlineStr">
        <is>
          <t>חישוב (ירושלים)</t>
        </is>
      </c>
    </row>
    <row r="19">
      <c r="A19" s="40" t="n">
        <v>46381</v>
      </c>
      <c r="B19" s="41" t="inlineStr">
        <is>
          <t>ויחי</t>
        </is>
      </c>
      <c r="C19" s="42" t="n">
        <v>0.6763888888888889</v>
      </c>
      <c r="D19" s="42" t="n">
        <v>0.7236111111111111</v>
      </c>
      <c r="E19" s="43" t="inlineStr">
        <is>
          <t>אתר ישיבה (כפר אדומים)</t>
        </is>
      </c>
    </row>
    <row r="20">
      <c r="A20" s="40" t="n">
        <v>46388</v>
      </c>
      <c r="B20" s="41" t="inlineStr">
        <is>
          <t>שמות</t>
        </is>
      </c>
      <c r="C20" s="42" t="n">
        <v>0.6708333333333333</v>
      </c>
      <c r="D20" s="42" t="n">
        <v>0.7270833333333333</v>
      </c>
      <c r="E20" s="43" t="inlineStr">
        <is>
          <t>חישוב (ירושלים)</t>
        </is>
      </c>
    </row>
    <row r="21">
      <c r="A21" s="40" t="n">
        <v>46395</v>
      </c>
      <c r="B21" s="41" t="inlineStr">
        <is>
          <t>וארא</t>
        </is>
      </c>
      <c r="C21" s="42" t="n">
        <v>0.6833333333333333</v>
      </c>
      <c r="D21" s="42" t="n">
        <v>0.7305555555555555</v>
      </c>
      <c r="E21" s="43" t="inlineStr">
        <is>
          <t>אתר ישיבה (כפר אדומים)</t>
        </is>
      </c>
    </row>
    <row r="22">
      <c r="A22" s="40" t="n">
        <v>46402</v>
      </c>
      <c r="B22" s="41" t="inlineStr">
        <is>
          <t>בא</t>
        </is>
      </c>
      <c r="C22" s="42" t="n">
        <v>0.6791666666666667</v>
      </c>
      <c r="D22" s="42" t="n">
        <v>0.7354166666666667</v>
      </c>
      <c r="E22" s="43" t="inlineStr">
        <is>
          <t>חישוב (ירושלים)</t>
        </is>
      </c>
    </row>
    <row r="23">
      <c r="A23" s="40" t="n">
        <v>46409</v>
      </c>
      <c r="B23" s="41" t="inlineStr">
        <is>
          <t>בשלח (ט״ו בשבט)</t>
        </is>
      </c>
      <c r="C23" s="42" t="n">
        <v>0.6916666666666667</v>
      </c>
      <c r="D23" s="42" t="n">
        <v>0.7381944444444445</v>
      </c>
      <c r="E23" s="43" t="inlineStr">
        <is>
          <t>אתר ישיבה (כפר אדומים)</t>
        </is>
      </c>
    </row>
    <row r="24">
      <c r="A24" s="40" t="n">
        <v>46416</v>
      </c>
      <c r="B24" s="41" t="inlineStr">
        <is>
          <t>יתרו</t>
        </is>
      </c>
      <c r="C24" s="42" t="n">
        <v>0.6875</v>
      </c>
      <c r="D24" s="42" t="n">
        <v>0.74375</v>
      </c>
      <c r="E24" s="43" t="inlineStr">
        <is>
          <t>חישוב (ירושלים)</t>
        </is>
      </c>
    </row>
    <row r="25">
      <c r="A25" s="40" t="n">
        <v>46423</v>
      </c>
      <c r="B25" s="41" t="inlineStr">
        <is>
          <t>משפטים</t>
        </is>
      </c>
      <c r="C25" s="42" t="n">
        <v>0.6923611111111111</v>
      </c>
      <c r="D25" s="42" t="n">
        <v>0.7486111111111111</v>
      </c>
      <c r="E25" s="43" t="inlineStr">
        <is>
          <t>חישוב (ירושלים)</t>
        </is>
      </c>
    </row>
    <row r="26">
      <c r="A26" s="40" t="n">
        <v>46430</v>
      </c>
      <c r="B26" s="41" t="inlineStr">
        <is>
          <t>תרומה</t>
        </is>
      </c>
      <c r="C26" s="42" t="n">
        <v>0.7048611111111112</v>
      </c>
      <c r="D26" s="42" t="n">
        <v>0.7506944444444444</v>
      </c>
      <c r="E26" s="43" t="inlineStr">
        <is>
          <t>אתר ישיבה (כפר אדומים)</t>
        </is>
      </c>
    </row>
    <row r="27">
      <c r="A27" s="40" t="n">
        <v>46437</v>
      </c>
      <c r="B27" s="41" t="inlineStr">
        <is>
          <t>תצוה</t>
        </is>
      </c>
      <c r="C27" s="42" t="n">
        <v>0.7006944444444444</v>
      </c>
      <c r="D27" s="42" t="n">
        <v>0.7569444444444444</v>
      </c>
      <c r="E27" s="43" t="inlineStr">
        <is>
          <t>חישוב (ירושלים)</t>
        </is>
      </c>
    </row>
    <row r="28">
      <c r="A28" s="40" t="n">
        <v>46444</v>
      </c>
      <c r="B28" s="41" t="inlineStr">
        <is>
          <t>כי תשא</t>
        </is>
      </c>
      <c r="C28" s="42" t="n">
        <v>0.7041666666666667</v>
      </c>
      <c r="D28" s="42" t="n">
        <v>0.7604166666666666</v>
      </c>
      <c r="E28" s="43" t="inlineStr">
        <is>
          <t>חישוב (ירושלים)</t>
        </is>
      </c>
    </row>
    <row r="29">
      <c r="A29" s="40" t="n">
        <v>46451</v>
      </c>
      <c r="B29" s="41" t="inlineStr">
        <is>
          <t>ויקהל</t>
        </is>
      </c>
      <c r="C29" s="42" t="n">
        <v>0.7083333333333334</v>
      </c>
      <c r="D29" s="42" t="n">
        <v>0.7638888888888888</v>
      </c>
      <c r="E29" s="43" t="inlineStr">
        <is>
          <t>חישוב (ירושלים)</t>
        </is>
      </c>
    </row>
    <row r="30">
      <c r="A30" s="40" t="n">
        <v>46458</v>
      </c>
      <c r="B30" s="41" t="inlineStr">
        <is>
          <t>פקודי</t>
        </is>
      </c>
      <c r="C30" s="42" t="n">
        <v>0.7118055555555556</v>
      </c>
      <c r="D30" s="42" t="n">
        <v>0.7680555555555556</v>
      </c>
      <c r="E30" s="43" t="inlineStr">
        <is>
          <t>חישוב (ירושלים)</t>
        </is>
      </c>
    </row>
    <row r="31">
      <c r="A31" s="40" t="n">
        <v>46465</v>
      </c>
      <c r="B31" s="41" t="inlineStr">
        <is>
          <t>ויקרא</t>
        </is>
      </c>
      <c r="C31" s="42" t="n">
        <v>0.7152777777777778</v>
      </c>
      <c r="D31" s="42" t="n">
        <v>0.7708333333333334</v>
      </c>
      <c r="E31" s="43" t="inlineStr">
        <is>
          <t>חישוב (ירושלים)</t>
        </is>
      </c>
    </row>
    <row r="32">
      <c r="A32" s="40" t="n">
        <v>46472</v>
      </c>
      <c r="B32" s="41" t="inlineStr">
        <is>
          <t>צו</t>
        </is>
      </c>
      <c r="C32" s="42" t="n">
        <v>0.7597222222222222</v>
      </c>
      <c r="D32" s="42" t="n">
        <v>0.8159722222222222</v>
      </c>
      <c r="E32" s="43" t="inlineStr">
        <is>
          <t>חישוב (ירושלים)</t>
        </is>
      </c>
    </row>
    <row r="33">
      <c r="A33" s="40" t="n">
        <v>46479</v>
      </c>
      <c r="B33" s="41" t="inlineStr">
        <is>
          <t>שמיני</t>
        </is>
      </c>
      <c r="C33" s="42" t="n">
        <v>0.7631944444444444</v>
      </c>
      <c r="D33" s="42" t="n">
        <v>0.8194444444444444</v>
      </c>
      <c r="E33" s="43" t="inlineStr">
        <is>
          <t>חישוב (ירושלים)</t>
        </is>
      </c>
    </row>
    <row r="34">
      <c r="A34" s="40" t="n">
        <v>46486</v>
      </c>
      <c r="B34" s="41" t="inlineStr">
        <is>
          <t>תזריע</t>
        </is>
      </c>
      <c r="C34" s="42" t="n">
        <v>0.7666666666666667</v>
      </c>
      <c r="D34" s="42" t="n">
        <v>0.8222222222222222</v>
      </c>
      <c r="E34" s="43" t="inlineStr">
        <is>
          <t>חישוב (ירושלים)</t>
        </is>
      </c>
    </row>
    <row r="35">
      <c r="A35" s="40" t="n">
        <v>46493</v>
      </c>
      <c r="B35" s="41" t="inlineStr">
        <is>
          <t>מצורע</t>
        </is>
      </c>
      <c r="C35" s="42" t="n">
        <v>0.7701388888888889</v>
      </c>
      <c r="D35" s="42" t="n">
        <v>0.8256944444444444</v>
      </c>
      <c r="E35" s="43" t="inlineStr">
        <is>
          <t>חישוב (ירושלים)</t>
        </is>
      </c>
    </row>
    <row r="36">
      <c r="A36" s="40" t="n">
        <v>46500</v>
      </c>
      <c r="B36" s="41" t="inlineStr">
        <is>
          <t>פסח</t>
        </is>
      </c>
      <c r="C36" s="42" t="n">
        <v>0.7729166666666667</v>
      </c>
      <c r="D36" s="42" t="n">
        <v>0.8291666666666667</v>
      </c>
      <c r="E36" s="43" t="inlineStr">
        <is>
          <t>חישוב (ירושלים)</t>
        </is>
      </c>
    </row>
    <row r="37">
      <c r="A37" s="40" t="n">
        <v>46507</v>
      </c>
      <c r="B37" s="41" t="inlineStr">
        <is>
          <t>אחרי מות</t>
        </is>
      </c>
      <c r="C37" s="42" t="n">
        <v>0.7763888888888889</v>
      </c>
      <c r="D37" s="42" t="n">
        <v>0.8326388888888889</v>
      </c>
      <c r="E37" s="43" t="inlineStr">
        <is>
          <t>חישוב (ירושלים)</t>
        </is>
      </c>
    </row>
    <row r="38">
      <c r="A38" s="40" t="n">
        <v>46514</v>
      </c>
      <c r="B38" s="41" t="inlineStr">
        <is>
          <t>קדושים</t>
        </is>
      </c>
      <c r="C38" s="42" t="n">
        <v>0.7798611111111111</v>
      </c>
      <c r="D38" s="42" t="n">
        <v>0.8361111111111111</v>
      </c>
      <c r="E38" s="43" t="inlineStr">
        <is>
          <t>חישוב (ירושלים)</t>
        </is>
      </c>
    </row>
    <row r="39">
      <c r="A39" s="40" t="n">
        <v>46521</v>
      </c>
      <c r="B39" s="41" t="inlineStr">
        <is>
          <t>אמור</t>
        </is>
      </c>
      <c r="C39" s="42" t="n">
        <v>0.7833333333333333</v>
      </c>
      <c r="D39" s="42" t="n">
        <v>0.8395833333333333</v>
      </c>
      <c r="E39" s="43" t="inlineStr">
        <is>
          <t>חישוב (ירושלים)</t>
        </is>
      </c>
    </row>
    <row r="40">
      <c r="A40" s="40" t="n">
        <v>46528</v>
      </c>
      <c r="B40" s="41" t="inlineStr">
        <is>
          <t>בהר</t>
        </is>
      </c>
      <c r="C40" s="42" t="n">
        <v>0.7868055555555555</v>
      </c>
      <c r="D40" s="42" t="n">
        <v>0.8423611111111111</v>
      </c>
      <c r="E40" s="43" t="inlineStr">
        <is>
          <t>חישוב (ירושלים)</t>
        </is>
      </c>
    </row>
    <row r="41">
      <c r="A41" s="40" t="n">
        <v>46535</v>
      </c>
      <c r="B41" s="41" t="inlineStr">
        <is>
          <t>בחוקותי</t>
        </is>
      </c>
      <c r="C41" s="42" t="n">
        <v>0.7895833333333333</v>
      </c>
      <c r="D41" s="42" t="n">
        <v>0.8458333333333333</v>
      </c>
      <c r="E41" s="43" t="inlineStr">
        <is>
          <t>חישוב (ירושלים)</t>
        </is>
      </c>
    </row>
    <row r="42">
      <c r="A42" s="40" t="n">
        <v>46542</v>
      </c>
      <c r="B42" s="41" t="inlineStr">
        <is>
          <t>במדבר</t>
        </is>
      </c>
      <c r="C42" s="42" t="n">
        <v>0.7923611111111111</v>
      </c>
      <c r="D42" s="42" t="n">
        <v>0.8486111111111111</v>
      </c>
      <c r="E42" s="43" t="inlineStr">
        <is>
          <t>חישוב (ירושלים)</t>
        </is>
      </c>
    </row>
    <row r="43">
      <c r="A43" s="40" t="n">
        <v>46549</v>
      </c>
      <c r="B43" s="41" t="inlineStr">
        <is>
          <t>נשא</t>
        </is>
      </c>
      <c r="C43" s="42" t="n">
        <v>0.7944444444444444</v>
      </c>
      <c r="D43" s="42" t="n">
        <v>0.8506944444444444</v>
      </c>
      <c r="E43" s="43" t="inlineStr">
        <is>
          <t>חישוב (ירושלים)</t>
        </is>
      </c>
    </row>
    <row r="44">
      <c r="A44" s="40" t="n">
        <v>46556</v>
      </c>
      <c r="B44" s="41" t="inlineStr">
        <is>
          <t>בהעלותך</t>
        </is>
      </c>
      <c r="C44" s="42" t="n">
        <v>0.7965277777777777</v>
      </c>
      <c r="D44" s="42" t="n">
        <v>0.8520833333333333</v>
      </c>
      <c r="E44" s="43" t="inlineStr">
        <is>
          <t>חישוב (ירושלים)</t>
        </is>
      </c>
    </row>
    <row r="45">
      <c r="A45" s="40" t="n">
        <v>46563</v>
      </c>
      <c r="B45" s="41" t="inlineStr">
        <is>
          <t>שלח</t>
        </is>
      </c>
      <c r="C45" s="42" t="n">
        <v>0.7972222222222223</v>
      </c>
      <c r="D45" s="42" t="n">
        <v>0.8527777777777777</v>
      </c>
      <c r="E45" s="43" t="inlineStr">
        <is>
          <t>חישוב (ירושלים)</t>
        </is>
      </c>
    </row>
    <row r="46">
      <c r="A46" s="40" t="n">
        <v>46570</v>
      </c>
      <c r="B46" s="41" t="inlineStr">
        <is>
          <t>קרח</t>
        </is>
      </c>
      <c r="C46" s="42" t="n">
        <v>0.7979166666666667</v>
      </c>
      <c r="D46" s="42" t="n">
        <v>0.8534722222222222</v>
      </c>
      <c r="E46" s="43" t="inlineStr">
        <is>
          <t>חישוב (ירושלים)</t>
        </is>
      </c>
    </row>
    <row r="47">
      <c r="A47" s="40" t="n">
        <v>46577</v>
      </c>
      <c r="B47" s="41" t="inlineStr">
        <is>
          <t>חקת</t>
        </is>
      </c>
      <c r="C47" s="42" t="n">
        <v>0.7972222222222223</v>
      </c>
      <c r="D47" s="42" t="n">
        <v>0.8520833333333333</v>
      </c>
      <c r="E47" s="43" t="inlineStr">
        <is>
          <t>חישוב (ירושלים)</t>
        </is>
      </c>
    </row>
    <row r="48">
      <c r="A48" s="40" t="n">
        <v>46584</v>
      </c>
      <c r="B48" s="41" t="inlineStr">
        <is>
          <t>בלק</t>
        </is>
      </c>
      <c r="C48" s="42" t="n">
        <v>0.7958333333333333</v>
      </c>
      <c r="D48" s="42" t="n">
        <v>0.8506944444444444</v>
      </c>
      <c r="E48" s="43" t="inlineStr">
        <is>
          <t>חישוב (ירושלים)</t>
        </is>
      </c>
    </row>
    <row r="49">
      <c r="A49" s="40" t="n">
        <v>46591</v>
      </c>
      <c r="B49" s="41" t="inlineStr">
        <is>
          <t>פינחס</t>
        </is>
      </c>
      <c r="C49" s="42" t="n">
        <v>0.7930555555555555</v>
      </c>
      <c r="D49" s="42" t="n">
        <v>0.8486111111111111</v>
      </c>
      <c r="E49" s="43" t="inlineStr">
        <is>
          <t>חישוב (ירושלים)</t>
        </is>
      </c>
    </row>
    <row r="50">
      <c r="A50" s="40" t="n">
        <v>46598</v>
      </c>
      <c r="B50" s="41" t="inlineStr">
        <is>
          <t>מטות, מסעי</t>
        </is>
      </c>
      <c r="C50" s="42" t="n">
        <v>0.7902777777777777</v>
      </c>
      <c r="D50" s="42" t="n">
        <v>0.8451388888888889</v>
      </c>
      <c r="E50" s="43" t="inlineStr">
        <is>
          <t>חישוב (ירושלים)</t>
        </is>
      </c>
    </row>
    <row r="51">
      <c r="A51" s="40" t="n">
        <v>46605</v>
      </c>
      <c r="B51" s="41" t="inlineStr">
        <is>
          <t>דברים</t>
        </is>
      </c>
      <c r="C51" s="42" t="n">
        <v>0.7861111111111111</v>
      </c>
      <c r="D51" s="42" t="n">
        <v>0.8409722222222222</v>
      </c>
      <c r="E51" s="43" t="inlineStr">
        <is>
          <t>חישוב (ירושלים)</t>
        </is>
      </c>
    </row>
    <row r="52">
      <c r="A52" s="40" t="n">
        <v>46612</v>
      </c>
      <c r="B52" s="41" t="inlineStr">
        <is>
          <t>ואתחנן</t>
        </is>
      </c>
      <c r="C52" s="42" t="n">
        <v>0.78125</v>
      </c>
      <c r="D52" s="42" t="n">
        <v>0.8361111111111111</v>
      </c>
      <c r="E52" s="43" t="inlineStr">
        <is>
          <t>חישוב (ירושלים)</t>
        </is>
      </c>
    </row>
    <row r="53">
      <c r="A53" s="40" t="n">
        <v>46619</v>
      </c>
      <c r="B53" s="41" t="inlineStr">
        <is>
          <t>עקב</t>
        </is>
      </c>
      <c r="C53" s="42" t="n">
        <v>0.7763888888888889</v>
      </c>
      <c r="D53" s="42" t="n">
        <v>0.83125</v>
      </c>
      <c r="E53" s="43" t="inlineStr">
        <is>
          <t>חישוב (ירושלים)</t>
        </is>
      </c>
    </row>
    <row r="54">
      <c r="A54" s="40" t="n">
        <v>46626</v>
      </c>
      <c r="B54" s="41" t="inlineStr">
        <is>
          <t>ראה</t>
        </is>
      </c>
      <c r="C54" s="42" t="n">
        <v>0.7708333333333334</v>
      </c>
      <c r="D54" s="42" t="n">
        <v>0.8256944444444444</v>
      </c>
      <c r="E54" s="43" t="inlineStr">
        <is>
          <t>חישוב (ירושלים)</t>
        </is>
      </c>
    </row>
  </sheetData>
  <mergeCells count="2">
    <mergeCell ref="A1:F1"/>
    <mergeCell ref="F3:F8"/>
  </mergeCells>
  <pageMargins left="0.75" right="0.75" top="1" bottom="1" header="0.5" footer="0.5"/>
  <pageSetup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2026-10-29T21:00:51Z</dcterms:created>
  <dcterms:modified xsi:type="dcterms:W3CDTF">2026-10-29T21:00:52Z</dcterms:modified>
</cp:coreProperties>
</file>