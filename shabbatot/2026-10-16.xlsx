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46311</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0.7152777777777778</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0.7347222222222223</v>
      </c>
      <c r="C10" s="47" t="inlineStr">
        <is>
          <t>הדלקת נרות</t>
        </is>
      </c>
      <c r="D10" s="48" t="n"/>
      <c r="E10" s="21" t="n"/>
      <c r="F10" s="49">
        <f>IF($B$4="","",$B$4)</f>
        <v/>
      </c>
      <c r="G10" s="50">
        <f>IF(C10="","",COUNTIF('משימות'!$I$3:$I$122,C10))</f>
        <v/>
      </c>
    </row>
    <row r="11" ht="22" customHeight="1">
      <c r="A11" s="45" t="inlineStr">
        <is>
          <t>שישי</t>
        </is>
      </c>
      <c r="B11" s="46" t="n">
        <v>0.7430555555555556</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0.8125</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0.875</v>
      </c>
      <c r="C13" s="47" t="inlineStr">
        <is>
          <t>טיש</t>
        </is>
      </c>
      <c r="D13" s="48" t="inlineStr">
        <is>
          <t>חדר אוכל</t>
        </is>
      </c>
      <c r="E13" s="21" t="inlineStr">
        <is>
          <t>מעביר/ה: שלמה</t>
        </is>
      </c>
      <c r="F13" s="49">
        <f>IF($F$12="","",ROUND(($F$12+TIME(1,30,0))*288,0)/288)</f>
        <v/>
      </c>
      <c r="G13" s="50">
        <f>IF(C13="","",COUNTIF('משימות'!$I$3:$I$122,C13))</f>
        <v/>
      </c>
    </row>
    <row r="14" ht="22" customHeight="1">
      <c r="A14" s="51" t="inlineStr">
        <is>
          <t>שבת</t>
        </is>
      </c>
      <c r="B14" s="46" t="n">
        <v>0.4583333333333333</v>
      </c>
      <c r="C14" s="47" t="inlineStr">
        <is>
          <t>קידוש</t>
        </is>
      </c>
      <c r="D14" s="48" t="inlineStr">
        <is>
          <t>חדר אוכל</t>
        </is>
      </c>
      <c r="E14" s="21" t="n"/>
      <c r="F14" s="49" t="n">
        <v>0.4583333333333333</v>
      </c>
      <c r="G14" s="50">
        <f>IF(C14="","",COUNTIF('משימות'!$I$3:$I$122,C14))</f>
        <v/>
      </c>
    </row>
    <row r="15" ht="22" customHeight="1">
      <c r="A15" s="51" t="inlineStr">
        <is>
          <t>שבת</t>
        </is>
      </c>
      <c r="B15" s="46" t="n">
        <v>0.4895833333333333</v>
      </c>
      <c r="C15" s="47" t="inlineStr">
        <is>
          <t>חבורות</t>
        </is>
      </c>
      <c r="D15" s="48" t="n"/>
      <c r="E15" s="21" t="inlineStr">
        <is>
          <t>מעבירים: של״ו רובינשטיין, איתן כהן</t>
        </is>
      </c>
      <c r="F15" s="49" t="n">
        <v>0.4895833333333333</v>
      </c>
      <c r="G15" s="50">
        <f>IF(C15="","",COUNTIF('משימות'!$I$3:$I$122,C15))</f>
        <v/>
      </c>
    </row>
    <row r="16" ht="22" customHeight="1">
      <c r="A16" s="51" t="inlineStr">
        <is>
          <t>שבת</t>
        </is>
      </c>
      <c r="B16" s="46" t="n">
        <v>0.5520833333333334</v>
      </c>
      <c r="C16" s="47" t="inlineStr">
        <is>
          <t>ארוחת צהריים</t>
        </is>
      </c>
      <c r="D16" s="48" t="inlineStr">
        <is>
          <t>חדר אוכל</t>
        </is>
      </c>
      <c r="E16" s="21" t="n"/>
      <c r="F16" s="49" t="n">
        <v>0.5520833333333334</v>
      </c>
      <c r="G16" s="50">
        <f>IF(C16="","",COUNTIF('משימות'!$I$3:$I$122,C16))</f>
        <v/>
      </c>
    </row>
    <row r="17" ht="22" customHeight="1">
      <c r="A17" s="51" t="inlineStr">
        <is>
          <t>שבת</t>
        </is>
      </c>
      <c r="B17" s="46" t="n">
        <v>0.625</v>
      </c>
      <c r="C17" s="47" t="inlineStr">
        <is>
          <t>שיעור של יואב</t>
        </is>
      </c>
      <c r="D17" s="48" t="inlineStr">
        <is>
          <t>בית המדרש</t>
        </is>
      </c>
      <c r="E17" s="21" t="n"/>
      <c r="F17" s="49" t="n">
        <v>0.625</v>
      </c>
      <c r="G17" s="50">
        <f>IF(C17="","",COUNTIF('משימות'!$I$3:$I$122,C17))</f>
        <v/>
      </c>
    </row>
    <row r="18" ht="22" customHeight="1">
      <c r="A18" s="51" t="inlineStr">
        <is>
          <t>שבת</t>
        </is>
      </c>
      <c r="B18" s="46" t="n">
        <v>0.7291666666666666</v>
      </c>
      <c r="C18" s="47" t="inlineStr">
        <is>
          <t>סעודה שלישית</t>
        </is>
      </c>
      <c r="D18" s="48" t="inlineStr">
        <is>
          <t>חדר אוכל</t>
        </is>
      </c>
      <c r="E18" s="21" t="inlineStr">
        <is>
          <t>דבר תורה ושירה</t>
        </is>
      </c>
      <c r="F18" s="49" t="n">
        <v>0.7291666666666666</v>
      </c>
      <c r="G18" s="50">
        <f>IF(C18="","",COUNTIF('משימות'!$I$3:$I$122,C18))</f>
        <v/>
      </c>
    </row>
    <row r="19" ht="22" customHeight="1">
      <c r="A19" s="51" t="inlineStr">
        <is>
          <t>שבת</t>
        </is>
      </c>
      <c r="B19" s="46" t="n">
        <v>0.7784722222222222</v>
      </c>
      <c r="C19" s="47" t="inlineStr">
        <is>
          <t>הבדלה</t>
        </is>
      </c>
      <c r="D19" s="48" t="n"/>
      <c r="E19" s="21" t="n"/>
      <c r="F19" s="49">
        <f>IF($D$4="","",$D$4)</f>
        <v/>
      </c>
      <c r="G19" s="50">
        <f>IF(C19="","",COUNTIF('משימות'!$I$3:$I$122,C19))</f>
        <v/>
      </c>
    </row>
    <row r="20" ht="22" customHeight="1">
      <c r="A20" s="51" t="inlineStr">
        <is>
          <t>שבת</t>
        </is>
      </c>
      <c r="B20" s="46" t="n">
        <v>0.8020833333333334</v>
      </c>
      <c r="C20" s="47" t="inlineStr">
        <is>
          <t>ניקיונות מוצ"ש</t>
        </is>
      </c>
      <c r="D20" s="48" t="inlineStr">
        <is>
          <t>בית המדרש וחדר האוכל</t>
        </is>
      </c>
      <c r="E20" s="21" t="n"/>
      <c r="F20" s="49">
        <f>IF($D$4="","",ROUNDUP(ROUND(($D$4+TIME(0,20,0))*1440,0)/15,0)*15/1440)</f>
        <v/>
      </c>
      <c r="G20" s="50">
        <f>IF(C20="","",COUNTIF('משימות'!$I$3:$I$122,C20))</f>
        <v/>
      </c>
    </row>
    <row r="21" ht="22" customHeight="1">
      <c r="A21" s="51" t="inlineStr">
        <is>
          <t>שבת</t>
        </is>
      </c>
      <c r="B21" s="46" t="n">
        <v>0.8541666666666666</v>
      </c>
      <c r="C21" s="47" t="inlineStr">
        <is>
          <t>ארוחת ערב מוצ"ש</t>
        </is>
      </c>
      <c r="D21" s="48" t="inlineStr">
        <is>
          <t>חדר אוכל</t>
        </is>
      </c>
      <c r="E21" s="21" t="n"/>
      <c r="F21" s="49">
        <f>IF($F$20="","",ROUND(($F$20+TIME(1,15,0))*288,0)/288)</f>
        <v/>
      </c>
      <c r="G21" s="50">
        <f>IF(C21="","",COUNTIF('משימות'!$I$3:$I$122,C21))</f>
        <v/>
      </c>
    </row>
    <row r="22" ht="22" customHeight="1">
      <c r="A22" s="51" t="inlineStr">
        <is>
          <t>שבת</t>
        </is>
      </c>
      <c r="B22" s="46" t="n">
        <v>0.875</v>
      </c>
      <c r="C22" s="47" t="inlineStr">
        <is>
          <t>כריכה לכריכה בתנ"ך עם אבישי</t>
        </is>
      </c>
      <c r="D22" s="48" t="inlineStr">
        <is>
          <t>ספריית שבייד</t>
        </is>
      </c>
      <c r="E22" s="21" t="inlineStr">
        <is>
          <t>הושע 1 (א–ז)</t>
        </is>
      </c>
      <c r="F22" s="49">
        <f>IF($F$21="","",ROUND(($F$21+TIME(0,30,0))*288,0)/288)</f>
        <v/>
      </c>
      <c r="G22" s="50">
        <f>IF(C22="","",COUNTIF('משימות'!$I$3:$I$122,C22))</f>
        <v/>
      </c>
    </row>
    <row r="23" ht="22" customHeight="1">
      <c r="A23" s="52" t="n"/>
      <c r="B23" s="46" t="n"/>
      <c r="C23" s="47" t="n"/>
      <c r="D23" s="48" t="n"/>
      <c r="E23" s="21" t="n"/>
      <c r="F23" s="49" t="n"/>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5</v>
      </c>
      <c r="G3" s="31" t="inlineStr">
        <is>
          <t>אלרואי גרינברג, ניצן גמלא, רגב שהם, הלל פינגולד, בניה מעוז</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0.3333333333333333</v>
      </c>
      <c r="D4" s="48" t="inlineStr">
        <is>
          <t>בראוניז ללא גלוטן</t>
        </is>
      </c>
      <c r="E4" s="21" t="inlineStr">
        <is>
          <t>בראוניז ללא גלוטן — כ-600 גרם שוקולד</t>
        </is>
      </c>
      <c r="F4" s="53" t="n">
        <v>3</v>
      </c>
      <c r="G4" s="31" t="inlineStr">
        <is>
          <t>רוני כהן, מעיין רחל דינר, הדר עמדי</t>
        </is>
      </c>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6 עוגות אינגליש קייק</t>
        </is>
      </c>
      <c r="F5" s="53" t="n">
        <v>4</v>
      </c>
      <c r="G5" s="31" t="inlineStr">
        <is>
          <t>זואי כהן, עמית סיילס, שחר קרן, עמית שי אברהם</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4</v>
      </c>
      <c r="G6" s="31" t="inlineStr">
        <is>
          <t>שירה ספונוב, אחיה נחמני, אלה גוטליב, מאיה פקטר</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קובי סמייסון, יערה ריס, נבו בלוך, איתי בן מנחם</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0.3333333333333333</v>
      </c>
      <c r="D8" s="48" t="inlineStr">
        <is>
          <t>סלט חצילים</t>
        </is>
      </c>
      <c r="E8" s="21" t="inlineStr">
        <is>
          <t>סלט חצילים — 10 חצילים</t>
        </is>
      </c>
      <c r="F8" s="53" t="n">
        <v>2</v>
      </c>
      <c r="G8" s="31" t="inlineStr">
        <is>
          <t>איתן כהן, יהב לוי</t>
        </is>
      </c>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4</v>
      </c>
      <c r="G9" s="31" t="inlineStr">
        <is>
          <t>אלה מאיר, תמר פרימור, רועי צבי סרי, עופר בביוף</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נגה חוה כהן, ירדן בן שחר, טליה קור, יובל יצחק</t>
        </is>
      </c>
      <c r="H10" s="48" t="inlineStr">
        <is>
          <t>שקשוקה ולחם</t>
        </is>
      </c>
      <c r="I10" s="48" t="inlineStr">
        <is>
          <t>תחילת עבודה</t>
        </is>
      </c>
      <c r="J10" s="21" t="n"/>
    </row>
    <row r="11" ht="30" customHeight="1">
      <c r="A11" s="53" t="inlineStr">
        <is>
          <t>תורנות מוצ"ש</t>
        </is>
      </c>
      <c r="B11" s="56" t="inlineStr">
        <is>
          <t>מוצאי שבת</t>
        </is>
      </c>
      <c r="C11" s="55" t="n"/>
      <c r="D11" s="48" t="inlineStr">
        <is>
          <t>ארוחת ערב מוצ"ש</t>
        </is>
      </c>
      <c r="E11" s="21" t="inlineStr">
        <is>
          <t>הכנת ארוחת ערב: פסטה ברוטב עגבניות</t>
        </is>
      </c>
      <c r="F11" s="53" t="n">
        <v>5</v>
      </c>
      <c r="G11" s="31" t="inlineStr">
        <is>
          <t>שחר מרקוביץ' גליק, אוריה תעשה, רועי צבי סרי, איתי בן מנחם, טליה קור</t>
        </is>
      </c>
      <c r="H11" s="48" t="inlineStr">
        <is>
          <t>פסטה ברוטב עגבניות</t>
        </is>
      </c>
      <c r="I11" s="48" t="inlineStr">
        <is>
          <t>ניקיונות מוצ"ש</t>
        </is>
      </c>
      <c r="J11" s="21" t="n"/>
    </row>
    <row r="12" ht="30" customHeight="1">
      <c r="A12" s="53" t="inlineStr">
        <is>
          <t>הכנות שישי</t>
        </is>
      </c>
      <c r="B12" s="54" t="inlineStr">
        <is>
          <t>שישי</t>
        </is>
      </c>
      <c r="C12" s="55" t="n">
        <v>0.5</v>
      </c>
      <c r="D12" s="48" t="inlineStr">
        <is>
          <t>ארוחת צהריים שישי</t>
        </is>
      </c>
      <c r="E12" s="21" t="inlineStr">
        <is>
          <t>הגשת ארוחת הצהריים</t>
        </is>
      </c>
      <c r="F12" s="53" t="n">
        <v>2</v>
      </c>
      <c r="G12" s="31" t="inlineStr">
        <is>
          <t>נגה חוה כהן, ירדן בן שחר</t>
        </is>
      </c>
      <c r="H12" s="48" t="n"/>
      <c r="I12" s="48" t="inlineStr">
        <is>
          <t>ארוחת צהריים</t>
        </is>
      </c>
      <c r="J12" s="21" t="n"/>
    </row>
    <row r="13" ht="30" customHeight="1">
      <c r="A13" s="53" t="inlineStr">
        <is>
          <t>הכנות שישי</t>
        </is>
      </c>
      <c r="B13" s="54" t="inlineStr">
        <is>
          <t>שישי</t>
        </is>
      </c>
      <c r="C13" s="55" t="n">
        <v>0.5416666666666666</v>
      </c>
      <c r="D13" s="48" t="inlineStr">
        <is>
          <t>ארוחת צהריים שישי</t>
        </is>
      </c>
      <c r="E13" s="21" t="inlineStr">
        <is>
          <t>קיפול הארוחה, שטיפת כלים</t>
        </is>
      </c>
      <c r="F13" s="53" t="n">
        <v>2</v>
      </c>
      <c r="G13" s="31" t="inlineStr">
        <is>
          <t>טליה קור, יובל יצחק</t>
        </is>
      </c>
      <c r="H13" s="48" t="n"/>
      <c r="I13" s="48" t="inlineStr">
        <is>
          <t>ארוחת צהריים</t>
        </is>
      </c>
      <c r="J13" s="21" t="n"/>
    </row>
    <row r="14" ht="30" customHeight="1">
      <c r="A14" s="53" t="inlineStr">
        <is>
          <t>תורנות שישי</t>
        </is>
      </c>
      <c r="B14" s="54" t="inlineStr">
        <is>
          <t>שישי</t>
        </is>
      </c>
      <c r="C14" s="55" t="n">
        <v>0.3333333333333333</v>
      </c>
      <c r="D14" s="48" t="inlineStr">
        <is>
          <t>בית מדרש</t>
        </is>
      </c>
      <c r="E14"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53" t="n">
        <v>12</v>
      </c>
      <c r="G14" s="31" t="inlineStr">
        <is>
          <t>אוריה תעשה, משה אוברשטיין, הילה לביא, שילת פילפל, תמר פרידמן, שחר מרקוביץ' גליק, אנה עזריאל, נועם ישראל קומפאס, של״ו רובינשטיין, רוני פרנקל, איתמר אסנהיים, חיים שמאי</t>
        </is>
      </c>
      <c r="H14" s="48" t="n"/>
      <c r="I14" s="48" t="inlineStr">
        <is>
          <t>תחילת עבודה</t>
        </is>
      </c>
      <c r="J14" s="21" t="n"/>
    </row>
    <row r="15" ht="30" customHeight="1">
      <c r="A15" s="53" t="inlineStr">
        <is>
          <t>תורנות שישי</t>
        </is>
      </c>
      <c r="B15" s="54" t="inlineStr">
        <is>
          <t>שישי</t>
        </is>
      </c>
      <c r="C15" s="55" t="n">
        <v>0.3645833333333333</v>
      </c>
      <c r="D15" s="48" t="inlineStr">
        <is>
          <t>בית מדרש</t>
        </is>
      </c>
      <c r="E15" s="21" t="inlineStr">
        <is>
          <t>עזרה בהכנת חלות</t>
        </is>
      </c>
      <c r="F15" s="53" t="n">
        <v>8</v>
      </c>
      <c r="G15" s="31" t="inlineStr">
        <is>
          <t>אוריה תעשה, משה אוברשטיין, הילה לביא, שילת פילפל, תמר פרידמן, שחר מרקוביץ' גליק, אנה עזריאל, נועם ישראל קומפאס</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עוגת שמרים</t>
        </is>
      </c>
      <c r="F16" s="53" t="n">
        <v>4</v>
      </c>
      <c r="G16" s="31" t="inlineStr">
        <is>
          <t>של״ו רובינשטיין, רוני פרנקל, איתמר אסנהיים, חיים שמאי</t>
        </is>
      </c>
      <c r="H16" s="48" t="n"/>
      <c r="I16" s="48" t="inlineStr">
        <is>
          <t>תחילת עבודה</t>
        </is>
      </c>
      <c r="J16" s="21" t="n"/>
    </row>
    <row r="17" ht="30" customHeight="1">
      <c r="A17" s="53" t="inlineStr">
        <is>
          <t>תורנות שישי</t>
        </is>
      </c>
      <c r="B17" s="54" t="inlineStr">
        <is>
          <t>שישי</t>
        </is>
      </c>
      <c r="C17" s="55" t="n">
        <v>0.5833333333333334</v>
      </c>
      <c r="D17" s="48" t="inlineStr">
        <is>
          <t>ניקיון חדר האוכל בשישי</t>
        </is>
      </c>
      <c r="E17" s="21" t="inlineStr">
        <is>
          <t>ניקיון חדר האוכל</t>
        </is>
      </c>
      <c r="F17" s="53" t="n">
        <v>12</v>
      </c>
      <c r="G17" s="31" t="inlineStr">
        <is>
          <t>כליל בלאוקופף, הילי אלפסי, נגה שוהם, נדב טוקר, איתן וינסטון, שי- לי וולגמוט, הילה עזרא</t>
        </is>
      </c>
      <c r="H17" s="48" t="n"/>
      <c r="I17" s="48" t="inlineStr">
        <is>
          <t>ארוחת צהריים</t>
        </is>
      </c>
      <c r="J17" s="21" t="n"/>
    </row>
    <row r="18" ht="30" customHeight="1">
      <c r="A18" s="53" t="inlineStr">
        <is>
          <t>תורנות שבת</t>
        </is>
      </c>
      <c r="B18" s="54" t="inlineStr">
        <is>
          <t>שישי</t>
        </is>
      </c>
      <c r="C18" s="55" t="n">
        <v>0.5833333333333334</v>
      </c>
      <c r="D18" s="48" t="inlineStr">
        <is>
          <t>הכנת ארוחת ערב</t>
        </is>
      </c>
      <c r="E18" s="21" t="inlineStr">
        <is>
          <t>פריקת האוכל למקרר — אוכל ארוחת צהריים שבת: כתף בקר, אורז לבן, תפו"א ובטטה, שעועית ירוקה מוקפצת, מוקפץ (טבעוני)</t>
        </is>
      </c>
      <c r="F18" s="53" t="n">
        <v>3</v>
      </c>
      <c r="G18" s="31" t="inlineStr">
        <is>
          <t>מעיין רחל דינר, מעיין יוספי, ניתאי שלום</t>
        </is>
      </c>
      <c r="H18" s="48" t="n"/>
      <c r="I18" s="48" t="inlineStr">
        <is>
          <t>הדלקת נרות</t>
        </is>
      </c>
      <c r="J18" s="21" t="n"/>
    </row>
    <row r="19" ht="30" customHeight="1">
      <c r="A19" s="53" t="inlineStr">
        <is>
          <t>תורנות שבת</t>
        </is>
      </c>
      <c r="B19" s="54" t="inlineStr">
        <is>
          <t>שישי</t>
        </is>
      </c>
      <c r="C19" s="55" t="n">
        <v>0.6944444444444444</v>
      </c>
      <c r="D19" s="48" t="inlineStr">
        <is>
          <t>הכנת ארוחת ערב</t>
        </is>
      </c>
      <c r="E19" s="21" t="inlineStr">
        <is>
          <t>הכנסת הגסטרונומים של ארוחת הערב מהמקרר לתנור החימום: כרעיים בגריל, אורז עם אטריות, אפונה וגזר, פלפל ממולא (טבעוני) · וחיבור מיחמים בפינת קפה</t>
        </is>
      </c>
      <c r="F19" s="53" t="n">
        <v>3</v>
      </c>
      <c r="G19" s="31" t="inlineStr">
        <is>
          <t>יונתן לירז, מעיין רחל דינר, מעיין יוספי</t>
        </is>
      </c>
      <c r="H19" s="48" t="n"/>
      <c r="I19" s="48" t="inlineStr">
        <is>
          <t>הדלקת נרות</t>
        </is>
      </c>
      <c r="J19" s="21" t="n"/>
    </row>
    <row r="20" ht="30" customHeight="1">
      <c r="A20" s="53" t="inlineStr">
        <is>
          <t>תורנות שבת</t>
        </is>
      </c>
      <c r="B20" s="54" t="inlineStr">
        <is>
          <t>שישי</t>
        </is>
      </c>
      <c r="C20" s="55" t="n">
        <v>0.78125</v>
      </c>
      <c r="D20" s="48" t="inlineStr">
        <is>
          <t>הכנת ארוחת ערב</t>
        </is>
      </c>
      <c r="E20" s="21" t="inlineStr">
        <is>
          <t>הכנת סלט כרוב מרענן, סלט טחינה ביתית</t>
        </is>
      </c>
      <c r="F20" s="53" t="n">
        <v>3</v>
      </c>
      <c r="G20" s="31" t="inlineStr">
        <is>
          <t>ניתאי שלום, יונתן לירז, מעיין רחל דינר</t>
        </is>
      </c>
      <c r="H20" s="48" t="inlineStr">
        <is>
          <t>סלט כרוב מרענן;סלט טחינה ביתית</t>
        </is>
      </c>
      <c r="I20" s="48" t="inlineStr">
        <is>
          <t>סעודת שבת</t>
        </is>
      </c>
      <c r="J20" s="21" t="n"/>
    </row>
    <row r="21" ht="30" customHeight="1">
      <c r="A21" s="53" t="inlineStr">
        <is>
          <t>תורנות שבת</t>
        </is>
      </c>
      <c r="B21" s="54" t="inlineStr">
        <is>
          <t>שישי</t>
        </is>
      </c>
      <c r="C21" s="55" t="n">
        <v>0.7916666666666666</v>
      </c>
      <c r="D21" s="48" t="inlineStr">
        <is>
          <t>הכנת ארוחת ערב</t>
        </is>
      </c>
      <c r="E21" s="21" t="inlineStr">
        <is>
          <t>עריכת שולחן: סלטי קייטרינג (סלק מבושל, כרוב בתחמיץ, בטטה צ'ילי, ירקות מוחמצים, חומוס), חצי מהסלטים והחלות של שישי, צלחות וסכו"ם</t>
        </is>
      </c>
      <c r="F21" s="53" t="n">
        <v>4</v>
      </c>
      <c r="G21" s="31" t="inlineStr">
        <is>
          <t>מעיין יוספי, ניתאי שלום, יונתן לירז, מעיין רחל דינר</t>
        </is>
      </c>
      <c r="H21" s="48" t="n"/>
      <c r="I21" s="48" t="inlineStr">
        <is>
          <t>סעודת שבת</t>
        </is>
      </c>
      <c r="J21" s="21" t="n"/>
    </row>
    <row r="22" ht="30" customHeight="1">
      <c r="A22" s="53" t="inlineStr">
        <is>
          <t>תורנות שבת</t>
        </is>
      </c>
      <c r="B22" s="54" t="inlineStr">
        <is>
          <t>שישי</t>
        </is>
      </c>
      <c r="C22" s="55" t="n">
        <v>0.8125</v>
      </c>
      <c r="D22" s="48" t="inlineStr">
        <is>
          <t>הכנת ארוחת ערב</t>
        </is>
      </c>
      <c r="E22" s="21" t="inlineStr">
        <is>
          <t>הוצאת הגסטרונומים מתנור החימום</t>
        </is>
      </c>
      <c r="F22" s="53" t="n">
        <v>3</v>
      </c>
      <c r="G22" s="31" t="inlineStr">
        <is>
          <t>מעיין יוספי, ניתאי שלום, יונתן לירז</t>
        </is>
      </c>
      <c r="H22" s="48" t="n"/>
      <c r="I22" s="48" t="inlineStr">
        <is>
          <t>סעודת שבת</t>
        </is>
      </c>
      <c r="J22" s="21" t="n"/>
    </row>
    <row r="23" ht="30" customHeight="1">
      <c r="A23" s="53" t="inlineStr">
        <is>
          <t>תורנות שבת</t>
        </is>
      </c>
      <c r="B23" s="54" t="inlineStr">
        <is>
          <t>שישי</t>
        </is>
      </c>
      <c r="C23" s="55" t="n">
        <v>0.8541666666666666</v>
      </c>
      <c r="D23" s="48" t="inlineStr">
        <is>
          <t>פינוי ארוחת ערב</t>
        </is>
      </c>
      <c r="E23" s="21" t="inlineStr">
        <is>
          <t>פינוי הארוחה: האוכל שנשאר למקרר, צלחות וסכו"ם, וניגוב השולחנות</t>
        </is>
      </c>
      <c r="F23" s="53" t="n">
        <v>5</v>
      </c>
      <c r="G23" s="31" t="inlineStr">
        <is>
          <t>בניה מעוז, ניצן גמלא, הלל פינגולד, ינון לוי, ארבל פרנקו</t>
        </is>
      </c>
      <c r="H23" s="48" t="n"/>
      <c r="I23" s="48" t="inlineStr">
        <is>
          <t>טיש</t>
        </is>
      </c>
      <c r="J23" s="21" t="n"/>
    </row>
    <row r="24" ht="30" customHeight="1">
      <c r="A24" s="53" t="inlineStr">
        <is>
          <t>תורנות שבת</t>
        </is>
      </c>
      <c r="B24" s="54" t="inlineStr">
        <is>
          <t>שישי</t>
        </is>
      </c>
      <c r="C24" s="55" t="n"/>
      <c r="D24" s="48" t="inlineStr">
        <is>
          <t>פינוי ארוחת ערב</t>
        </is>
      </c>
      <c r="E24" s="21" t="inlineStr">
        <is>
          <t>שטיפת הגסטרונומים בסיום הטיש</t>
        </is>
      </c>
      <c r="F24" s="53" t="n"/>
      <c r="G24" s="31" t="inlineStr">
        <is>
          <t>בניה מעוז, ניצן גמלא, הלל פינגולד, ינון לוי, ארבל פרנקו</t>
        </is>
      </c>
      <c r="H24" s="48" t="n"/>
      <c r="I24" s="48" t="inlineStr">
        <is>
          <t>טיש</t>
        </is>
      </c>
      <c r="J24" s="21" t="n"/>
    </row>
    <row r="25" ht="30" customHeight="1">
      <c r="A25" s="53" t="inlineStr">
        <is>
          <t>תורנות שבת</t>
        </is>
      </c>
      <c r="B25" s="54" t="inlineStr">
        <is>
          <t>שישי</t>
        </is>
      </c>
      <c r="C25" s="55" t="n">
        <v>0.8541666666666666</v>
      </c>
      <c r="D25" s="48" t="inlineStr">
        <is>
          <t>טיש</t>
        </is>
      </c>
      <c r="E25" s="21" t="inlineStr">
        <is>
          <t>חימום העוגות — הכל פרווה</t>
        </is>
      </c>
      <c r="F25" s="53" t="n">
        <v>2</v>
      </c>
      <c r="G25" s="31" t="inlineStr">
        <is>
          <t>הילה לביא, יואב אוחנה</t>
        </is>
      </c>
      <c r="H25" s="48" t="n"/>
      <c r="I25" s="48" t="inlineStr">
        <is>
          <t>טיש</t>
        </is>
      </c>
      <c r="J25" s="21" t="n"/>
    </row>
    <row r="26" ht="30" customHeight="1">
      <c r="A26" s="53" t="inlineStr">
        <is>
          <t>תורנות שבת</t>
        </is>
      </c>
      <c r="B26" s="54" t="inlineStr">
        <is>
          <t>שישי</t>
        </is>
      </c>
      <c r="C26" s="55" t="n">
        <v>0.8541666666666666</v>
      </c>
      <c r="D26" s="48" t="inlineStr">
        <is>
          <t>טיש</t>
        </is>
      </c>
      <c r="E26" s="21" t="inlineStr">
        <is>
          <t>חיתוך 10 תפוחים</t>
        </is>
      </c>
      <c r="F26" s="53" t="n">
        <v>1</v>
      </c>
      <c r="G26" s="31" t="inlineStr">
        <is>
          <t>אביה וייל</t>
        </is>
      </c>
      <c r="H26" s="48" t="n"/>
      <c r="I26" s="48" t="inlineStr">
        <is>
          <t>טיש</t>
        </is>
      </c>
      <c r="J26" s="21" t="n"/>
    </row>
    <row r="27" ht="30" customHeight="1">
      <c r="A27" s="53" t="inlineStr">
        <is>
          <t>תורנות שבת</t>
        </is>
      </c>
      <c r="B27" s="54" t="inlineStr">
        <is>
          <t>שישי</t>
        </is>
      </c>
      <c r="C27" s="55" t="n">
        <v>0.875</v>
      </c>
      <c r="D27" s="48" t="inlineStr">
        <is>
          <t>טיש</t>
        </is>
      </c>
      <c r="E27" s="21" t="inlineStr">
        <is>
          <t>פריסת שולחן במרכז: העוגות, גרעינים, חצי מהענבים ו-10 התפוחים</t>
        </is>
      </c>
      <c r="F27" s="53" t="n">
        <v>3</v>
      </c>
      <c r="G27" s="31" t="inlineStr">
        <is>
          <t>אלרואי גרינברג, רגב שהם, הילה לביא</t>
        </is>
      </c>
      <c r="H27" s="48" t="n"/>
      <c r="I27" s="48" t="inlineStr">
        <is>
          <t>טיש</t>
        </is>
      </c>
      <c r="J27" s="21" t="n"/>
    </row>
    <row r="28" ht="30" customHeight="1">
      <c r="A28" s="53" t="inlineStr">
        <is>
          <t>תורנות שבת</t>
        </is>
      </c>
      <c r="B28" s="54" t="inlineStr">
        <is>
          <t>שישי</t>
        </is>
      </c>
      <c r="C28" s="55" t="n">
        <v>0.875</v>
      </c>
      <c r="D28" s="48" t="inlineStr">
        <is>
          <t>טיש</t>
        </is>
      </c>
      <c r="E28" s="21" t="inlineStr">
        <is>
          <t>סידור המרחב: שולחנות בקוביה במרכז, כיסאות במעגל מסביב</t>
        </is>
      </c>
      <c r="F28" s="53" t="n">
        <v>2</v>
      </c>
      <c r="G28" s="31" t="inlineStr">
        <is>
          <t>יואב אוחנה, אביה וייל</t>
        </is>
      </c>
      <c r="H28" s="48" t="n"/>
      <c r="I28" s="48" t="inlineStr">
        <is>
          <t>טיש</t>
        </is>
      </c>
      <c r="J28" s="21" t="n"/>
    </row>
    <row r="29" ht="30" customHeight="1">
      <c r="A29" s="53" t="inlineStr">
        <is>
          <t>תורנות שבת</t>
        </is>
      </c>
      <c r="B29" s="54" t="inlineStr">
        <is>
          <t>שישי</t>
        </is>
      </c>
      <c r="C29" s="55" t="n"/>
      <c r="D29" s="48" t="inlineStr">
        <is>
          <t>טיש</t>
        </is>
      </c>
      <c r="E29" s="21" t="inlineStr">
        <is>
          <t>טאטוא חדר האוכל וניקוי השולחנות בסיום הטיש</t>
        </is>
      </c>
      <c r="F29" s="53" t="n"/>
      <c r="G29" s="31" t="inlineStr">
        <is>
          <t>הילה לביא, יואב אוחנה, אביה וייל, אלרואי גרינברג, רגב שהם</t>
        </is>
      </c>
      <c r="H29" s="48" t="n"/>
      <c r="I29" s="48" t="inlineStr">
        <is>
          <t>טיש</t>
        </is>
      </c>
      <c r="J29" s="21" t="n"/>
    </row>
    <row r="30" ht="30" customHeight="1">
      <c r="A30" s="53" t="inlineStr">
        <is>
          <t>תורנות שבת</t>
        </is>
      </c>
      <c r="B30" s="57" t="inlineStr">
        <is>
          <t>שבת</t>
        </is>
      </c>
      <c r="C30" s="55" t="n">
        <v>0.4375</v>
      </c>
      <c r="D30" s="48" t="inlineStr">
        <is>
          <t>קידוש</t>
        </is>
      </c>
      <c r="E30" s="21" t="inlineStr">
        <is>
          <t>סידור וניקיון פינת קפה — להוציא חלב, למלא קפה וסוכר</t>
        </is>
      </c>
      <c r="F30" s="53" t="n">
        <v>1</v>
      </c>
      <c r="G30" s="31" t="inlineStr">
        <is>
          <t>יובל יצחק</t>
        </is>
      </c>
      <c r="H30" s="48" t="n"/>
      <c r="I30" s="48" t="inlineStr">
        <is>
          <t>קידוש</t>
        </is>
      </c>
      <c r="J30" s="21" t="n"/>
    </row>
    <row r="31" ht="30" customHeight="1">
      <c r="A31" s="53" t="inlineStr">
        <is>
          <t>תורנות שבת</t>
        </is>
      </c>
      <c r="B31" s="57" t="inlineStr">
        <is>
          <t>שבת</t>
        </is>
      </c>
      <c r="C31" s="55" t="n">
        <v>0.4375</v>
      </c>
      <c r="D31" s="48" t="inlineStr">
        <is>
          <t>קידוש</t>
        </is>
      </c>
      <c r="E31" s="21" t="inlineStr">
        <is>
          <t>חימום העוגות</t>
        </is>
      </c>
      <c r="F31" s="53" t="n">
        <v>1</v>
      </c>
      <c r="G31" s="31" t="inlineStr">
        <is>
          <t>הדר עמדי</t>
        </is>
      </c>
      <c r="H31" s="48" t="n"/>
      <c r="I31" s="48" t="inlineStr">
        <is>
          <t>קידוש</t>
        </is>
      </c>
      <c r="J31" s="21" t="n"/>
    </row>
    <row r="32" ht="30" customHeight="1">
      <c r="A32" s="53" t="inlineStr">
        <is>
          <t>תורנות שבת</t>
        </is>
      </c>
      <c r="B32" s="57" t="inlineStr">
        <is>
          <t>שבת</t>
        </is>
      </c>
      <c r="C32" s="55" t="n">
        <v>0.4375</v>
      </c>
      <c r="D32" s="48" t="inlineStr">
        <is>
          <t>קידוש</t>
        </is>
      </c>
      <c r="E32" s="21" t="inlineStr">
        <is>
          <t>טאטוא הרצפה, סידור כיסאות וארגון המרחב</t>
        </is>
      </c>
      <c r="F32" s="53" t="n">
        <v>1</v>
      </c>
      <c r="G32" s="31" t="inlineStr">
        <is>
          <t>רוני כהן</t>
        </is>
      </c>
      <c r="H32" s="48" t="n"/>
      <c r="I32" s="48" t="inlineStr">
        <is>
          <t>קידוש</t>
        </is>
      </c>
      <c r="J32" s="21" t="n"/>
    </row>
    <row r="33" ht="30" customHeight="1">
      <c r="A33" s="53" t="inlineStr">
        <is>
          <t>תורנות שבת</t>
        </is>
      </c>
      <c r="B33" s="57" t="inlineStr">
        <is>
          <t>שבת</t>
        </is>
      </c>
      <c r="C33" s="55" t="n">
        <v>0.4375</v>
      </c>
      <c r="D33" s="48" t="inlineStr">
        <is>
          <t>קידוש</t>
        </is>
      </c>
      <c r="E33" s="21" t="inlineStr">
        <is>
          <t>הוצאת העוגות</t>
        </is>
      </c>
      <c r="F33" s="53" t="n">
        <v>1</v>
      </c>
      <c r="G33" s="31" t="inlineStr">
        <is>
          <t>זואי כהן</t>
        </is>
      </c>
      <c r="H33" s="48" t="n"/>
      <c r="I33" s="48" t="inlineStr">
        <is>
          <t>קידוש</t>
        </is>
      </c>
      <c r="J33" s="21" t="n"/>
    </row>
    <row r="34" ht="30" customHeight="1">
      <c r="A34" s="53" t="inlineStr">
        <is>
          <t>תורנות שבת</t>
        </is>
      </c>
      <c r="B34" s="57" t="inlineStr">
        <is>
          <t>שבת</t>
        </is>
      </c>
      <c r="C34" s="55" t="n">
        <v>0.4375</v>
      </c>
      <c r="D34" s="48" t="inlineStr">
        <is>
          <t>קידוש</t>
        </is>
      </c>
      <c r="E34" s="21" t="inlineStr">
        <is>
          <t>הוצאת חלב, קורנפלקס וחצי מהענבים</t>
        </is>
      </c>
      <c r="F34" s="53" t="n">
        <v>1</v>
      </c>
      <c r="G34" s="31" t="inlineStr">
        <is>
          <t>יערה ריס</t>
        </is>
      </c>
      <c r="H34" s="48" t="n"/>
      <c r="I34" s="48" t="inlineStr">
        <is>
          <t>קידוש</t>
        </is>
      </c>
      <c r="J34" s="21" t="n"/>
    </row>
    <row r="35" ht="30" customHeight="1">
      <c r="A35" s="53" t="inlineStr">
        <is>
          <t>תורנות שבת</t>
        </is>
      </c>
      <c r="B35" s="57" t="inlineStr">
        <is>
          <t>שבת</t>
        </is>
      </c>
      <c r="C35" s="55" t="n">
        <v>0.4583333333333333</v>
      </c>
      <c r="D35" s="48" t="inlineStr">
        <is>
          <t>הכנת ארוחת צהריים שבת</t>
        </is>
      </c>
      <c r="E35" s="21" t="inlineStr">
        <is>
          <t>הכנסת האוכל לתנור החימום: כתף בקר, אורז לבן, תפו"א ובטטה, שעועית ירוקה מוקפצת, מוקפץ (טבעוני)</t>
        </is>
      </c>
      <c r="F35" s="53" t="n">
        <v>2</v>
      </c>
      <c r="G35" s="31" t="inlineStr">
        <is>
          <t>איתמר אסנהיים, עמית סיילס</t>
        </is>
      </c>
      <c r="H35" s="48" t="n"/>
      <c r="I35" s="48" t="inlineStr">
        <is>
          <t>קידוש</t>
        </is>
      </c>
      <c r="J35" s="21" t="n"/>
    </row>
    <row r="36" ht="30" customHeight="1">
      <c r="A36" s="53" t="inlineStr">
        <is>
          <t>תורנות שבת</t>
        </is>
      </c>
      <c r="B36" s="57" t="inlineStr">
        <is>
          <t>שבת</t>
        </is>
      </c>
      <c r="C36" s="55" t="n">
        <v>0.5208333333333334</v>
      </c>
      <c r="D36" s="48" t="inlineStr">
        <is>
          <t>הכנת ארוחת צהריים שבת</t>
        </is>
      </c>
      <c r="E36" s="21" t="inlineStr">
        <is>
          <t>עריכת השולחן: הכנת סלט כרוב מרענן, סלט טחינה ביתית, והוצאת שאר הסלטים של שישי, סלטי קייטרינג (סלק מבושל, כרוב בתחמיץ, בטטה צ'ילי, ירקות מוחמצים, חומוס) וחלות</t>
        </is>
      </c>
      <c r="F36" s="53" t="n">
        <v>2</v>
      </c>
      <c r="G36" s="31" t="inlineStr">
        <is>
          <t>קובי סמייסון, עמית שי אברהם</t>
        </is>
      </c>
      <c r="H36" s="48" t="inlineStr">
        <is>
          <t>סלט כרוב מרענן;סלט טחינה ביתית</t>
        </is>
      </c>
      <c r="I36" s="48" t="inlineStr">
        <is>
          <t>ארוחת צהריים</t>
        </is>
      </c>
      <c r="J36" s="21" t="n"/>
    </row>
    <row r="37" ht="30" customHeight="1">
      <c r="A37" s="53" t="inlineStr">
        <is>
          <t>תורנות שבת</t>
        </is>
      </c>
      <c r="B37" s="57" t="inlineStr">
        <is>
          <t>שבת</t>
        </is>
      </c>
      <c r="C37" s="55" t="n">
        <v>0.5208333333333334</v>
      </c>
      <c r="D37" s="48" t="inlineStr">
        <is>
          <t>הכנת ארוחת צהריים שבת</t>
        </is>
      </c>
      <c r="E37" s="21" t="inlineStr">
        <is>
          <t>פריסת האוכל, כפות הגשה, צלחות וסכו"ם, וסידור שולחנות וכיסאות</t>
        </is>
      </c>
      <c r="F37" s="53" t="n">
        <v>2</v>
      </c>
      <c r="G37" s="31" t="inlineStr">
        <is>
          <t>איתמר אסנהיים, עמית סיילס</t>
        </is>
      </c>
      <c r="H37" s="48" t="n"/>
      <c r="I37" s="48" t="inlineStr">
        <is>
          <t>ארוחת צהריים</t>
        </is>
      </c>
      <c r="J37" s="21" t="n"/>
    </row>
    <row r="38" ht="30" customHeight="1">
      <c r="A38" s="53" t="inlineStr">
        <is>
          <t>תורנות שבת</t>
        </is>
      </c>
      <c r="B38" s="57" t="inlineStr">
        <is>
          <t>שבת</t>
        </is>
      </c>
      <c r="C38" s="55" t="n">
        <v>0.5833333333333334</v>
      </c>
      <c r="D38" s="48" t="inlineStr">
        <is>
          <t>פינוי ארוחת צהריים שבת</t>
        </is>
      </c>
      <c r="E38" s="21" t="inlineStr">
        <is>
          <t>פינוי השולחנות: האוכל שנשאר למקרר, צלחות וסכו"ם, וניגוב השולחנות</t>
        </is>
      </c>
      <c r="F38" s="53" t="n">
        <v>5</v>
      </c>
      <c r="G38" s="31" t="inlineStr">
        <is>
          <t>מאיה פקטר, שחר קרן, שירה ספונוב, אלה גוטליב, אחיה נחמני</t>
        </is>
      </c>
      <c r="H38" s="48" t="n"/>
      <c r="I38" s="48" t="inlineStr">
        <is>
          <t>ארוחת צהריים</t>
        </is>
      </c>
      <c r="J38" s="21" t="n"/>
    </row>
    <row r="39" ht="30" customHeight="1">
      <c r="A39" s="53" t="inlineStr">
        <is>
          <t>תורנות שבת</t>
        </is>
      </c>
      <c r="B39" s="57" t="inlineStr">
        <is>
          <t>שבת</t>
        </is>
      </c>
      <c r="C39" s="55" t="n"/>
      <c r="D39" s="48" t="inlineStr">
        <is>
          <t>פינוי ארוחת צהריים שבת</t>
        </is>
      </c>
      <c r="E39" s="21" t="inlineStr">
        <is>
          <t>שטיפת הגסטרונומים בסיום הארוחה</t>
        </is>
      </c>
      <c r="F39" s="53" t="n"/>
      <c r="G39" s="31" t="inlineStr">
        <is>
          <t>מאיה פקטר, שחר קרן, שירה ספונוב, אלה גוטליב, אחיה נחמני</t>
        </is>
      </c>
      <c r="H39" s="48" t="n"/>
      <c r="I39" s="48" t="inlineStr">
        <is>
          <t>ארוחת צהריים</t>
        </is>
      </c>
      <c r="J39" s="21" t="n"/>
    </row>
    <row r="40" ht="30" customHeight="1">
      <c r="A40" s="53" t="inlineStr">
        <is>
          <t>תורנות שבת</t>
        </is>
      </c>
      <c r="B40" s="57" t="inlineStr">
        <is>
          <t>שבת</t>
        </is>
      </c>
      <c r="C40" s="55" t="n">
        <v>0.71875</v>
      </c>
      <c r="D40" s="48" t="inlineStr">
        <is>
          <t>פינוי ארוחת צהריים שבת</t>
        </is>
      </c>
      <c r="E40" s="21" t="inlineStr">
        <is>
          <t>הוצאת העוגות לסעודה שלישית</t>
        </is>
      </c>
      <c r="F40" s="53" t="n">
        <v>2</v>
      </c>
      <c r="G40" s="31" t="inlineStr">
        <is>
          <t>מאיה פקטר, שחר קרן</t>
        </is>
      </c>
      <c r="H40" s="48" t="n"/>
      <c r="I40" s="48" t="inlineStr">
        <is>
          <t>סעודה שלישית</t>
        </is>
      </c>
      <c r="J40" s="21" t="n"/>
    </row>
    <row r="41" ht="30" customHeight="1">
      <c r="A41" s="53" t="inlineStr">
        <is>
          <t>תורנות מוצ"ש</t>
        </is>
      </c>
      <c r="B41" s="56" t="inlineStr">
        <is>
          <t>מוצאי שבת</t>
        </is>
      </c>
      <c r="C41" s="55" t="n"/>
      <c r="D41" s="48" t="inlineStr">
        <is>
          <t>ניקיון בית המדרש</t>
        </is>
      </c>
      <c r="E41" s="21" t="inlineStr">
        <is>
          <t>ניקיון בית המדרש</t>
        </is>
      </c>
      <c r="F41" s="53" t="n">
        <v>12</v>
      </c>
      <c r="G41" s="31" t="inlineStr">
        <is>
          <t>יונתן לירז, ניתאי שלום, אביה וייל, יואב אוחנה, מעיין יוספי, ינון לוי, ארבל פרנקו, נגה חוה כהן, יהב לוי, תמר פרימור, ירדן בן שחר, הילי אלפסי</t>
        </is>
      </c>
      <c r="H41" s="48" t="n"/>
      <c r="I41" s="48" t="inlineStr">
        <is>
          <t>ניקיונות מוצ"ש</t>
        </is>
      </c>
      <c r="J41" s="21" t="n"/>
    </row>
    <row r="42" ht="30" customHeight="1">
      <c r="A42" s="53" t="inlineStr">
        <is>
          <t>תורנות מוצ"ש</t>
        </is>
      </c>
      <c r="B42" s="56" t="inlineStr">
        <is>
          <t>מוצאי שבת</t>
        </is>
      </c>
      <c r="C42" s="55" t="n"/>
      <c r="D42" s="48" t="inlineStr">
        <is>
          <t>ניקיון חדר האוכל</t>
        </is>
      </c>
      <c r="E42" s="21" t="inlineStr">
        <is>
          <t>ניקיון חדר האוכל</t>
        </is>
      </c>
      <c r="F42" s="53" t="n">
        <v>12</v>
      </c>
      <c r="G42" s="31" t="inlineStr">
        <is>
          <t>משה אוברשטיין, נבו בלוך, שילת פילפל, אלה מאיר, תמר פרידמן, רותם דרור, עופר בביוף, נועם ישראל קומפאס, כליל בלאוקופף, איתן כהן, של״ו רובינשטיין, אנה עזריאל</t>
        </is>
      </c>
      <c r="H42" s="48" t="n"/>
      <c r="I42" s="48" t="inlineStr">
        <is>
          <t>ניקיונות מוצ"ש</t>
        </is>
      </c>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אלרואי גרינברג</t>
        </is>
      </c>
      <c r="E3" s="31" t="inlineStr">
        <is>
          <t>אלרואי גרינברג, ניצן גמלא, רגב שהם, הלל פינגולד, בניה מעוז</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מעיין רחל דינר</t>
        </is>
      </c>
      <c r="E4" s="31" t="inlineStr">
        <is>
          <t>רוני כהן, מעיין רחל דינר, הדר עמדי</t>
        </is>
      </c>
      <c r="F4" s="50">
        <f>IF(E4="","",LEN(E4)-LEN(SUBSTITUTE(E4,",",""))+1)</f>
        <v/>
      </c>
      <c r="G4" s="50">
        <f>IF(A4="","",COUNTIF('משימות'!$D$3:$D$122,A4))</f>
        <v/>
      </c>
    </row>
    <row r="5" ht="30" customHeight="1">
      <c r="A5" s="47" t="inlineStr">
        <is>
          <t>עוגת שוקולד</t>
        </is>
      </c>
      <c r="B5" s="53" t="inlineStr">
        <is>
          <t>הכנות שישי</t>
        </is>
      </c>
      <c r="C5" s="53" t="n">
        <v>3</v>
      </c>
      <c r="D5" s="34" t="inlineStr">
        <is>
          <t>זואי כהן</t>
        </is>
      </c>
      <c r="E5" s="31" t="inlineStr">
        <is>
          <t>זואי כהן, עמית סיילס, שחר קרן, עמית שי אברהם</t>
        </is>
      </c>
      <c r="F5" s="50">
        <f>IF(E5="","",LEN(E5)-LEN(SUBSTITUTE(E5,",",""))+1)</f>
        <v/>
      </c>
      <c r="G5" s="50">
        <f>IF(A5="","",COUNTIF('משימות'!$D$3:$D$122,A5))</f>
        <v/>
      </c>
    </row>
    <row r="6" ht="30" customHeight="1">
      <c r="A6" s="47" t="inlineStr">
        <is>
          <t>עוגת שמרים</t>
        </is>
      </c>
      <c r="B6" s="53" t="inlineStr">
        <is>
          <t>הכנות שישי</t>
        </is>
      </c>
      <c r="C6" s="53" t="n">
        <v>3</v>
      </c>
      <c r="D6" s="34" t="inlineStr">
        <is>
          <t>אחיה נחמני</t>
        </is>
      </c>
      <c r="E6" s="31" t="inlineStr">
        <is>
          <t>שירה ספונוב, אחיה נחמני, אלה גוטליב, מאיה פקטר</t>
        </is>
      </c>
      <c r="F6" s="50">
        <f>IF(E6="","",LEN(E6)-LEN(SUBSTITUTE(E6,",",""))+1)</f>
        <v/>
      </c>
      <c r="G6" s="50">
        <f>IF(A6="","",COUNTIF('משימות'!$D$3:$D$122,A6))</f>
        <v/>
      </c>
    </row>
    <row r="7" ht="30" customHeight="1">
      <c r="A7" s="47" t="inlineStr">
        <is>
          <t>מטבוחה</t>
        </is>
      </c>
      <c r="B7" s="53" t="inlineStr">
        <is>
          <t>הכנות שישי</t>
        </is>
      </c>
      <c r="C7" s="53" t="n">
        <v>3</v>
      </c>
      <c r="D7" s="34" t="inlineStr">
        <is>
          <t>איתי בן מנחם</t>
        </is>
      </c>
      <c r="E7" s="31" t="inlineStr">
        <is>
          <t>קובי סמייסון, יערה ריס, נבו בלוך, איתי בן מנחם</t>
        </is>
      </c>
      <c r="F7" s="50">
        <f>IF(E7="","",LEN(E7)-LEN(SUBSTITUTE(E7,",",""))+1)</f>
        <v/>
      </c>
      <c r="G7" s="50">
        <f>IF(A7="","",COUNTIF('משימות'!$D$3:$D$122,A7))</f>
        <v/>
      </c>
    </row>
    <row r="8" ht="30" customHeight="1">
      <c r="A8" s="47" t="inlineStr">
        <is>
          <t>סלט חצילים</t>
        </is>
      </c>
      <c r="B8" s="53" t="inlineStr">
        <is>
          <t>הכנות שישי</t>
        </is>
      </c>
      <c r="C8" s="53" t="n">
        <v>3</v>
      </c>
      <c r="D8" s="34" t="inlineStr">
        <is>
          <t>איתן כהן</t>
        </is>
      </c>
      <c r="E8" s="31" t="inlineStr">
        <is>
          <t>איתן כהן, יהב לוי</t>
        </is>
      </c>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אלה מאיר</t>
        </is>
      </c>
      <c r="E9" s="31" t="inlineStr">
        <is>
          <t>אלה מאיר, תמר פרימור, רועי צבי סרי, עופר בביוף</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יובל יצחק</t>
        </is>
      </c>
      <c r="E10" s="31" t="inlineStr">
        <is>
          <t>נגה חוה כהן, ירדן בן שחר, טליה קור, יובל יצחק</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איתמר אסנהיים</t>
        </is>
      </c>
      <c r="E11" s="31" t="inlineStr">
        <is>
          <t>אוריה תעשה, משה אוברשטיין, הילה לביא, שילת פילפל, תמר פרידמן, שחר מרקוביץ' גליק, אנה עזריאל, נועם ישראל קומפאס, של״ו רובינשטיין, רוני פרנקל, איתמר אסנהיים, חיים שמאי</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איתן וינסטון</t>
        </is>
      </c>
      <c r="E12" s="31" t="inlineStr">
        <is>
          <t>כליל בלאוקופף, הילי אלפסי, נגה שוהם, נדב טוקר, איתן וינסטון, שי- לי וולגמוט, הילה עזרא</t>
        </is>
      </c>
      <c r="F12" s="50">
        <f>IF(E12="","",LEN(E12)-LEN(SUBSTITUTE(E12,",",""))+1)</f>
        <v/>
      </c>
      <c r="G12" s="50">
        <f>IF(A12="","",COUNTIF('משימות'!$D$3:$D$122,A12))</f>
        <v/>
      </c>
    </row>
    <row r="13" ht="30" customHeight="1">
      <c r="A13" s="47" t="inlineStr">
        <is>
          <t>הכנת ארוחת ערב</t>
        </is>
      </c>
      <c r="B13" s="53" t="inlineStr">
        <is>
          <t>תורנות שבת</t>
        </is>
      </c>
      <c r="C13" s="53" t="n">
        <v>2</v>
      </c>
      <c r="D13" s="34" t="inlineStr">
        <is>
          <t>מעיין רחל דינר</t>
        </is>
      </c>
      <c r="E13" s="31" t="inlineStr">
        <is>
          <t>מעיין רחל דינר, מעיין יוספי, ניתאי שלום, יונתן לירז</t>
        </is>
      </c>
      <c r="F13" s="50">
        <f>IF(E13="","",LEN(E13)-LEN(SUBSTITUTE(E13,",",""))+1)</f>
        <v/>
      </c>
      <c r="G13" s="50">
        <f>IF(A13="","",COUNTIF('משימות'!$D$3:$D$122,A13))</f>
        <v/>
      </c>
    </row>
    <row r="14" ht="30" customHeight="1">
      <c r="A14" s="47" t="inlineStr">
        <is>
          <t>פינוי ארוחת ערב</t>
        </is>
      </c>
      <c r="B14" s="53" t="inlineStr">
        <is>
          <t>תורנות שבת</t>
        </is>
      </c>
      <c r="C14" s="53" t="n">
        <v>2</v>
      </c>
      <c r="D14" s="34" t="inlineStr">
        <is>
          <t>ארבל פרנקו</t>
        </is>
      </c>
      <c r="E14" s="31" t="inlineStr">
        <is>
          <t>בניה מעוז, ניצן גמלא, הלל פינגולד, ינון לוי, ארבל פרנקו</t>
        </is>
      </c>
      <c r="F14" s="50">
        <f>IF(E14="","",LEN(E14)-LEN(SUBSTITUTE(E14,",",""))+1)</f>
        <v/>
      </c>
      <c r="G14" s="50">
        <f>IF(A14="","",COUNTIF('משימות'!$D$3:$D$122,A14))</f>
        <v/>
      </c>
    </row>
    <row r="15" ht="30" customHeight="1">
      <c r="A15" s="47" t="inlineStr">
        <is>
          <t>טיש</t>
        </is>
      </c>
      <c r="B15" s="53" t="inlineStr">
        <is>
          <t>תורנות שבת</t>
        </is>
      </c>
      <c r="C15" s="53" t="n">
        <v>1</v>
      </c>
      <c r="D15" s="34" t="inlineStr">
        <is>
          <t>הילה לביא</t>
        </is>
      </c>
      <c r="E15" s="31" t="inlineStr">
        <is>
          <t>הילה לביא, יואב אוחנה, אביה וייל, אלרואי גרינברג, רגב שהם</t>
        </is>
      </c>
      <c r="F15" s="50">
        <f>IF(E15="","",LEN(E15)-LEN(SUBSTITUTE(E15,",",""))+1)</f>
        <v/>
      </c>
      <c r="G15" s="50">
        <f>IF(A15="","",COUNTIF('משימות'!$D$3:$D$122,A15))</f>
        <v/>
      </c>
    </row>
    <row r="16" ht="30" customHeight="1">
      <c r="A16" s="47" t="inlineStr">
        <is>
          <t>קידוש</t>
        </is>
      </c>
      <c r="B16" s="53" t="inlineStr">
        <is>
          <t>תורנות שבת</t>
        </is>
      </c>
      <c r="C16" s="53" t="n">
        <v>1</v>
      </c>
      <c r="D16" s="34" t="inlineStr">
        <is>
          <t>יובל יצחק</t>
        </is>
      </c>
      <c r="E16" s="31" t="inlineStr">
        <is>
          <t>יובל יצחק, הדר עמדי, רוני כהן, זואי כהן, יערה ריס</t>
        </is>
      </c>
      <c r="F16" s="50">
        <f>IF(E16="","",LEN(E16)-LEN(SUBSTITUTE(E16,",",""))+1)</f>
        <v/>
      </c>
      <c r="G16" s="50">
        <f>IF(A16="","",COUNTIF('משימות'!$D$3:$D$122,A16))</f>
        <v/>
      </c>
    </row>
    <row r="17" ht="30" customHeight="1">
      <c r="A17" s="47" t="inlineStr">
        <is>
          <t>הכנת ארוחת צהריים שבת</t>
        </is>
      </c>
      <c r="B17" s="53" t="inlineStr">
        <is>
          <t>תורנות שבת</t>
        </is>
      </c>
      <c r="C17" s="53" t="n">
        <v>2</v>
      </c>
      <c r="D17" s="34" t="inlineStr">
        <is>
          <t>איתמר אסנהיים</t>
        </is>
      </c>
      <c r="E17" s="31" t="inlineStr">
        <is>
          <t>איתמר אסנהיים, עמית סיילס, קובי סמייסון, עמית שי אברהם</t>
        </is>
      </c>
      <c r="F17" s="50">
        <f>IF(E17="","",LEN(E17)-LEN(SUBSTITUTE(E17,",",""))+1)</f>
        <v/>
      </c>
      <c r="G17" s="50">
        <f>IF(A17="","",COUNTIF('משימות'!$D$3:$D$122,A17))</f>
        <v/>
      </c>
    </row>
    <row r="18" ht="30" customHeight="1">
      <c r="A18" s="47" t="inlineStr">
        <is>
          <t>פינוי ארוחת צהריים שבת</t>
        </is>
      </c>
      <c r="B18" s="53" t="inlineStr">
        <is>
          <t>תורנות שבת</t>
        </is>
      </c>
      <c r="C18" s="53" t="n">
        <v>2</v>
      </c>
      <c r="D18" s="34" t="inlineStr">
        <is>
          <t>אחיה נחמני</t>
        </is>
      </c>
      <c r="E18" s="31" t="inlineStr">
        <is>
          <t>מאיה פקטר, שחר קרן, שירה ספונוב, אלה גוטליב, אחיה נחמני</t>
        </is>
      </c>
      <c r="F18" s="50">
        <f>IF(E18="","",LEN(E18)-LEN(SUBSTITUTE(E18,",",""))+1)</f>
        <v/>
      </c>
      <c r="G18" s="50">
        <f>IF(A18="","",COUNTIF('משימות'!$D$3:$D$122,A18))</f>
        <v/>
      </c>
    </row>
    <row r="19" ht="30" customHeight="1">
      <c r="A19" s="47" t="inlineStr">
        <is>
          <t>ניקיון בית המדרש</t>
        </is>
      </c>
      <c r="B19" s="53" t="inlineStr">
        <is>
          <t>תורנות מוצ"ש</t>
        </is>
      </c>
      <c r="C19" s="53" t="n">
        <v>2</v>
      </c>
      <c r="D19" s="34" t="inlineStr">
        <is>
          <t>מעיין יוספי</t>
        </is>
      </c>
      <c r="E19" s="31" t="inlineStr">
        <is>
          <t>יונתן לירז, ניתאי שלום, אביה וייל, יואב אוחנה, מעיין יוספי, ינון לוי, ארבל פרנקו, נגה חוה כהן, יהב לוי, תמר פרימור, ירדן בן שחר, הילי אלפסי</t>
        </is>
      </c>
      <c r="F19" s="50">
        <f>IF(E19="","",LEN(E19)-LEN(SUBSTITUTE(E19,",",""))+1)</f>
        <v/>
      </c>
      <c r="G19" s="50">
        <f>IF(A19="","",COUNTIF('משימות'!$D$3:$D$122,A19))</f>
        <v/>
      </c>
    </row>
    <row r="20" ht="30" customHeight="1">
      <c r="A20" s="47" t="inlineStr">
        <is>
          <t>ניקיון חדר האוכל</t>
        </is>
      </c>
      <c r="B20" s="53" t="inlineStr">
        <is>
          <t>תורנות מוצ"ש</t>
        </is>
      </c>
      <c r="C20" s="53" t="n">
        <v>3</v>
      </c>
      <c r="D20" s="34" t="inlineStr">
        <is>
          <t>רותם דרור</t>
        </is>
      </c>
      <c r="E20" s="31" t="inlineStr">
        <is>
          <t>משה אוברשטיין, נבו בלוך, שילת פילפל, אלה מאיר, תמר פרידמן, רותם דרור, עופר בביוף, נועם ישראל קומפאס, כליל בלאוקופף, איתן כהן, של״ו רובינשטיין, אנה עזריאל</t>
        </is>
      </c>
      <c r="F20" s="50">
        <f>IF(E20="","",LEN(E20)-LEN(SUBSTITUTE(E20,",",""))+1)</f>
        <v/>
      </c>
      <c r="G20" s="50">
        <f>IF(A20="","",COUNTIF('משימות'!$D$3:$D$122,A20))</f>
        <v/>
      </c>
    </row>
    <row r="21" ht="30" customHeight="1">
      <c r="A21" s="47" t="inlineStr">
        <is>
          <t>ארוחת ערב מוצ"ש</t>
        </is>
      </c>
      <c r="B21" s="53" t="inlineStr">
        <is>
          <t>תורנות מוצ"ש</t>
        </is>
      </c>
      <c r="C21" s="53" t="n">
        <v>3</v>
      </c>
      <c r="D21" s="34" t="inlineStr">
        <is>
          <t>אוריה תעשה</t>
        </is>
      </c>
      <c r="E21" s="31" t="inlineStr">
        <is>
          <t>שחר מרקוביץ' גליק, אוריה תעשה, רועי צבי סרי, איתי בן מנחם, טליה קור</t>
        </is>
      </c>
      <c r="F21" s="50">
        <f>IF(E21="","",LEN(E21)-LEN(SUBSTITUTE(E21,",",""))+1)</f>
        <v/>
      </c>
      <c r="G21" s="50">
        <f>IF(A21="","",COUNTIF('משימות'!$D$3:$D$122,A21))</f>
        <v/>
      </c>
    </row>
    <row r="22" ht="18" customHeight="1">
      <c r="A22" s="47" t="n"/>
      <c r="B22" s="53" t="n"/>
      <c r="C22" s="53" t="n"/>
      <c r="D22" s="34" t="n"/>
      <c r="E22" s="31" t="n"/>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הכנת ארוחת ערב; ניקיון בית המדרש</t>
        </is>
      </c>
      <c r="F3" s="50">
        <f>IF(A3="","",COUNTIF('משימות'!$G$3:$G$122,"*"&amp;A3&amp;"*"))</f>
        <v/>
      </c>
      <c r="G3" s="35" t="n">
        <v>4</v>
      </c>
      <c r="H3" s="50">
        <f>IF(A3="","",SUMIF('היסטוריה'!$B$3:$B$3002,A3,'היסטוריה'!$E$3:$E$3002))</f>
        <v/>
      </c>
      <c r="I3" s="34" t="n"/>
    </row>
    <row r="4">
      <c r="A4" s="48" t="inlineStr">
        <is>
          <t>איתן וינסטון</t>
        </is>
      </c>
      <c r="B4" s="53" t="inlineStr">
        <is>
          <t>מדרשה</t>
        </is>
      </c>
      <c r="C4" s="35" t="inlineStr">
        <is>
          <t>אבי</t>
        </is>
      </c>
      <c r="D4" s="35" t="inlineStr">
        <is>
          <t>כן</t>
        </is>
      </c>
      <c r="E4" s="34" t="inlineStr">
        <is>
          <t>ניקיון חדר האוכל בשישי</t>
        </is>
      </c>
      <c r="F4" s="50">
        <f>IF(A4="","",COUNTIF('משימות'!$G$3:$G$122,"*"&amp;A4&amp;"*"))</f>
        <v/>
      </c>
      <c r="G4" s="35" t="n">
        <v>3</v>
      </c>
      <c r="H4" s="50">
        <f>IF(A4="","",SUMIF('היסטוריה'!$B$3:$B$3002,A4,'היסטוריה'!$E$3:$E$3002))</f>
        <v/>
      </c>
      <c r="I4" s="34" t="n"/>
    </row>
    <row r="5">
      <c r="A5" s="48" t="inlineStr">
        <is>
          <t>יובל יצחק</t>
        </is>
      </c>
      <c r="B5" s="53" t="inlineStr">
        <is>
          <t>מדרשה</t>
        </is>
      </c>
      <c r="C5" s="35" t="inlineStr">
        <is>
          <t>בניה</t>
        </is>
      </c>
      <c r="D5" s="35" t="inlineStr">
        <is>
          <t>כן</t>
        </is>
      </c>
      <c r="E5" s="34" t="inlineStr">
        <is>
          <t>ארוחת צהריים שישי; קידוש</t>
        </is>
      </c>
      <c r="F5" s="50">
        <f>IF(A5="","",COUNTIF('משימות'!$G$3:$G$122,"*"&amp;A5&amp;"*"))</f>
        <v/>
      </c>
      <c r="G5" s="35" t="n">
        <v>4</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ניקיון חדר האוכל בשישי; ניקיון בית המדרש</t>
        </is>
      </c>
      <c r="F6" s="50">
        <f>IF(A6="","",COUNTIF('משימות'!$G$3:$G$122,"*"&amp;A6&amp;"*"))</f>
        <v/>
      </c>
      <c r="G6" s="35" t="n">
        <v>5</v>
      </c>
      <c r="H6" s="50">
        <f>IF(A6="","",SUMIF('היסטוריה'!$B$3:$B$3002,A6,'היסטוריה'!$E$3:$E$3002))</f>
        <v/>
      </c>
      <c r="I6" s="34" t="n"/>
    </row>
    <row r="7">
      <c r="A7" s="48" t="inlineStr">
        <is>
          <t>יהב לוי</t>
        </is>
      </c>
      <c r="B7" s="53" t="inlineStr">
        <is>
          <t>מדרשה</t>
        </is>
      </c>
      <c r="C7" s="35" t="inlineStr">
        <is>
          <t>יואב</t>
        </is>
      </c>
      <c r="D7" s="35" t="inlineStr">
        <is>
          <t>כן</t>
        </is>
      </c>
      <c r="E7" s="34" t="inlineStr">
        <is>
          <t>סלט חצילים; ניקיון בית המדרש</t>
        </is>
      </c>
      <c r="F7" s="50">
        <f>IF(A7="","",COUNTIF('משימות'!$G$3:$G$122,"*"&amp;A7&amp;"*"))</f>
        <v/>
      </c>
      <c r="G7" s="35" t="n">
        <v>5</v>
      </c>
      <c r="H7" s="50">
        <f>IF(A7="","",SUMIF('היסטוריה'!$B$3:$B$3002,A7,'היסטוריה'!$E$3:$E$3002))</f>
        <v/>
      </c>
      <c r="I7" s="34" t="n"/>
    </row>
    <row r="8">
      <c r="A8" s="48" t="inlineStr">
        <is>
          <t>שחר קרן</t>
        </is>
      </c>
      <c r="B8" s="53" t="inlineStr">
        <is>
          <t>מדרשה</t>
        </is>
      </c>
      <c r="C8" s="35" t="inlineStr">
        <is>
          <t>הילה</t>
        </is>
      </c>
      <c r="D8" s="35" t="inlineStr">
        <is>
          <t>כן</t>
        </is>
      </c>
      <c r="E8" s="34" t="inlineStr">
        <is>
          <t>עוגת שוקולד; פינוי ארוחת צהריים שבת</t>
        </is>
      </c>
      <c r="F8" s="50">
        <f>IF(A8="","",COUNTIF('משימות'!$G$3:$G$122,"*"&amp;A8&amp;"*"))</f>
        <v/>
      </c>
      <c r="G8" s="35" t="n">
        <v>5</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ארוחת צהריים שישי; ניקיון בית המדרש</t>
        </is>
      </c>
      <c r="F9" s="50">
        <f>IF(A9="","",COUNTIF('משימות'!$G$3:$G$122,"*"&amp;A9&amp;"*"))</f>
        <v/>
      </c>
      <c r="G9" s="35" t="n">
        <v>5</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עוגת שמרים; פינוי ארוחת צהריים שבת</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inlineStr">
        <is>
          <t>יואב</t>
        </is>
      </c>
      <c r="D11" s="35" t="inlineStr">
        <is>
          <t>כן</t>
        </is>
      </c>
      <c r="E11" s="34" t="inlineStr">
        <is>
          <t>הכנת ארוחת ערב; ניקיון בית המדרש</t>
        </is>
      </c>
      <c r="F11" s="50">
        <f>IF(A11="","",COUNTIF('משימות'!$G$3:$G$122,"*"&amp;A11&amp;"*"))</f>
        <v/>
      </c>
      <c r="G11" s="35" t="n">
        <v>4</v>
      </c>
      <c r="H11" s="50">
        <f>IF(A11="","",SUMIF('היסטוריה'!$B$3:$B$3002,A11,'היסטוריה'!$E$3:$E$3002))</f>
        <v/>
      </c>
      <c r="I11" s="34" t="n"/>
    </row>
    <row r="12">
      <c r="A12" s="48" t="inlineStr">
        <is>
          <t>עמית סיילס</t>
        </is>
      </c>
      <c r="B12" s="53" t="inlineStr">
        <is>
          <t>מדרשה</t>
        </is>
      </c>
      <c r="C12" s="35" t="inlineStr">
        <is>
          <t>תמר</t>
        </is>
      </c>
      <c r="D12" s="35" t="inlineStr">
        <is>
          <t>כן</t>
        </is>
      </c>
      <c r="E12" s="34" t="inlineStr">
        <is>
          <t>עוגת שוקולד; הכנת ארוחת צהריים שבת</t>
        </is>
      </c>
      <c r="F12" s="50">
        <f>IF(A12="","",COUNTIF('משימות'!$G$3:$G$122,"*"&amp;A12&amp;"*"))</f>
        <v/>
      </c>
      <c r="G12" s="35" t="n">
        <v>5</v>
      </c>
      <c r="H12" s="50">
        <f>IF(A12="","",SUMIF('היסטוריה'!$B$3:$B$3002,A12,'היסטוריה'!$E$3:$E$3002))</f>
        <v/>
      </c>
      <c r="I12" s="34" t="n"/>
    </row>
    <row r="13">
      <c r="A13" s="48" t="inlineStr">
        <is>
          <t>אריאלה מרכוס</t>
        </is>
      </c>
      <c r="B13" s="53" t="inlineStr">
        <is>
          <t>מדרשה</t>
        </is>
      </c>
      <c r="C13" s="35" t="n"/>
      <c r="D13" s="35" t="n"/>
      <c r="E13" s="34" t="n"/>
      <c r="F13" s="50">
        <f>IF(A13="","",COUNTIF('משימות'!$G$3:$G$122,"*"&amp;A13&amp;"*"))</f>
        <v/>
      </c>
      <c r="G13" s="35" t="n"/>
      <c r="H13" s="50">
        <f>IF(A13="","",SUMIF('היסטוריה'!$B$3:$B$3002,A13,'היסטוריה'!$E$3:$E$3002))</f>
        <v/>
      </c>
      <c r="I13" s="34" t="inlineStr">
        <is>
          <t>לא נוכח/ת</t>
        </is>
      </c>
    </row>
    <row r="14">
      <c r="A14" s="48" t="inlineStr">
        <is>
          <t>משה אוברשטיין</t>
        </is>
      </c>
      <c r="B14" s="53" t="inlineStr">
        <is>
          <t>מדרשה</t>
        </is>
      </c>
      <c r="C14" s="35" t="inlineStr">
        <is>
          <t>תמר</t>
        </is>
      </c>
      <c r="D14" s="35" t="inlineStr">
        <is>
          <t>כן</t>
        </is>
      </c>
      <c r="E14" s="34" t="inlineStr">
        <is>
          <t>בית מדרש; ניקיון חדר האוכל</t>
        </is>
      </c>
      <c r="F14" s="50">
        <f>IF(A14="","",COUNTIF('משימות'!$G$3:$G$122,"*"&amp;A14&amp;"*"))</f>
        <v/>
      </c>
      <c r="G14" s="35" t="n">
        <v>6</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 ארוחת ערב מוצ"ש</t>
        </is>
      </c>
      <c r="F15" s="50">
        <f>IF(A15="","",COUNTIF('משימות'!$G$3:$G$122,"*"&amp;A15&amp;"*"))</f>
        <v/>
      </c>
      <c r="G15" s="35" t="n">
        <v>6</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הכנת ארוחת ערב; ניקיון בית המדרש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n"/>
      <c r="E17" s="34" t="n"/>
      <c r="F17" s="50">
        <f>IF(A17="","",COUNTIF('משימות'!$G$3:$G$122,"*"&amp;A17&amp;"*"))</f>
        <v/>
      </c>
      <c r="G17" s="35" t="n"/>
      <c r="H17" s="50">
        <f>IF(A17="","",SUMIF('היסטוריה'!$B$3:$B$3002,A17,'היסטוריה'!$E$3:$E$3002))</f>
        <v/>
      </c>
      <c r="I17" s="34" t="inlineStr">
        <is>
          <t>לא נוכח/ת</t>
        </is>
      </c>
    </row>
    <row r="18">
      <c r="A18" s="48" t="inlineStr">
        <is>
          <t>נדב טוקר</t>
        </is>
      </c>
      <c r="B18" s="53" t="inlineStr">
        <is>
          <t>מדרשה</t>
        </is>
      </c>
      <c r="C18" s="35" t="inlineStr">
        <is>
          <t>בניה</t>
        </is>
      </c>
      <c r="D18" s="35" t="inlineStr">
        <is>
          <t>כן</t>
        </is>
      </c>
      <c r="E18" s="34" t="inlineStr">
        <is>
          <t>ניקיון חדר האוכל בשישי</t>
        </is>
      </c>
      <c r="F18" s="50">
        <f>IF(A18="","",COUNTIF('משימות'!$G$3:$G$122,"*"&amp;A18&amp;"*"))</f>
        <v/>
      </c>
      <c r="G18" s="35" t="n">
        <v>3</v>
      </c>
      <c r="H18" s="50">
        <f>IF(A18="","",SUMIF('היסטוריה'!$B$3:$B$3002,A18,'היסטוריה'!$E$3:$E$3002))</f>
        <v/>
      </c>
      <c r="I18" s="34" t="n"/>
    </row>
    <row r="19">
      <c r="A19" s="48" t="inlineStr">
        <is>
          <t>הדר עמדי</t>
        </is>
      </c>
      <c r="B19" s="53" t="inlineStr">
        <is>
          <t>מדרשה</t>
        </is>
      </c>
      <c r="C19" s="35" t="inlineStr">
        <is>
          <t>תמר</t>
        </is>
      </c>
      <c r="D19" s="35" t="inlineStr">
        <is>
          <t>כן</t>
        </is>
      </c>
      <c r="E19" s="34" t="inlineStr">
        <is>
          <t>בראוניז ללא גלוטן; קידוש</t>
        </is>
      </c>
      <c r="F19" s="50">
        <f>IF(A19="","",COUNTIF('משימות'!$G$3:$G$122,"*"&amp;A19&amp;"*"))</f>
        <v/>
      </c>
      <c r="G19" s="35" t="n">
        <v>4</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טיש; ניקיון בית המדרש</t>
        </is>
      </c>
      <c r="F20" s="50">
        <f>IF(A20="","",COUNTIF('משימות'!$G$3:$G$122,"*"&amp;A20&amp;"*"))</f>
        <v/>
      </c>
      <c r="G20" s="35" t="n">
        <v>3</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עוגיות שוקולד צ'יפס; ניקיון חדר האוכל</t>
        </is>
      </c>
      <c r="F21" s="50">
        <f>IF(A21="","",COUNTIF('משימות'!$G$3:$G$122,"*"&amp;A21&amp;"*"))</f>
        <v/>
      </c>
      <c r="G21" s="35" t="n">
        <v>6</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inlineStr">
        <is>
          <t>ניקיון חדר האוכל בשישי</t>
        </is>
      </c>
      <c r="F22" s="50">
        <f>IF(A22="","",COUNTIF('משימות'!$G$3:$G$122,"*"&amp;A22&amp;"*"))</f>
        <v/>
      </c>
      <c r="G22" s="35" t="n">
        <v>3</v>
      </c>
      <c r="H22" s="50">
        <f>IF(A22="","",SUMIF('היסטוריה'!$B$3:$B$3002,A22,'היסטוריה'!$E$3:$E$3002))</f>
        <v/>
      </c>
      <c r="I22" s="34" t="n"/>
    </row>
    <row r="23">
      <c r="A23" s="48" t="inlineStr">
        <is>
          <t>בניה מעוז</t>
        </is>
      </c>
      <c r="B23" s="53" t="inlineStr">
        <is>
          <t>מדרשה</t>
        </is>
      </c>
      <c r="C23" s="35" t="n"/>
      <c r="D23" s="35" t="inlineStr">
        <is>
          <t>כן</t>
        </is>
      </c>
      <c r="E23" s="34" t="inlineStr">
        <is>
          <t>חלות; פינוי ארוחת ערב</t>
        </is>
      </c>
      <c r="F23" s="50">
        <f>IF(A23="","",COUNTIF('משימות'!$G$3:$G$122,"*"&amp;A23&amp;"*"))</f>
        <v/>
      </c>
      <c r="G23" s="35" t="n">
        <v>5</v>
      </c>
      <c r="H23" s="50">
        <f>IF(A23="","",SUMIF('היסטוריה'!$B$3:$B$3002,A23,'היסטוריה'!$E$3:$E$3002))</f>
        <v/>
      </c>
      <c r="I23" s="34" t="n"/>
    </row>
    <row r="24">
      <c r="A24" s="48" t="inlineStr">
        <is>
          <t>שחר מרקוביץ' גליק</t>
        </is>
      </c>
      <c r="B24" s="53" t="inlineStr">
        <is>
          <t>מדרשה</t>
        </is>
      </c>
      <c r="C24" s="35" t="n"/>
      <c r="D24" s="35" t="inlineStr">
        <is>
          <t>כן</t>
        </is>
      </c>
      <c r="E24" s="34" t="inlineStr">
        <is>
          <t>בית מדרש; ארוחת ערב מוצ"ש</t>
        </is>
      </c>
      <c r="F24" s="50">
        <f>IF(A24="","",COUNTIF('משימות'!$G$3:$G$122,"*"&amp;A24&amp;"*"))</f>
        <v/>
      </c>
      <c r="G24" s="35" t="n">
        <v>6</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בית מדרש</t>
        </is>
      </c>
      <c r="F25" s="50">
        <f>IF(A25="","",COUNTIF('משימות'!$G$3:$G$122,"*"&amp;A25&amp;"*"))</f>
        <v/>
      </c>
      <c r="G25" s="35" t="n">
        <v>3</v>
      </c>
      <c r="H25" s="50">
        <f>IF(A25="","",SUMIF('היסטוריה'!$B$3:$B$3002,A25,'היסטוריה'!$E$3:$E$3002))</f>
        <v/>
      </c>
      <c r="I25" s="34" t="n"/>
    </row>
    <row r="26">
      <c r="A26" s="48" t="inlineStr">
        <is>
          <t>אנה עזריאל</t>
        </is>
      </c>
      <c r="B26" s="53" t="inlineStr">
        <is>
          <t>מדרשה</t>
        </is>
      </c>
      <c r="C26" s="35" t="inlineStr">
        <is>
          <t>יואב</t>
        </is>
      </c>
      <c r="D26" s="35" t="inlineStr">
        <is>
          <t>כן</t>
        </is>
      </c>
      <c r="E26" s="34" t="inlineStr">
        <is>
          <t>בית מדרש; ניקיון חדר האוכל</t>
        </is>
      </c>
      <c r="F26" s="50">
        <f>IF(A26="","",COUNTIF('משימות'!$G$3:$G$122,"*"&amp;A26&amp;"*"))</f>
        <v/>
      </c>
      <c r="G26" s="35" t="n">
        <v>6</v>
      </c>
      <c r="H26" s="50">
        <f>IF(A26="","",SUMIF('היסטוריה'!$B$3:$B$3002,A26,'היסטוריה'!$E$3:$E$3002))</f>
        <v/>
      </c>
      <c r="I26" s="34" t="n"/>
    </row>
    <row r="27">
      <c r="A27" s="48" t="inlineStr">
        <is>
          <t>אלרואי גרינברג</t>
        </is>
      </c>
      <c r="B27" s="53" t="inlineStr">
        <is>
          <t>מדרשה</t>
        </is>
      </c>
      <c r="C27" s="35" t="inlineStr">
        <is>
          <t>אבי</t>
        </is>
      </c>
      <c r="D27" s="35" t="inlineStr">
        <is>
          <t>כן</t>
        </is>
      </c>
      <c r="E27" s="34" t="inlineStr">
        <is>
          <t>חלות; טיש</t>
        </is>
      </c>
      <c r="F27" s="50">
        <f>IF(A27="","",COUNTIF('משימות'!$G$3:$G$122,"*"&amp;A27&amp;"*"))</f>
        <v/>
      </c>
      <c r="G27" s="35" t="n">
        <v>4</v>
      </c>
      <c r="H27" s="50">
        <f>IF(A27="","",SUMIF('היסטוריה'!$B$3:$B$3002,A27,'היסטוריה'!$E$3:$E$3002))</f>
        <v/>
      </c>
      <c r="I27" s="34" t="n"/>
    </row>
    <row r="28">
      <c r="A28" s="48" t="inlineStr">
        <is>
          <t>אלה גוטליב</t>
        </is>
      </c>
      <c r="B28" s="53" t="inlineStr">
        <is>
          <t>מדרשה</t>
        </is>
      </c>
      <c r="C28" s="35" t="inlineStr">
        <is>
          <t>תמר</t>
        </is>
      </c>
      <c r="D28" s="35" t="inlineStr">
        <is>
          <t>כן</t>
        </is>
      </c>
      <c r="E28" s="34" t="inlineStr">
        <is>
          <t>עוגת שמרים; פינוי ארוחת צהריים שבת</t>
        </is>
      </c>
      <c r="F28" s="50">
        <f>IF(A28="","",COUNTIF('משימות'!$G$3:$G$122,"*"&amp;A28&amp;"*"))</f>
        <v/>
      </c>
      <c r="G28" s="35" t="n">
        <v>5</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ניקיון חדר האוכל</t>
        </is>
      </c>
      <c r="F29" s="50">
        <f>IF(A29="","",COUNTIF('משימות'!$G$3:$G$122,"*"&amp;A29&amp;"*"))</f>
        <v/>
      </c>
      <c r="G29" s="35" t="n">
        <v>3</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n"/>
      <c r="E31" s="34" t="n"/>
      <c r="F31" s="50">
        <f>IF(A31="","",COUNTIF('משימות'!$G$3:$G$122,"*"&amp;A31&amp;"*"))</f>
        <v/>
      </c>
      <c r="G31" s="35" t="n"/>
      <c r="H31" s="50">
        <f>IF(A31="","",SUMIF('היסטוריה'!$B$3:$B$3002,A31,'היסטוריה'!$E$3:$E$3002))</f>
        <v/>
      </c>
      <c r="I31" s="34" t="inlineStr">
        <is>
          <t>לא נוכח/ת</t>
        </is>
      </c>
    </row>
    <row r="32">
      <c r="A32" s="48" t="inlineStr">
        <is>
          <t>שירה ספונוב</t>
        </is>
      </c>
      <c r="B32" s="53" t="inlineStr">
        <is>
          <t>מדרשה</t>
        </is>
      </c>
      <c r="C32" s="35" t="inlineStr">
        <is>
          <t>הילה</t>
        </is>
      </c>
      <c r="D32" s="35" t="inlineStr">
        <is>
          <t>כן</t>
        </is>
      </c>
      <c r="E32" s="34" t="inlineStr">
        <is>
          <t>עוגת שמרים; פינוי ארוחת צהריים שבת</t>
        </is>
      </c>
      <c r="F32" s="50">
        <f>IF(A32="","",COUNTIF('משימות'!$G$3:$G$122,"*"&amp;A32&amp;"*"))</f>
        <v/>
      </c>
      <c r="G32" s="35" t="n">
        <v>5</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חלות; פינוי ארוחת ערב</t>
        </is>
      </c>
      <c r="F33" s="50">
        <f>IF(A33="","",COUNTIF('משימות'!$G$3:$G$122,"*"&amp;A33&amp;"*"))</f>
        <v/>
      </c>
      <c r="G33" s="35" t="n">
        <v>5</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בראוניז ללא גלוטן; הכנת ארוחת ערב</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inlineStr">
        <is>
          <t>תמר</t>
        </is>
      </c>
      <c r="D36" s="35" t="inlineStr">
        <is>
          <t>כן</t>
        </is>
      </c>
      <c r="E36" s="34" t="inlineStr">
        <is>
          <t>ארוחת צהריים שישי; ניקיון בית המדרש</t>
        </is>
      </c>
      <c r="F36" s="50">
        <f>IF(A36="","",COUNTIF('משימות'!$G$3:$G$122,"*"&amp;A36&amp;"*"))</f>
        <v/>
      </c>
      <c r="G36" s="35" t="n">
        <v>5</v>
      </c>
      <c r="H36" s="50">
        <f>IF(A36="","",SUMIF('היסטוריה'!$B$3:$B$3002,A36,'היסטוריה'!$E$3:$E$3002))</f>
        <v/>
      </c>
      <c r="I36" s="34" t="n"/>
    </row>
    <row r="37">
      <c r="A37" s="48" t="inlineStr">
        <is>
          <t>קובי סמייסון</t>
        </is>
      </c>
      <c r="B37" s="53" t="inlineStr">
        <is>
          <t>מדרשה</t>
        </is>
      </c>
      <c r="C37" s="35" t="n"/>
      <c r="D37" s="35" t="inlineStr">
        <is>
          <t>כן</t>
        </is>
      </c>
      <c r="E37" s="34" t="inlineStr">
        <is>
          <t>מטבוחה; הכנת ארוחת צהריים שבת</t>
        </is>
      </c>
      <c r="F37" s="50">
        <f>IF(A37="","",COUNTIF('משימות'!$G$3:$G$122,"*"&amp;A37&amp;"*"))</f>
        <v/>
      </c>
      <c r="G37" s="35" t="n">
        <v>5</v>
      </c>
      <c r="H37" s="50">
        <f>IF(A37="","",SUMIF('היסטוריה'!$B$3:$B$3002,A37,'היסטוריה'!$E$3:$E$3002))</f>
        <v/>
      </c>
      <c r="I37" s="34" t="n"/>
    </row>
    <row r="38">
      <c r="A38" s="48" t="inlineStr">
        <is>
          <t>נגה שוהם</t>
        </is>
      </c>
      <c r="B38" s="53" t="inlineStr">
        <is>
          <t>מדרשה</t>
        </is>
      </c>
      <c r="C38" s="35" t="inlineStr">
        <is>
          <t>יואב</t>
        </is>
      </c>
      <c r="D38" s="35" t="inlineStr">
        <is>
          <t>כן</t>
        </is>
      </c>
      <c r="E38" s="34" t="inlineStr">
        <is>
          <t>ניקיון חדר האוכל בשישי</t>
        </is>
      </c>
      <c r="F38" s="50">
        <f>IF(A38="","",COUNTIF('משימות'!$G$3:$G$122,"*"&amp;A38&amp;"*"))</f>
        <v/>
      </c>
      <c r="G38" s="35" t="n">
        <v>3</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פינוי ארוחת ערב; ניקיון בית המדרש</t>
        </is>
      </c>
      <c r="F39" s="50">
        <f>IF(A39="","",COUNTIF('משימות'!$G$3:$G$122,"*"&amp;A39&amp;"*"))</f>
        <v/>
      </c>
      <c r="G39" s="35" t="n">
        <v>4</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עוגיות שוקולד צ'יפס; ניקיון חדר האוכל</t>
        </is>
      </c>
      <c r="F40" s="50">
        <f>IF(A40="","",COUNTIF('משימות'!$G$3:$G$122,"*"&amp;A40&amp;"*"))</f>
        <v/>
      </c>
      <c r="G40" s="35" t="n">
        <v>6</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עוגת שוקולד; קידוש</t>
        </is>
      </c>
      <c r="F41" s="50">
        <f>IF(A41="","",COUNTIF('משימות'!$G$3:$G$122,"*"&amp;A41&amp;"*"))</f>
        <v/>
      </c>
      <c r="G41" s="35" t="n">
        <v>4</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בית מדרש; ניקיון חדר האוכל</t>
        </is>
      </c>
      <c r="F42" s="50">
        <f>IF(A42="","",COUNTIF('משימות'!$G$3:$G$122,"*"&amp;A42&amp;"*"))</f>
        <v/>
      </c>
      <c r="G42" s="35" t="n">
        <v>6</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ניקיון חדר האוכל בשישי; ניקיון חדר האוכל</t>
        </is>
      </c>
      <c r="F43" s="50">
        <f>IF(A43="","",COUNTIF('משימות'!$G$3:$G$122,"*"&amp;A43&amp;"*"))</f>
        <v/>
      </c>
      <c r="G43" s="35" t="n">
        <v>6</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בית מדרש</t>
        </is>
      </c>
      <c r="F44" s="50">
        <f>IF(A44="","",COUNTIF('משימות'!$G$3:$G$122,"*"&amp;A44&amp;"*"))</f>
        <v/>
      </c>
      <c r="G44" s="35" t="n">
        <v>3</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inlineStr">
        <is>
          <t>הילה</t>
        </is>
      </c>
      <c r="D46" s="35" t="inlineStr">
        <is>
          <t>כן</t>
        </is>
      </c>
      <c r="E46" s="34" t="inlineStr">
        <is>
          <t>בית מדרש; טיש</t>
        </is>
      </c>
      <c r="F46" s="50">
        <f>IF(A46="","",COUNTIF('משימות'!$G$3:$G$122,"*"&amp;A46&amp;"*"))</f>
        <v/>
      </c>
      <c r="G46" s="35" t="n">
        <v>4</v>
      </c>
      <c r="H46" s="50">
        <f>IF(A46="","",SUMIF('היסטוריה'!$B$3:$B$3002,A46,'היסטוריה'!$E$3:$E$3002))</f>
        <v/>
      </c>
      <c r="I46" s="34" t="n"/>
    </row>
    <row r="47">
      <c r="A47" s="48" t="inlineStr">
        <is>
          <t>עמית שי אברהם</t>
        </is>
      </c>
      <c r="B47" s="53" t="inlineStr">
        <is>
          <t>מדרשה</t>
        </is>
      </c>
      <c r="C47" s="35" t="inlineStr">
        <is>
          <t>הילה</t>
        </is>
      </c>
      <c r="D47" s="35" t="inlineStr">
        <is>
          <t>כן</t>
        </is>
      </c>
      <c r="E47" s="34" t="inlineStr">
        <is>
          <t>עוגת שוקולד; הכנת ארוחת צהריים שבת</t>
        </is>
      </c>
      <c r="F47" s="50">
        <f>IF(A47="","",COUNTIF('משימות'!$G$3:$G$122,"*"&amp;A47&amp;"*"))</f>
        <v/>
      </c>
      <c r="G47" s="35" t="n">
        <v>5</v>
      </c>
      <c r="H47" s="50">
        <f>IF(A47="","",SUMIF('היסטוריה'!$B$3:$B$3002,A47,'היסטוריה'!$E$3:$E$3002))</f>
        <v/>
      </c>
      <c r="I47" s="34" t="n"/>
    </row>
    <row r="48">
      <c r="A48" s="48" t="inlineStr">
        <is>
          <t>תמר פרימור</t>
        </is>
      </c>
      <c r="B48" s="53" t="inlineStr">
        <is>
          <t>מדרשה</t>
        </is>
      </c>
      <c r="C48" s="35" t="inlineStr">
        <is>
          <t>יואב</t>
        </is>
      </c>
      <c r="D48" s="35" t="inlineStr">
        <is>
          <t>כן</t>
        </is>
      </c>
      <c r="E48" s="34" t="inlineStr">
        <is>
          <t>עוגיות שוקולד צ'יפס; ניקיון בית המדרש</t>
        </is>
      </c>
      <c r="F48" s="50">
        <f>IF(A48="","",COUNTIF('משימות'!$G$3:$G$122,"*"&amp;A48&amp;"*"))</f>
        <v/>
      </c>
      <c r="G48" s="35" t="n">
        <v>5</v>
      </c>
      <c r="H48" s="50">
        <f>IF(A48="","",SUMIF('היסטוריה'!$B$3:$B$3002,A48,'היסטוריה'!$E$3:$E$3002))</f>
        <v/>
      </c>
      <c r="I48" s="34" t="n"/>
    </row>
    <row r="49">
      <c r="A49" s="48" t="inlineStr">
        <is>
          <t>נבו בלוך</t>
        </is>
      </c>
      <c r="B49" s="53" t="inlineStr">
        <is>
          <t>מדרשה</t>
        </is>
      </c>
      <c r="C49" s="35" t="inlineStr">
        <is>
          <t>אבי</t>
        </is>
      </c>
      <c r="D49" s="35" t="inlineStr">
        <is>
          <t>כן</t>
        </is>
      </c>
      <c r="E49" s="34" t="inlineStr">
        <is>
          <t>מטבוחה; ניקיון חדר האוכל</t>
        </is>
      </c>
      <c r="F49" s="50">
        <f>IF(A49="","",COUNTIF('משימות'!$G$3:$G$122,"*"&amp;A49&amp;"*"))</f>
        <v/>
      </c>
      <c r="G49" s="35" t="n">
        <v>6</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פינוי ארוחת ערב; ניקיון בית המדרש</t>
        </is>
      </c>
      <c r="F50" s="50">
        <f>IF(A50="","",COUNTIF('משימות'!$G$3:$G$122,"*"&amp;A50&amp;"*"))</f>
        <v/>
      </c>
      <c r="G50" s="35" t="n">
        <v>4</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בית מדרש; ניקיון חדר האוכל</t>
        </is>
      </c>
      <c r="F52" s="50">
        <f>IF(A52="","",COUNTIF('משימות'!$G$3:$G$122,"*"&amp;A52&amp;"*"))</f>
        <v/>
      </c>
      <c r="G52" s="35" t="n">
        <v>6</v>
      </c>
      <c r="H52" s="50">
        <f>IF(A52="","",SUMIF('היסטוריה'!$B$3:$B$3002,A52,'היסטוריה'!$E$3:$E$3002))</f>
        <v/>
      </c>
      <c r="I52" s="34" t="n"/>
    </row>
    <row r="53">
      <c r="A53" s="48" t="inlineStr">
        <is>
          <t>יותם ספיר</t>
        </is>
      </c>
      <c r="B53" s="53" t="inlineStr">
        <is>
          <t>מדרשה</t>
        </is>
      </c>
      <c r="C53" s="35" t="n"/>
      <c r="D53" s="35" t="n"/>
      <c r="E53" s="34" t="n"/>
      <c r="F53" s="50">
        <f>IF(A53="","",COUNTIF('משימות'!$G$3:$G$122,"*"&amp;A53&amp;"*"))</f>
        <v/>
      </c>
      <c r="G53" s="35" t="n"/>
      <c r="H53" s="50">
        <f>IF(A53="","",SUMIF('היסטוריה'!$B$3:$B$3002,A53,'היסטוריה'!$E$3:$E$3002))</f>
        <v/>
      </c>
      <c r="I53" s="34" t="inlineStr">
        <is>
          <t>לא נוכח/ת</t>
        </is>
      </c>
    </row>
    <row r="54">
      <c r="A54" s="48" t="inlineStr">
        <is>
          <t>איתמר אסנהיים</t>
        </is>
      </c>
      <c r="B54" s="53" t="inlineStr">
        <is>
          <t>מדרשה</t>
        </is>
      </c>
      <c r="C54" s="35" t="inlineStr">
        <is>
          <t>תמר</t>
        </is>
      </c>
      <c r="D54" s="35" t="inlineStr">
        <is>
          <t>כן</t>
        </is>
      </c>
      <c r="E54" s="34" t="inlineStr">
        <is>
          <t>בית מדרש; הכנת ארוחת צהריים שבת</t>
        </is>
      </c>
      <c r="F54" s="50">
        <f>IF(A54="","",COUNTIF('משימות'!$G$3:$G$122,"*"&amp;A54&amp;"*"))</f>
        <v/>
      </c>
      <c r="G54" s="35" t="n">
        <v>5</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inlineStr">
        <is>
          <t>ניקיון חדר האוכל בשישי</t>
        </is>
      </c>
      <c r="F55" s="50">
        <f>IF(A55="","",COUNTIF('משימות'!$G$3:$G$122,"*"&amp;A55&amp;"*"))</f>
        <v/>
      </c>
      <c r="G55" s="35" t="n">
        <v>3</v>
      </c>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בית מדרש; ניקיון חדר האוכל</t>
        </is>
      </c>
      <c r="F56" s="50">
        <f>IF(A56="","",COUNTIF('משימות'!$G$3:$G$122,"*"&amp;A56&amp;"*"))</f>
        <v/>
      </c>
      <c r="G56" s="35" t="n">
        <v>6</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בית מדרש; ניקיון חדר האוכל</t>
        </is>
      </c>
      <c r="F57" s="50">
        <f>IF(A57="","",COUNTIF('משימות'!$G$3:$G$122,"*"&amp;A57&amp;"*"))</f>
        <v/>
      </c>
      <c r="G57" s="35" t="n">
        <v>6</v>
      </c>
      <c r="H57" s="50">
        <f>IF(A57="","",SUMIF('היסטוריה'!$B$3:$B$3002,A57,'היסטוריה'!$E$3:$E$3002))</f>
        <v/>
      </c>
      <c r="I57" s="34" t="n"/>
    </row>
    <row r="58">
      <c r="A58" s="48" t="inlineStr">
        <is>
          <t>רועי צבי סרי</t>
        </is>
      </c>
      <c r="B58" s="53" t="inlineStr">
        <is>
          <t>מדרשה</t>
        </is>
      </c>
      <c r="C58" s="35" t="inlineStr">
        <is>
          <t>תמר</t>
        </is>
      </c>
      <c r="D58" s="35" t="inlineStr">
        <is>
          <t>כן</t>
        </is>
      </c>
      <c r="E58" s="34" t="inlineStr">
        <is>
          <t>עוגיות שוקולד צ'יפס; ארוחת ערב מוצ"ש</t>
        </is>
      </c>
      <c r="F58" s="50">
        <f>IF(A58="","",COUNTIF('משימות'!$G$3:$G$122,"*"&amp;A58&amp;"*"))</f>
        <v/>
      </c>
      <c r="G58" s="35" t="n">
        <v>6</v>
      </c>
      <c r="H58" s="50">
        <f>IF(A58="","",SUMIF('היסטוריה'!$B$3:$B$3002,A58,'היסטוריה'!$E$3:$E$3002))</f>
        <v/>
      </c>
      <c r="I58" s="34" t="n"/>
    </row>
    <row r="59">
      <c r="A59" s="48" t="inlineStr">
        <is>
          <t>איתן כהן</t>
        </is>
      </c>
      <c r="B59" s="53" t="inlineStr">
        <is>
          <t>מדרשה</t>
        </is>
      </c>
      <c r="C59" s="35" t="inlineStr">
        <is>
          <t>הילה</t>
        </is>
      </c>
      <c r="D59" s="35" t="inlineStr">
        <is>
          <t>כן</t>
        </is>
      </c>
      <c r="E59" s="34" t="inlineStr">
        <is>
          <t>סלט חצילים; ניקיון חדר האוכל</t>
        </is>
      </c>
      <c r="F59" s="50">
        <f>IF(A59="","",COUNTIF('משימות'!$G$3:$G$122,"*"&amp;A59&amp;"*"))</f>
        <v/>
      </c>
      <c r="G59" s="35" t="n">
        <v>6</v>
      </c>
      <c r="H59" s="50">
        <f>IF(A59="","",SUMIF('היסטוריה'!$B$3:$B$3002,A59,'היסטוריה'!$E$3:$E$3002))</f>
        <v/>
      </c>
      <c r="I59" s="34" t="n"/>
    </row>
    <row r="60">
      <c r="A60" s="48" t="inlineStr">
        <is>
          <t>איתי בן מנחם</t>
        </is>
      </c>
      <c r="B60" s="53" t="inlineStr">
        <is>
          <t>מדרשה</t>
        </is>
      </c>
      <c r="C60" s="35" t="inlineStr">
        <is>
          <t>בניה</t>
        </is>
      </c>
      <c r="D60" s="35" t="inlineStr">
        <is>
          <t>כן</t>
        </is>
      </c>
      <c r="E60" s="34" t="inlineStr">
        <is>
          <t>מטבוחה; ארוחת ערב מוצ"ש</t>
        </is>
      </c>
      <c r="F60" s="50">
        <f>IF(A60="","",COUNTIF('משימות'!$G$3:$G$122,"*"&amp;A60&amp;"*"))</f>
        <v/>
      </c>
      <c r="G60" s="35" t="n">
        <v>6</v>
      </c>
      <c r="H60" s="50">
        <f>IF(A60="","",SUMIF('היסטוריה'!$B$3:$B$3002,A60,'היסטוריה'!$E$3:$E$3002))</f>
        <v/>
      </c>
      <c r="I60" s="34" t="n"/>
    </row>
    <row r="61">
      <c r="A61" s="48" t="inlineStr">
        <is>
          <t>טליה קור</t>
        </is>
      </c>
      <c r="B61" s="53" t="inlineStr">
        <is>
          <t>מדרשה</t>
        </is>
      </c>
      <c r="C61" s="35" t="inlineStr">
        <is>
          <t>הילה</t>
        </is>
      </c>
      <c r="D61" s="35" t="inlineStr">
        <is>
          <t>כן</t>
        </is>
      </c>
      <c r="E61" s="34" t="inlineStr">
        <is>
          <t>ארוחת צהריים שישי; ארוחת ערב מוצ"ש</t>
        </is>
      </c>
      <c r="F61" s="50">
        <f>IF(A61="","",COUNTIF('משימות'!$G$3:$G$122,"*"&amp;A61&amp;"*"))</f>
        <v/>
      </c>
      <c r="G61" s="35" t="n">
        <v>6</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חלות; פינוי ארוחת ערב</t>
        </is>
      </c>
      <c r="F62" s="50">
        <f>IF(A62="","",COUNTIF('משימות'!$G$3:$G$122,"*"&amp;A62&amp;"*"))</f>
        <v/>
      </c>
      <c r="G62" s="35" t="n">
        <v>5</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טיש; ניקיון בית המדרש</t>
        </is>
      </c>
      <c r="F63" s="50">
        <f>IF(A63="","",COUNTIF('משימות'!$G$3:$G$122,"*"&amp;A63&amp;"*"))</f>
        <v/>
      </c>
      <c r="G63" s="35" t="n">
        <v>3</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מטבוחה; קידוש</t>
        </is>
      </c>
      <c r="F65" s="50">
        <f>IF(A65="","",COUNTIF('משימות'!$G$3:$G$122,"*"&amp;A65&amp;"*"))</f>
        <v/>
      </c>
      <c r="G65" s="35" t="n">
        <v>4</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n"/>
      <c r="E67" s="34" t="n"/>
      <c r="F67" s="50">
        <f>IF(A67="","",COUNTIF('משימות'!$G$3:$G$122,"*"&amp;A67&amp;"*"))</f>
        <v/>
      </c>
      <c r="G67" s="35" t="n"/>
      <c r="H67" s="50">
        <f>IF(A67="","",SUMIF('היסטוריה'!$B$3:$B$3002,A67,'היסטוריה'!$E$3:$E$3002))</f>
        <v/>
      </c>
      <c r="I67" s="34" t="inlineStr">
        <is>
          <t>לא נוכח/ת</t>
        </is>
      </c>
    </row>
    <row r="68">
      <c r="A68" s="48" t="inlineStr">
        <is>
          <t>ליעם גבע</t>
        </is>
      </c>
      <c r="B68" s="53" t="inlineStr">
        <is>
          <t>מדרשה</t>
        </is>
      </c>
      <c r="C68" s="35" t="n"/>
      <c r="D68" s="35" t="n"/>
      <c r="E68" s="34" t="n"/>
      <c r="F68" s="50">
        <f>IF(A68="","",COUNTIF('משימות'!$G$3:$G$122,"*"&amp;A68&amp;"*"))</f>
        <v/>
      </c>
      <c r="G68" s="35" t="n"/>
      <c r="H68" s="50">
        <f>IF(A68="","",SUMIF('היסטוריה'!$B$3:$B$3002,A68,'היסטוריה'!$E$3:$E$3002))</f>
        <v/>
      </c>
      <c r="I68" s="34" t="inlineStr">
        <is>
          <t>לא נוכח/ת</t>
        </is>
      </c>
    </row>
    <row r="69">
      <c r="A69" s="48" t="inlineStr">
        <is>
          <t>מאיה פקטר</t>
        </is>
      </c>
      <c r="B69" s="53" t="inlineStr">
        <is>
          <t>מדרשה</t>
        </is>
      </c>
      <c r="C69" s="35" t="inlineStr">
        <is>
          <t>אלול</t>
        </is>
      </c>
      <c r="D69" s="35" t="inlineStr">
        <is>
          <t>כן</t>
        </is>
      </c>
      <c r="E69" s="34" t="inlineStr">
        <is>
          <t>עוגת שמרים; פינוי ארוחת צהריים שבת</t>
        </is>
      </c>
      <c r="F69" s="50">
        <f>IF(A69="","",COUNTIF('משימות'!$G$3:$G$122,"*"&amp;A69&amp;"*"))</f>
        <v/>
      </c>
      <c r="G69" s="35" t="n">
        <v>5</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inlineStr">
        <is>
          <t>כן</t>
        </is>
      </c>
      <c r="E71" s="34" t="inlineStr">
        <is>
          <t>חלות; טיש</t>
        </is>
      </c>
      <c r="F71" s="50">
        <f>IF(A71="","",COUNTIF('משימות'!$G$3:$G$122,"*"&amp;A71&amp;"*"))</f>
        <v/>
      </c>
      <c r="G71" s="35" t="n">
        <v>4</v>
      </c>
      <c r="H71" s="50">
        <f>IF(A71="","",SUMIF('היסטוריה'!$B$3:$B$3002,A71,'היסטוריה'!$E$3:$E$3002))</f>
        <v/>
      </c>
      <c r="I71" s="34" t="n"/>
    </row>
    <row r="72">
      <c r="A72" s="48" t="inlineStr">
        <is>
          <t>רוני כהן</t>
        </is>
      </c>
      <c r="B72" s="53" t="inlineStr">
        <is>
          <t>מדרשה</t>
        </is>
      </c>
      <c r="C72" s="35" t="inlineStr">
        <is>
          <t>אלול</t>
        </is>
      </c>
      <c r="D72" s="35" t="inlineStr">
        <is>
          <t>כן</t>
        </is>
      </c>
      <c r="E72" s="34" t="inlineStr">
        <is>
          <t>בראוניז ללא גלוטן; קידוש</t>
        </is>
      </c>
      <c r="F72" s="50">
        <f>IF(A72="","",COUNTIF('משימות'!$G$3:$G$122,"*"&amp;A72&amp;"*"))</f>
        <v/>
      </c>
      <c r="G72" s="35" t="n">
        <v>4</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205"/>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טליה קור</t>
        </is>
      </c>
      <c r="C100" s="60" t="inlineStr">
        <is>
          <t>הכנות שישי</t>
        </is>
      </c>
      <c r="D100" s="59" t="inlineStr">
        <is>
          <t>ארוחת צהריים שישי</t>
        </is>
      </c>
      <c r="E100" s="60" t="n">
        <v>3</v>
      </c>
    </row>
    <row r="101">
      <c r="A101" s="58" t="n">
        <v>46311</v>
      </c>
      <c r="B101" s="59" t="inlineStr">
        <is>
          <t>יובל יצחק</t>
        </is>
      </c>
      <c r="C101" s="60" t="inlineStr">
        <is>
          <t>הכנות שישי</t>
        </is>
      </c>
      <c r="D101" s="59" t="inlineStr">
        <is>
          <t>ארוחת צהריים שישי</t>
        </is>
      </c>
      <c r="E101" s="60" t="n">
        <v>3</v>
      </c>
    </row>
    <row r="102">
      <c r="A102" s="58" t="n">
        <v>46311</v>
      </c>
      <c r="B102" s="59" t="inlineStr">
        <is>
          <t>ירדן בן שחר</t>
        </is>
      </c>
      <c r="C102" s="60" t="inlineStr">
        <is>
          <t>הכנות שישי</t>
        </is>
      </c>
      <c r="D102" s="59" t="inlineStr">
        <is>
          <t>ארוחת צהריים שישי</t>
        </is>
      </c>
      <c r="E102" s="60" t="n">
        <v>3</v>
      </c>
    </row>
    <row r="103">
      <c r="A103" s="58" t="n">
        <v>46311</v>
      </c>
      <c r="B103" s="59" t="inlineStr">
        <is>
          <t>נגה חוה כהן</t>
        </is>
      </c>
      <c r="C103" s="60" t="inlineStr">
        <is>
          <t>הכנות שישי</t>
        </is>
      </c>
      <c r="D103" s="59" t="inlineStr">
        <is>
          <t>ארוחת צהריים שישי</t>
        </is>
      </c>
      <c r="E103" s="60" t="n">
        <v>3</v>
      </c>
    </row>
    <row r="104">
      <c r="A104" s="58" t="n">
        <v>46311</v>
      </c>
      <c r="B104" s="59" t="inlineStr">
        <is>
          <t>הדר עמדי</t>
        </is>
      </c>
      <c r="C104" s="60" t="inlineStr">
        <is>
          <t>הכנות שישי</t>
        </is>
      </c>
      <c r="D104" s="59" t="inlineStr">
        <is>
          <t>בראוניז ללא גלוטן</t>
        </is>
      </c>
      <c r="E104" s="60" t="n">
        <v>3</v>
      </c>
    </row>
    <row r="105">
      <c r="A105" s="58" t="n">
        <v>46311</v>
      </c>
      <c r="B105" s="59" t="inlineStr">
        <is>
          <t>מעיין רחל דינר</t>
        </is>
      </c>
      <c r="C105" s="60" t="inlineStr">
        <is>
          <t>הכנות שישי</t>
        </is>
      </c>
      <c r="D105" s="59" t="inlineStr">
        <is>
          <t>בראוניז ללא גלוטן</t>
        </is>
      </c>
      <c r="E105" s="60" t="n">
        <v>3</v>
      </c>
    </row>
    <row r="106">
      <c r="A106" s="58" t="n">
        <v>46311</v>
      </c>
      <c r="B106" s="59" t="inlineStr">
        <is>
          <t>רוני כהן</t>
        </is>
      </c>
      <c r="C106" s="60" t="inlineStr">
        <is>
          <t>הכנות שישי</t>
        </is>
      </c>
      <c r="D106" s="59" t="inlineStr">
        <is>
          <t>בראוניז ללא גלוטן</t>
        </is>
      </c>
      <c r="E106" s="60" t="n">
        <v>3</v>
      </c>
    </row>
    <row r="107">
      <c r="A107" s="58" t="n">
        <v>46311</v>
      </c>
      <c r="B107" s="59" t="inlineStr">
        <is>
          <t>אלרואי גרינברג</t>
        </is>
      </c>
      <c r="C107" s="60" t="inlineStr">
        <is>
          <t>הכנות שישי</t>
        </is>
      </c>
      <c r="D107" s="59" t="inlineStr">
        <is>
          <t>חלות</t>
        </is>
      </c>
      <c r="E107" s="60" t="n">
        <v>3</v>
      </c>
    </row>
    <row r="108">
      <c r="A108" s="58" t="n">
        <v>46311</v>
      </c>
      <c r="B108" s="59" t="inlineStr">
        <is>
          <t>בניה מעוז</t>
        </is>
      </c>
      <c r="C108" s="60" t="inlineStr">
        <is>
          <t>הכנות שישי</t>
        </is>
      </c>
      <c r="D108" s="59" t="inlineStr">
        <is>
          <t>חלות</t>
        </is>
      </c>
      <c r="E108" s="60" t="n">
        <v>3</v>
      </c>
    </row>
    <row r="109">
      <c r="A109" s="58" t="n">
        <v>46311</v>
      </c>
      <c r="B109" s="59" t="inlineStr">
        <is>
          <t>הלל פינגולד</t>
        </is>
      </c>
      <c r="C109" s="60" t="inlineStr">
        <is>
          <t>הכנות שישי</t>
        </is>
      </c>
      <c r="D109" s="59" t="inlineStr">
        <is>
          <t>חלות</t>
        </is>
      </c>
      <c r="E109" s="60" t="n">
        <v>3</v>
      </c>
    </row>
    <row r="110">
      <c r="A110" s="58" t="n">
        <v>46311</v>
      </c>
      <c r="B110" s="59" t="inlineStr">
        <is>
          <t>ניצן גמלא</t>
        </is>
      </c>
      <c r="C110" s="60" t="inlineStr">
        <is>
          <t>הכנות שישי</t>
        </is>
      </c>
      <c r="D110" s="59" t="inlineStr">
        <is>
          <t>חלות</t>
        </is>
      </c>
      <c r="E110" s="60" t="n">
        <v>3</v>
      </c>
    </row>
    <row r="111">
      <c r="A111" s="58" t="n">
        <v>46311</v>
      </c>
      <c r="B111" s="59" t="inlineStr">
        <is>
          <t>רגב שהם</t>
        </is>
      </c>
      <c r="C111" s="60" t="inlineStr">
        <is>
          <t>הכנות שישי</t>
        </is>
      </c>
      <c r="D111" s="59" t="inlineStr">
        <is>
          <t>חלות</t>
        </is>
      </c>
      <c r="E111" s="60" t="n">
        <v>3</v>
      </c>
    </row>
    <row r="112">
      <c r="A112" s="58" t="n">
        <v>46311</v>
      </c>
      <c r="B112" s="59" t="inlineStr">
        <is>
          <t>איתי בן מנחם</t>
        </is>
      </c>
      <c r="C112" s="60" t="inlineStr">
        <is>
          <t>הכנות שישי</t>
        </is>
      </c>
      <c r="D112" s="59" t="inlineStr">
        <is>
          <t>מטבוחה</t>
        </is>
      </c>
      <c r="E112" s="60" t="n">
        <v>3</v>
      </c>
    </row>
    <row r="113">
      <c r="A113" s="58" t="n">
        <v>46311</v>
      </c>
      <c r="B113" s="59" t="inlineStr">
        <is>
          <t>יערה ריס</t>
        </is>
      </c>
      <c r="C113" s="60" t="inlineStr">
        <is>
          <t>הכנות שישי</t>
        </is>
      </c>
      <c r="D113" s="59" t="inlineStr">
        <is>
          <t>מטבוחה</t>
        </is>
      </c>
      <c r="E113" s="60" t="n">
        <v>3</v>
      </c>
    </row>
    <row r="114">
      <c r="A114" s="58" t="n">
        <v>46311</v>
      </c>
      <c r="B114" s="59" t="inlineStr">
        <is>
          <t>נבו בלוך</t>
        </is>
      </c>
      <c r="C114" s="60" t="inlineStr">
        <is>
          <t>הכנות שישי</t>
        </is>
      </c>
      <c r="D114" s="59" t="inlineStr">
        <is>
          <t>מטבוחה</t>
        </is>
      </c>
      <c r="E114" s="60" t="n">
        <v>3</v>
      </c>
    </row>
    <row r="115">
      <c r="A115" s="58" t="n">
        <v>46311</v>
      </c>
      <c r="B115" s="59" t="inlineStr">
        <is>
          <t>קובי סמייסון</t>
        </is>
      </c>
      <c r="C115" s="60" t="inlineStr">
        <is>
          <t>הכנות שישי</t>
        </is>
      </c>
      <c r="D115" s="59" t="inlineStr">
        <is>
          <t>מטבוחה</t>
        </is>
      </c>
      <c r="E115" s="60" t="n">
        <v>3</v>
      </c>
    </row>
    <row r="116">
      <c r="A116" s="58" t="n">
        <v>46311</v>
      </c>
      <c r="B116" s="59" t="inlineStr">
        <is>
          <t>איתן כהן</t>
        </is>
      </c>
      <c r="C116" s="60" t="inlineStr">
        <is>
          <t>הכנות שישי</t>
        </is>
      </c>
      <c r="D116" s="59" t="inlineStr">
        <is>
          <t>סלט חצילים</t>
        </is>
      </c>
      <c r="E116" s="60" t="n">
        <v>3</v>
      </c>
    </row>
    <row r="117">
      <c r="A117" s="58" t="n">
        <v>46311</v>
      </c>
      <c r="B117" s="59" t="inlineStr">
        <is>
          <t>יהב לוי</t>
        </is>
      </c>
      <c r="C117" s="60" t="inlineStr">
        <is>
          <t>הכנות שישי</t>
        </is>
      </c>
      <c r="D117" s="59" t="inlineStr">
        <is>
          <t>סלט חצילים</t>
        </is>
      </c>
      <c r="E117" s="60" t="n">
        <v>3</v>
      </c>
    </row>
    <row r="118">
      <c r="A118" s="58" t="n">
        <v>46311</v>
      </c>
      <c r="B118" s="59" t="inlineStr">
        <is>
          <t>אלה מאיר</t>
        </is>
      </c>
      <c r="C118" s="60" t="inlineStr">
        <is>
          <t>הכנות שישי</t>
        </is>
      </c>
      <c r="D118" s="59" t="inlineStr">
        <is>
          <t>עוגיות שוקולד צ'יפס</t>
        </is>
      </c>
      <c r="E118" s="60" t="n">
        <v>3</v>
      </c>
    </row>
    <row r="119">
      <c r="A119" s="58" t="n">
        <v>46311</v>
      </c>
      <c r="B119" s="59" t="inlineStr">
        <is>
          <t>עופר בביוף</t>
        </is>
      </c>
      <c r="C119" s="60" t="inlineStr">
        <is>
          <t>הכנות שישי</t>
        </is>
      </c>
      <c r="D119" s="59" t="inlineStr">
        <is>
          <t>עוגיות שוקולד צ'יפס</t>
        </is>
      </c>
      <c r="E119" s="60" t="n">
        <v>3</v>
      </c>
    </row>
    <row r="120">
      <c r="A120" s="58" t="n">
        <v>46311</v>
      </c>
      <c r="B120" s="59" t="inlineStr">
        <is>
          <t>רועי צבי סרי</t>
        </is>
      </c>
      <c r="C120" s="60" t="inlineStr">
        <is>
          <t>הכנות שישי</t>
        </is>
      </c>
      <c r="D120" s="59" t="inlineStr">
        <is>
          <t>עוגיות שוקולד צ'יפס</t>
        </is>
      </c>
      <c r="E120" s="60" t="n">
        <v>3</v>
      </c>
    </row>
    <row r="121">
      <c r="A121" s="58" t="n">
        <v>46311</v>
      </c>
      <c r="B121" s="59" t="inlineStr">
        <is>
          <t>תמר פרימור</t>
        </is>
      </c>
      <c r="C121" s="60" t="inlineStr">
        <is>
          <t>הכנות שישי</t>
        </is>
      </c>
      <c r="D121" s="59" t="inlineStr">
        <is>
          <t>עוגיות שוקולד צ'יפס</t>
        </is>
      </c>
      <c r="E121" s="60" t="n">
        <v>3</v>
      </c>
    </row>
    <row r="122">
      <c r="A122" s="58" t="n">
        <v>46311</v>
      </c>
      <c r="B122" s="59" t="inlineStr">
        <is>
          <t>זואי כהן</t>
        </is>
      </c>
      <c r="C122" s="60" t="inlineStr">
        <is>
          <t>הכנות שישי</t>
        </is>
      </c>
      <c r="D122" s="59" t="inlineStr">
        <is>
          <t>עוגת שוקולד</t>
        </is>
      </c>
      <c r="E122" s="60" t="n">
        <v>3</v>
      </c>
    </row>
    <row r="123">
      <c r="A123" s="58" t="n">
        <v>46311</v>
      </c>
      <c r="B123" s="59" t="inlineStr">
        <is>
          <t>עמית סיילס</t>
        </is>
      </c>
      <c r="C123" s="60" t="inlineStr">
        <is>
          <t>הכנות שישי</t>
        </is>
      </c>
      <c r="D123" s="59" t="inlineStr">
        <is>
          <t>עוגת שוקולד</t>
        </is>
      </c>
      <c r="E123" s="60" t="n">
        <v>3</v>
      </c>
    </row>
    <row r="124">
      <c r="A124" s="58" t="n">
        <v>46311</v>
      </c>
      <c r="B124" s="59" t="inlineStr">
        <is>
          <t>עמית שי אברהם</t>
        </is>
      </c>
      <c r="C124" s="60" t="inlineStr">
        <is>
          <t>הכנות שישי</t>
        </is>
      </c>
      <c r="D124" s="59" t="inlineStr">
        <is>
          <t>עוגת שוקולד</t>
        </is>
      </c>
      <c r="E124" s="60" t="n">
        <v>3</v>
      </c>
    </row>
    <row r="125">
      <c r="A125" s="58" t="n">
        <v>46311</v>
      </c>
      <c r="B125" s="59" t="inlineStr">
        <is>
          <t>שחר קרן</t>
        </is>
      </c>
      <c r="C125" s="60" t="inlineStr">
        <is>
          <t>הכנות שישי</t>
        </is>
      </c>
      <c r="D125" s="59" t="inlineStr">
        <is>
          <t>עוגת שוקולד</t>
        </is>
      </c>
      <c r="E125" s="60" t="n">
        <v>3</v>
      </c>
    </row>
    <row r="126">
      <c r="A126" s="58" t="n">
        <v>46311</v>
      </c>
      <c r="B126" s="59" t="inlineStr">
        <is>
          <t>אחיה נחמני</t>
        </is>
      </c>
      <c r="C126" s="60" t="inlineStr">
        <is>
          <t>הכנות שישי</t>
        </is>
      </c>
      <c r="D126" s="59" t="inlineStr">
        <is>
          <t>עוגת שמרים</t>
        </is>
      </c>
      <c r="E126" s="60" t="n">
        <v>3</v>
      </c>
    </row>
    <row r="127">
      <c r="A127" s="58" t="n">
        <v>46311</v>
      </c>
      <c r="B127" s="59" t="inlineStr">
        <is>
          <t>אלה גוטליב</t>
        </is>
      </c>
      <c r="C127" s="60" t="inlineStr">
        <is>
          <t>הכנות שישי</t>
        </is>
      </c>
      <c r="D127" s="59" t="inlineStr">
        <is>
          <t>עוגת שמרים</t>
        </is>
      </c>
      <c r="E127" s="60" t="n">
        <v>3</v>
      </c>
    </row>
    <row r="128">
      <c r="A128" s="58" t="n">
        <v>46311</v>
      </c>
      <c r="B128" s="59" t="inlineStr">
        <is>
          <t>מאיה פקטר</t>
        </is>
      </c>
      <c r="C128" s="60" t="inlineStr">
        <is>
          <t>הכנות שישי</t>
        </is>
      </c>
      <c r="D128" s="59" t="inlineStr">
        <is>
          <t>עוגת שמרים</t>
        </is>
      </c>
      <c r="E128" s="60" t="n">
        <v>3</v>
      </c>
    </row>
    <row r="129">
      <c r="A129" s="58" t="n">
        <v>46311</v>
      </c>
      <c r="B129" s="59" t="inlineStr">
        <is>
          <t>שירה ספונוב</t>
        </is>
      </c>
      <c r="C129" s="60" t="inlineStr">
        <is>
          <t>הכנות שישי</t>
        </is>
      </c>
      <c r="D129" s="59" t="inlineStr">
        <is>
          <t>עוגת שמרים</t>
        </is>
      </c>
      <c r="E129" s="60" t="n">
        <v>3</v>
      </c>
    </row>
    <row r="130">
      <c r="A130" s="58" t="n">
        <v>46311</v>
      </c>
      <c r="B130" s="59" t="inlineStr">
        <is>
          <t>אוריה תעשה</t>
        </is>
      </c>
      <c r="C130" s="60" t="inlineStr">
        <is>
          <t>תורנות מוצ"ש</t>
        </is>
      </c>
      <c r="D130" s="59" t="inlineStr">
        <is>
          <t>ארוחת ערב מוצ"ש</t>
        </is>
      </c>
      <c r="E130" s="60" t="n">
        <v>3</v>
      </c>
    </row>
    <row r="131">
      <c r="A131" s="58" t="n">
        <v>46311</v>
      </c>
      <c r="B131" s="59" t="inlineStr">
        <is>
          <t>איתי בן מנחם</t>
        </is>
      </c>
      <c r="C131" s="60" t="inlineStr">
        <is>
          <t>תורנות מוצ"ש</t>
        </is>
      </c>
      <c r="D131" s="59" t="inlineStr">
        <is>
          <t>ארוחת ערב מוצ"ש</t>
        </is>
      </c>
      <c r="E131" s="60" t="n">
        <v>3</v>
      </c>
    </row>
    <row r="132">
      <c r="A132" s="58" t="n">
        <v>46311</v>
      </c>
      <c r="B132" s="59" t="inlineStr">
        <is>
          <t>טליה קור</t>
        </is>
      </c>
      <c r="C132" s="60" t="inlineStr">
        <is>
          <t>תורנות מוצ"ש</t>
        </is>
      </c>
      <c r="D132" s="59" t="inlineStr">
        <is>
          <t>ארוחת ערב מוצ"ש</t>
        </is>
      </c>
      <c r="E132" s="60" t="n">
        <v>3</v>
      </c>
    </row>
    <row r="133">
      <c r="A133" s="58" t="n">
        <v>46311</v>
      </c>
      <c r="B133" s="59" t="inlineStr">
        <is>
          <t>רועי צבי סרי</t>
        </is>
      </c>
      <c r="C133" s="60" t="inlineStr">
        <is>
          <t>תורנות מוצ"ש</t>
        </is>
      </c>
      <c r="D133" s="59" t="inlineStr">
        <is>
          <t>ארוחת ערב מוצ"ש</t>
        </is>
      </c>
      <c r="E133" s="60" t="n">
        <v>3</v>
      </c>
    </row>
    <row r="134">
      <c r="A134" s="58" t="n">
        <v>46311</v>
      </c>
      <c r="B134" s="59" t="inlineStr">
        <is>
          <t>שחר מרקוביץ' גליק</t>
        </is>
      </c>
      <c r="C134" s="60" t="inlineStr">
        <is>
          <t>תורנות מוצ"ש</t>
        </is>
      </c>
      <c r="D134" s="59" t="inlineStr">
        <is>
          <t>ארוחת ערב מוצ"ש</t>
        </is>
      </c>
      <c r="E134" s="60" t="n">
        <v>3</v>
      </c>
    </row>
    <row r="135">
      <c r="A135" s="58" t="n">
        <v>46311</v>
      </c>
      <c r="B135" s="59" t="inlineStr">
        <is>
          <t>אביה וייל</t>
        </is>
      </c>
      <c r="C135" s="60" t="inlineStr">
        <is>
          <t>תורנות מוצ"ש</t>
        </is>
      </c>
      <c r="D135" s="59" t="inlineStr">
        <is>
          <t>ניקיון בית המדרש</t>
        </is>
      </c>
      <c r="E135" s="60" t="n">
        <v>2</v>
      </c>
    </row>
    <row r="136">
      <c r="A136" s="58" t="n">
        <v>46311</v>
      </c>
      <c r="B136" s="59" t="inlineStr">
        <is>
          <t>ארבל פרנקו</t>
        </is>
      </c>
      <c r="C136" s="60" t="inlineStr">
        <is>
          <t>תורנות מוצ"ש</t>
        </is>
      </c>
      <c r="D136" s="59" t="inlineStr">
        <is>
          <t>ניקיון בית המדרש</t>
        </is>
      </c>
      <c r="E136" s="60" t="n">
        <v>2</v>
      </c>
    </row>
    <row r="137">
      <c r="A137" s="58" t="n">
        <v>46311</v>
      </c>
      <c r="B137" s="59" t="inlineStr">
        <is>
          <t>הילי אלפסי</t>
        </is>
      </c>
      <c r="C137" s="60" t="inlineStr">
        <is>
          <t>תורנות מוצ"ש</t>
        </is>
      </c>
      <c r="D137" s="59" t="inlineStr">
        <is>
          <t>ניקיון בית המדרש</t>
        </is>
      </c>
      <c r="E137" s="60" t="n">
        <v>2</v>
      </c>
    </row>
    <row r="138">
      <c r="A138" s="58" t="n">
        <v>46311</v>
      </c>
      <c r="B138" s="59" t="inlineStr">
        <is>
          <t>יהב לוי</t>
        </is>
      </c>
      <c r="C138" s="60" t="inlineStr">
        <is>
          <t>תורנות מוצ"ש</t>
        </is>
      </c>
      <c r="D138" s="59" t="inlineStr">
        <is>
          <t>ניקיון בית המדרש</t>
        </is>
      </c>
      <c r="E138" s="60" t="n">
        <v>2</v>
      </c>
    </row>
    <row r="139">
      <c r="A139" s="58" t="n">
        <v>46311</v>
      </c>
      <c r="B139" s="59" t="inlineStr">
        <is>
          <t>יואב אוחנה</t>
        </is>
      </c>
      <c r="C139" s="60" t="inlineStr">
        <is>
          <t>תורנות מוצ"ש</t>
        </is>
      </c>
      <c r="D139" s="59" t="inlineStr">
        <is>
          <t>ניקיון בית המדרש</t>
        </is>
      </c>
      <c r="E139" s="60" t="n">
        <v>2</v>
      </c>
    </row>
    <row r="140">
      <c r="A140" s="58" t="n">
        <v>46311</v>
      </c>
      <c r="B140" s="59" t="inlineStr">
        <is>
          <t>יונתן לירז</t>
        </is>
      </c>
      <c r="C140" s="60" t="inlineStr">
        <is>
          <t>תורנות מוצ"ש</t>
        </is>
      </c>
      <c r="D140" s="59" t="inlineStr">
        <is>
          <t>ניקיון בית המדרש</t>
        </is>
      </c>
      <c r="E140" s="60" t="n">
        <v>2</v>
      </c>
    </row>
    <row r="141">
      <c r="A141" s="58" t="n">
        <v>46311</v>
      </c>
      <c r="B141" s="59" t="inlineStr">
        <is>
          <t>ינון לוי</t>
        </is>
      </c>
      <c r="C141" s="60" t="inlineStr">
        <is>
          <t>תורנות מוצ"ש</t>
        </is>
      </c>
      <c r="D141" s="59" t="inlineStr">
        <is>
          <t>ניקיון בית המדרש</t>
        </is>
      </c>
      <c r="E141" s="60" t="n">
        <v>2</v>
      </c>
    </row>
    <row r="142">
      <c r="A142" s="58" t="n">
        <v>46311</v>
      </c>
      <c r="B142" s="59" t="inlineStr">
        <is>
          <t>ירדן בן שחר</t>
        </is>
      </c>
      <c r="C142" s="60" t="inlineStr">
        <is>
          <t>תורנות מוצ"ש</t>
        </is>
      </c>
      <c r="D142" s="59" t="inlineStr">
        <is>
          <t>ניקיון בית המדרש</t>
        </is>
      </c>
      <c r="E142" s="60" t="n">
        <v>2</v>
      </c>
    </row>
    <row r="143">
      <c r="A143" s="58" t="n">
        <v>46311</v>
      </c>
      <c r="B143" s="59" t="inlineStr">
        <is>
          <t>מעיין יוספי</t>
        </is>
      </c>
      <c r="C143" s="60" t="inlineStr">
        <is>
          <t>תורנות מוצ"ש</t>
        </is>
      </c>
      <c r="D143" s="59" t="inlineStr">
        <is>
          <t>ניקיון בית המדרש</t>
        </is>
      </c>
      <c r="E143" s="60" t="n">
        <v>2</v>
      </c>
    </row>
    <row r="144">
      <c r="A144" s="58" t="n">
        <v>46311</v>
      </c>
      <c r="B144" s="59" t="inlineStr">
        <is>
          <t>נגה חוה כהן</t>
        </is>
      </c>
      <c r="C144" s="60" t="inlineStr">
        <is>
          <t>תורנות מוצ"ש</t>
        </is>
      </c>
      <c r="D144" s="59" t="inlineStr">
        <is>
          <t>ניקיון בית המדרש</t>
        </is>
      </c>
      <c r="E144" s="60" t="n">
        <v>2</v>
      </c>
    </row>
    <row r="145">
      <c r="A145" s="58" t="n">
        <v>46311</v>
      </c>
      <c r="B145" s="59" t="inlineStr">
        <is>
          <t>ניתאי שלום</t>
        </is>
      </c>
      <c r="C145" s="60" t="inlineStr">
        <is>
          <t>תורנות מוצ"ש</t>
        </is>
      </c>
      <c r="D145" s="59" t="inlineStr">
        <is>
          <t>ניקיון בית המדרש</t>
        </is>
      </c>
      <c r="E145" s="60" t="n">
        <v>2</v>
      </c>
    </row>
    <row r="146">
      <c r="A146" s="58" t="n">
        <v>46311</v>
      </c>
      <c r="B146" s="59" t="inlineStr">
        <is>
          <t>תמר פרימור</t>
        </is>
      </c>
      <c r="C146" s="60" t="inlineStr">
        <is>
          <t>תורנות מוצ"ש</t>
        </is>
      </c>
      <c r="D146" s="59" t="inlineStr">
        <is>
          <t>ניקיון בית המדרש</t>
        </is>
      </c>
      <c r="E146" s="60" t="n">
        <v>2</v>
      </c>
    </row>
    <row r="147">
      <c r="A147" s="58" t="n">
        <v>46311</v>
      </c>
      <c r="B147" s="59" t="inlineStr">
        <is>
          <t>איתן כהן</t>
        </is>
      </c>
      <c r="C147" s="60" t="inlineStr">
        <is>
          <t>תורנות מוצ"ש</t>
        </is>
      </c>
      <c r="D147" s="59" t="inlineStr">
        <is>
          <t>ניקיון חדר האוכל</t>
        </is>
      </c>
      <c r="E147" s="60" t="n">
        <v>3</v>
      </c>
    </row>
    <row r="148">
      <c r="A148" s="58" t="n">
        <v>46311</v>
      </c>
      <c r="B148" s="59" t="inlineStr">
        <is>
          <t>אלה מאיר</t>
        </is>
      </c>
      <c r="C148" s="60" t="inlineStr">
        <is>
          <t>תורנות מוצ"ש</t>
        </is>
      </c>
      <c r="D148" s="59" t="inlineStr">
        <is>
          <t>ניקיון חדר האוכל</t>
        </is>
      </c>
      <c r="E148" s="60" t="n">
        <v>3</v>
      </c>
    </row>
    <row r="149">
      <c r="A149" s="58" t="n">
        <v>46311</v>
      </c>
      <c r="B149" s="59" t="inlineStr">
        <is>
          <t>אנה עזריאל</t>
        </is>
      </c>
      <c r="C149" s="60" t="inlineStr">
        <is>
          <t>תורנות מוצ"ש</t>
        </is>
      </c>
      <c r="D149" s="59" t="inlineStr">
        <is>
          <t>ניקיון חדר האוכל</t>
        </is>
      </c>
      <c r="E149" s="60" t="n">
        <v>3</v>
      </c>
    </row>
    <row r="150">
      <c r="A150" s="58" t="n">
        <v>46311</v>
      </c>
      <c r="B150" s="59" t="inlineStr">
        <is>
          <t>כליל בלאוקופף</t>
        </is>
      </c>
      <c r="C150" s="60" t="inlineStr">
        <is>
          <t>תורנות מוצ"ש</t>
        </is>
      </c>
      <c r="D150" s="59" t="inlineStr">
        <is>
          <t>ניקיון חדר האוכל</t>
        </is>
      </c>
      <c r="E150" s="60" t="n">
        <v>3</v>
      </c>
    </row>
    <row r="151">
      <c r="A151" s="58" t="n">
        <v>46311</v>
      </c>
      <c r="B151" s="59" t="inlineStr">
        <is>
          <t>משה אוברשטיין</t>
        </is>
      </c>
      <c r="C151" s="60" t="inlineStr">
        <is>
          <t>תורנות מוצ"ש</t>
        </is>
      </c>
      <c r="D151" s="59" t="inlineStr">
        <is>
          <t>ניקיון חדר האוכל</t>
        </is>
      </c>
      <c r="E151" s="60" t="n">
        <v>3</v>
      </c>
    </row>
    <row r="152">
      <c r="A152" s="58" t="n">
        <v>46311</v>
      </c>
      <c r="B152" s="59" t="inlineStr">
        <is>
          <t>נבו בלוך</t>
        </is>
      </c>
      <c r="C152" s="60" t="inlineStr">
        <is>
          <t>תורנות מוצ"ש</t>
        </is>
      </c>
      <c r="D152" s="59" t="inlineStr">
        <is>
          <t>ניקיון חדר האוכל</t>
        </is>
      </c>
      <c r="E152" s="60" t="n">
        <v>3</v>
      </c>
    </row>
    <row r="153">
      <c r="A153" s="58" t="n">
        <v>46311</v>
      </c>
      <c r="B153" s="59" t="inlineStr">
        <is>
          <t>נועם ישראל קומפאס</t>
        </is>
      </c>
      <c r="C153" s="60" t="inlineStr">
        <is>
          <t>תורנות מוצ"ש</t>
        </is>
      </c>
      <c r="D153" s="59" t="inlineStr">
        <is>
          <t>ניקיון חדר האוכל</t>
        </is>
      </c>
      <c r="E153" s="60" t="n">
        <v>3</v>
      </c>
    </row>
    <row r="154">
      <c r="A154" s="58" t="n">
        <v>46311</v>
      </c>
      <c r="B154" s="59" t="inlineStr">
        <is>
          <t>עופר בביוף</t>
        </is>
      </c>
      <c r="C154" s="60" t="inlineStr">
        <is>
          <t>תורנות מוצ"ש</t>
        </is>
      </c>
      <c r="D154" s="59" t="inlineStr">
        <is>
          <t>ניקיון חדר האוכל</t>
        </is>
      </c>
      <c r="E154" s="60" t="n">
        <v>3</v>
      </c>
    </row>
    <row r="155">
      <c r="A155" s="58" t="n">
        <v>46311</v>
      </c>
      <c r="B155" s="59" t="inlineStr">
        <is>
          <t>רותם דרור</t>
        </is>
      </c>
      <c r="C155" s="60" t="inlineStr">
        <is>
          <t>תורנות מוצ"ש</t>
        </is>
      </c>
      <c r="D155" s="59" t="inlineStr">
        <is>
          <t>ניקיון חדר האוכל</t>
        </is>
      </c>
      <c r="E155" s="60" t="n">
        <v>3</v>
      </c>
    </row>
    <row r="156">
      <c r="A156" s="58" t="n">
        <v>46311</v>
      </c>
      <c r="B156" s="59" t="inlineStr">
        <is>
          <t>שילת פילפל</t>
        </is>
      </c>
      <c r="C156" s="60" t="inlineStr">
        <is>
          <t>תורנות מוצ"ש</t>
        </is>
      </c>
      <c r="D156" s="59" t="inlineStr">
        <is>
          <t>ניקיון חדר האוכל</t>
        </is>
      </c>
      <c r="E156" s="60" t="n">
        <v>3</v>
      </c>
    </row>
    <row r="157">
      <c r="A157" s="58" t="n">
        <v>46311</v>
      </c>
      <c r="B157" s="59" t="inlineStr">
        <is>
          <t>של״ו רובינשטיין</t>
        </is>
      </c>
      <c r="C157" s="60" t="inlineStr">
        <is>
          <t>תורנות מוצ"ש</t>
        </is>
      </c>
      <c r="D157" s="59" t="inlineStr">
        <is>
          <t>ניקיון חדר האוכל</t>
        </is>
      </c>
      <c r="E157" s="60" t="n">
        <v>3</v>
      </c>
    </row>
    <row r="158">
      <c r="A158" s="58" t="n">
        <v>46311</v>
      </c>
      <c r="B158" s="59" t="inlineStr">
        <is>
          <t>תמר פרידמן</t>
        </is>
      </c>
      <c r="C158" s="60" t="inlineStr">
        <is>
          <t>תורנות מוצ"ש</t>
        </is>
      </c>
      <c r="D158" s="59" t="inlineStr">
        <is>
          <t>ניקיון חדר האוכל</t>
        </is>
      </c>
      <c r="E158" s="60" t="n">
        <v>3</v>
      </c>
    </row>
    <row r="159">
      <c r="A159" s="58" t="n">
        <v>46311</v>
      </c>
      <c r="B159" s="59" t="inlineStr">
        <is>
          <t>יונתן לירז</t>
        </is>
      </c>
      <c r="C159" s="60" t="inlineStr">
        <is>
          <t>תורנות שבת</t>
        </is>
      </c>
      <c r="D159" s="59" t="inlineStr">
        <is>
          <t>הכנת ארוחת ערב</t>
        </is>
      </c>
      <c r="E159" s="60" t="n">
        <v>2</v>
      </c>
    </row>
    <row r="160">
      <c r="A160" s="58" t="n">
        <v>46311</v>
      </c>
      <c r="B160" s="59" t="inlineStr">
        <is>
          <t>מעיין יוספי</t>
        </is>
      </c>
      <c r="C160" s="60" t="inlineStr">
        <is>
          <t>תורנות שבת</t>
        </is>
      </c>
      <c r="D160" s="59" t="inlineStr">
        <is>
          <t>הכנת ארוחת ערב</t>
        </is>
      </c>
      <c r="E160" s="60" t="n">
        <v>2</v>
      </c>
    </row>
    <row r="161">
      <c r="A161" s="58" t="n">
        <v>46311</v>
      </c>
      <c r="B161" s="59" t="inlineStr">
        <is>
          <t>מעיין רחל דינר</t>
        </is>
      </c>
      <c r="C161" s="60" t="inlineStr">
        <is>
          <t>תורנות שבת</t>
        </is>
      </c>
      <c r="D161" s="59" t="inlineStr">
        <is>
          <t>הכנת ארוחת ערב</t>
        </is>
      </c>
      <c r="E161" s="60" t="n">
        <v>2</v>
      </c>
    </row>
    <row r="162">
      <c r="A162" s="58" t="n">
        <v>46311</v>
      </c>
      <c r="B162" s="59" t="inlineStr">
        <is>
          <t>ניתאי שלום</t>
        </is>
      </c>
      <c r="C162" s="60" t="inlineStr">
        <is>
          <t>תורנות שבת</t>
        </is>
      </c>
      <c r="D162" s="59" t="inlineStr">
        <is>
          <t>הכנת ארוחת ערב</t>
        </is>
      </c>
      <c r="E162" s="60" t="n">
        <v>2</v>
      </c>
    </row>
    <row r="163">
      <c r="A163" s="58" t="n">
        <v>46311</v>
      </c>
      <c r="B163" s="59" t="inlineStr">
        <is>
          <t>איתמר אסנהיים</t>
        </is>
      </c>
      <c r="C163" s="60" t="inlineStr">
        <is>
          <t>תורנות שבת</t>
        </is>
      </c>
      <c r="D163" s="59" t="inlineStr">
        <is>
          <t>הכנת ארוחת צהריים שבת</t>
        </is>
      </c>
      <c r="E163" s="60" t="n">
        <v>2</v>
      </c>
    </row>
    <row r="164">
      <c r="A164" s="58" t="n">
        <v>46311</v>
      </c>
      <c r="B164" s="59" t="inlineStr">
        <is>
          <t>עמית סיילס</t>
        </is>
      </c>
      <c r="C164" s="60" t="inlineStr">
        <is>
          <t>תורנות שבת</t>
        </is>
      </c>
      <c r="D164" s="59" t="inlineStr">
        <is>
          <t>הכנת ארוחת צהריים שבת</t>
        </is>
      </c>
      <c r="E164" s="60" t="n">
        <v>2</v>
      </c>
    </row>
    <row r="165">
      <c r="A165" s="58" t="n">
        <v>46311</v>
      </c>
      <c r="B165" s="59" t="inlineStr">
        <is>
          <t>עמית שי אברהם</t>
        </is>
      </c>
      <c r="C165" s="60" t="inlineStr">
        <is>
          <t>תורנות שבת</t>
        </is>
      </c>
      <c r="D165" s="59" t="inlineStr">
        <is>
          <t>הכנת ארוחת צהריים שבת</t>
        </is>
      </c>
      <c r="E165" s="60" t="n">
        <v>2</v>
      </c>
    </row>
    <row r="166">
      <c r="A166" s="58" t="n">
        <v>46311</v>
      </c>
      <c r="B166" s="59" t="inlineStr">
        <is>
          <t>קובי סמייסון</t>
        </is>
      </c>
      <c r="C166" s="60" t="inlineStr">
        <is>
          <t>תורנות שבת</t>
        </is>
      </c>
      <c r="D166" s="59" t="inlineStr">
        <is>
          <t>הכנת ארוחת צהריים שבת</t>
        </is>
      </c>
      <c r="E166" s="60" t="n">
        <v>2</v>
      </c>
    </row>
    <row r="167">
      <c r="A167" s="58" t="n">
        <v>46311</v>
      </c>
      <c r="B167" s="59" t="inlineStr">
        <is>
          <t>אביה וייל</t>
        </is>
      </c>
      <c r="C167" s="60" t="inlineStr">
        <is>
          <t>תורנות שבת</t>
        </is>
      </c>
      <c r="D167" s="59" t="inlineStr">
        <is>
          <t>טיש</t>
        </is>
      </c>
      <c r="E167" s="60" t="n">
        <v>1</v>
      </c>
    </row>
    <row r="168">
      <c r="A168" s="58" t="n">
        <v>46311</v>
      </c>
      <c r="B168" s="59" t="inlineStr">
        <is>
          <t>אלרואי גרינברג</t>
        </is>
      </c>
      <c r="C168" s="60" t="inlineStr">
        <is>
          <t>תורנות שבת</t>
        </is>
      </c>
      <c r="D168" s="59" t="inlineStr">
        <is>
          <t>טיש</t>
        </is>
      </c>
      <c r="E168" s="60" t="n">
        <v>1</v>
      </c>
    </row>
    <row r="169">
      <c r="A169" s="58" t="n">
        <v>46311</v>
      </c>
      <c r="B169" s="59" t="inlineStr">
        <is>
          <t>הילה לביא</t>
        </is>
      </c>
      <c r="C169" s="60" t="inlineStr">
        <is>
          <t>תורנות שבת</t>
        </is>
      </c>
      <c r="D169" s="59" t="inlineStr">
        <is>
          <t>טיש</t>
        </is>
      </c>
      <c r="E169" s="60" t="n">
        <v>1</v>
      </c>
    </row>
    <row r="170">
      <c r="A170" s="58" t="n">
        <v>46311</v>
      </c>
      <c r="B170" s="59" t="inlineStr">
        <is>
          <t>יואב אוחנה</t>
        </is>
      </c>
      <c r="C170" s="60" t="inlineStr">
        <is>
          <t>תורנות שבת</t>
        </is>
      </c>
      <c r="D170" s="59" t="inlineStr">
        <is>
          <t>טיש</t>
        </is>
      </c>
      <c r="E170" s="60" t="n">
        <v>1</v>
      </c>
    </row>
    <row r="171">
      <c r="A171" s="58" t="n">
        <v>46311</v>
      </c>
      <c r="B171" s="59" t="inlineStr">
        <is>
          <t>רגב שהם</t>
        </is>
      </c>
      <c r="C171" s="60" t="inlineStr">
        <is>
          <t>תורנות שבת</t>
        </is>
      </c>
      <c r="D171" s="59" t="inlineStr">
        <is>
          <t>טיש</t>
        </is>
      </c>
      <c r="E171" s="60" t="n">
        <v>1</v>
      </c>
    </row>
    <row r="172">
      <c r="A172" s="58" t="n">
        <v>46311</v>
      </c>
      <c r="B172" s="59" t="inlineStr">
        <is>
          <t>ארבל פרנקו</t>
        </is>
      </c>
      <c r="C172" s="60" t="inlineStr">
        <is>
          <t>תורנות שבת</t>
        </is>
      </c>
      <c r="D172" s="59" t="inlineStr">
        <is>
          <t>פינוי ארוחת ערב</t>
        </is>
      </c>
      <c r="E172" s="60" t="n">
        <v>2</v>
      </c>
    </row>
    <row r="173">
      <c r="A173" s="58" t="n">
        <v>46311</v>
      </c>
      <c r="B173" s="59" t="inlineStr">
        <is>
          <t>בניה מעוז</t>
        </is>
      </c>
      <c r="C173" s="60" t="inlineStr">
        <is>
          <t>תורנות שבת</t>
        </is>
      </c>
      <c r="D173" s="59" t="inlineStr">
        <is>
          <t>פינוי ארוחת ערב</t>
        </is>
      </c>
      <c r="E173" s="60" t="n">
        <v>2</v>
      </c>
    </row>
    <row r="174">
      <c r="A174" s="58" t="n">
        <v>46311</v>
      </c>
      <c r="B174" s="59" t="inlineStr">
        <is>
          <t>הלל פינגולד</t>
        </is>
      </c>
      <c r="C174" s="60" t="inlineStr">
        <is>
          <t>תורנות שבת</t>
        </is>
      </c>
      <c r="D174" s="59" t="inlineStr">
        <is>
          <t>פינוי ארוחת ערב</t>
        </is>
      </c>
      <c r="E174" s="60" t="n">
        <v>2</v>
      </c>
    </row>
    <row r="175">
      <c r="A175" s="58" t="n">
        <v>46311</v>
      </c>
      <c r="B175" s="59" t="inlineStr">
        <is>
          <t>ינון לוי</t>
        </is>
      </c>
      <c r="C175" s="60" t="inlineStr">
        <is>
          <t>תורנות שבת</t>
        </is>
      </c>
      <c r="D175" s="59" t="inlineStr">
        <is>
          <t>פינוי ארוחת ערב</t>
        </is>
      </c>
      <c r="E175" s="60" t="n">
        <v>2</v>
      </c>
    </row>
    <row r="176">
      <c r="A176" s="58" t="n">
        <v>46311</v>
      </c>
      <c r="B176" s="59" t="inlineStr">
        <is>
          <t>ניצן גמלא</t>
        </is>
      </c>
      <c r="C176" s="60" t="inlineStr">
        <is>
          <t>תורנות שבת</t>
        </is>
      </c>
      <c r="D176" s="59" t="inlineStr">
        <is>
          <t>פינוי ארוחת ערב</t>
        </is>
      </c>
      <c r="E176" s="60" t="n">
        <v>2</v>
      </c>
    </row>
    <row r="177">
      <c r="A177" s="58" t="n">
        <v>46311</v>
      </c>
      <c r="B177" s="59" t="inlineStr">
        <is>
          <t>אחיה נחמני</t>
        </is>
      </c>
      <c r="C177" s="60" t="inlineStr">
        <is>
          <t>תורנות שבת</t>
        </is>
      </c>
      <c r="D177" s="59" t="inlineStr">
        <is>
          <t>פינוי ארוחת צהריים שבת</t>
        </is>
      </c>
      <c r="E177" s="60" t="n">
        <v>2</v>
      </c>
    </row>
    <row r="178">
      <c r="A178" s="58" t="n">
        <v>46311</v>
      </c>
      <c r="B178" s="59" t="inlineStr">
        <is>
          <t>אלה גוטליב</t>
        </is>
      </c>
      <c r="C178" s="60" t="inlineStr">
        <is>
          <t>תורנות שבת</t>
        </is>
      </c>
      <c r="D178" s="59" t="inlineStr">
        <is>
          <t>פינוי ארוחת צהריים שבת</t>
        </is>
      </c>
      <c r="E178" s="60" t="n">
        <v>2</v>
      </c>
    </row>
    <row r="179">
      <c r="A179" s="58" t="n">
        <v>46311</v>
      </c>
      <c r="B179" s="59" t="inlineStr">
        <is>
          <t>מאיה פקטר</t>
        </is>
      </c>
      <c r="C179" s="60" t="inlineStr">
        <is>
          <t>תורנות שבת</t>
        </is>
      </c>
      <c r="D179" s="59" t="inlineStr">
        <is>
          <t>פינוי ארוחת צהריים שבת</t>
        </is>
      </c>
      <c r="E179" s="60" t="n">
        <v>2</v>
      </c>
    </row>
    <row r="180">
      <c r="A180" s="58" t="n">
        <v>46311</v>
      </c>
      <c r="B180" s="59" t="inlineStr">
        <is>
          <t>שחר קרן</t>
        </is>
      </c>
      <c r="C180" s="60" t="inlineStr">
        <is>
          <t>תורנות שבת</t>
        </is>
      </c>
      <c r="D180" s="59" t="inlineStr">
        <is>
          <t>פינוי ארוחת צהריים שבת</t>
        </is>
      </c>
      <c r="E180" s="60" t="n">
        <v>2</v>
      </c>
    </row>
    <row r="181">
      <c r="A181" s="58" t="n">
        <v>46311</v>
      </c>
      <c r="B181" s="59" t="inlineStr">
        <is>
          <t>שירה ספונוב</t>
        </is>
      </c>
      <c r="C181" s="60" t="inlineStr">
        <is>
          <t>תורנות שבת</t>
        </is>
      </c>
      <c r="D181" s="59" t="inlineStr">
        <is>
          <t>פינוי ארוחת צהריים שבת</t>
        </is>
      </c>
      <c r="E181" s="60" t="n">
        <v>2</v>
      </c>
    </row>
    <row r="182">
      <c r="A182" s="58" t="n">
        <v>46311</v>
      </c>
      <c r="B182" s="59" t="inlineStr">
        <is>
          <t>הדר עמדי</t>
        </is>
      </c>
      <c r="C182" s="60" t="inlineStr">
        <is>
          <t>תורנות שבת</t>
        </is>
      </c>
      <c r="D182" s="59" t="inlineStr">
        <is>
          <t>קידוש</t>
        </is>
      </c>
      <c r="E182" s="60" t="n">
        <v>1</v>
      </c>
    </row>
    <row r="183">
      <c r="A183" s="58" t="n">
        <v>46311</v>
      </c>
      <c r="B183" s="59" t="inlineStr">
        <is>
          <t>זואי כהן</t>
        </is>
      </c>
      <c r="C183" s="60" t="inlineStr">
        <is>
          <t>תורנות שבת</t>
        </is>
      </c>
      <c r="D183" s="59" t="inlineStr">
        <is>
          <t>קידוש</t>
        </is>
      </c>
      <c r="E183" s="60" t="n">
        <v>1</v>
      </c>
    </row>
    <row r="184">
      <c r="A184" s="58" t="n">
        <v>46311</v>
      </c>
      <c r="B184" s="59" t="inlineStr">
        <is>
          <t>יובל יצחק</t>
        </is>
      </c>
      <c r="C184" s="60" t="inlineStr">
        <is>
          <t>תורנות שבת</t>
        </is>
      </c>
      <c r="D184" s="59" t="inlineStr">
        <is>
          <t>קידוש</t>
        </is>
      </c>
      <c r="E184" s="60" t="n">
        <v>1</v>
      </c>
    </row>
    <row r="185">
      <c r="A185" s="58" t="n">
        <v>46311</v>
      </c>
      <c r="B185" s="59" t="inlineStr">
        <is>
          <t>יערה ריס</t>
        </is>
      </c>
      <c r="C185" s="60" t="inlineStr">
        <is>
          <t>תורנות שבת</t>
        </is>
      </c>
      <c r="D185" s="59" t="inlineStr">
        <is>
          <t>קידוש</t>
        </is>
      </c>
      <c r="E185" s="60" t="n">
        <v>1</v>
      </c>
    </row>
    <row r="186">
      <c r="A186" s="58" t="n">
        <v>46311</v>
      </c>
      <c r="B186" s="59" t="inlineStr">
        <is>
          <t>רוני כהן</t>
        </is>
      </c>
      <c r="C186" s="60" t="inlineStr">
        <is>
          <t>תורנות שבת</t>
        </is>
      </c>
      <c r="D186" s="59" t="inlineStr">
        <is>
          <t>קידוש</t>
        </is>
      </c>
      <c r="E186" s="60" t="n">
        <v>1</v>
      </c>
    </row>
    <row r="187">
      <c r="A187" s="58" t="n">
        <v>46311</v>
      </c>
      <c r="B187" s="59" t="inlineStr">
        <is>
          <t>אוריה תעשה</t>
        </is>
      </c>
      <c r="C187" s="60" t="inlineStr">
        <is>
          <t>תורנות שישי</t>
        </is>
      </c>
      <c r="D187" s="59" t="inlineStr">
        <is>
          <t>בית מדרש</t>
        </is>
      </c>
      <c r="E187" s="60" t="n">
        <v>3</v>
      </c>
    </row>
    <row r="188">
      <c r="A188" s="58" t="n">
        <v>46311</v>
      </c>
      <c r="B188" s="59" t="inlineStr">
        <is>
          <t>איתמר אסנהיים</t>
        </is>
      </c>
      <c r="C188" s="60" t="inlineStr">
        <is>
          <t>תורנות שישי</t>
        </is>
      </c>
      <c r="D188" s="59" t="inlineStr">
        <is>
          <t>בית מדרש</t>
        </is>
      </c>
      <c r="E188" s="60" t="n">
        <v>3</v>
      </c>
    </row>
    <row r="189">
      <c r="A189" s="58" t="n">
        <v>46311</v>
      </c>
      <c r="B189" s="59" t="inlineStr">
        <is>
          <t>אנה עזריאל</t>
        </is>
      </c>
      <c r="C189" s="60" t="inlineStr">
        <is>
          <t>תורנות שישי</t>
        </is>
      </c>
      <c r="D189" s="59" t="inlineStr">
        <is>
          <t>בית מדרש</t>
        </is>
      </c>
      <c r="E189" s="60" t="n">
        <v>3</v>
      </c>
    </row>
    <row r="190">
      <c r="A190" s="58" t="n">
        <v>46311</v>
      </c>
      <c r="B190" s="59" t="inlineStr">
        <is>
          <t>הילה לביא</t>
        </is>
      </c>
      <c r="C190" s="60" t="inlineStr">
        <is>
          <t>תורנות שישי</t>
        </is>
      </c>
      <c r="D190" s="59" t="inlineStr">
        <is>
          <t>בית מדרש</t>
        </is>
      </c>
      <c r="E190" s="60" t="n">
        <v>3</v>
      </c>
    </row>
    <row r="191">
      <c r="A191" s="58" t="n">
        <v>46311</v>
      </c>
      <c r="B191" s="59" t="inlineStr">
        <is>
          <t>חיים שמאי</t>
        </is>
      </c>
      <c r="C191" s="60" t="inlineStr">
        <is>
          <t>תורנות שישי</t>
        </is>
      </c>
      <c r="D191" s="59" t="inlineStr">
        <is>
          <t>בית מדרש</t>
        </is>
      </c>
      <c r="E191" s="60" t="n">
        <v>3</v>
      </c>
    </row>
    <row r="192">
      <c r="A192" s="58" t="n">
        <v>46311</v>
      </c>
      <c r="B192" s="59" t="inlineStr">
        <is>
          <t>משה אוברשטיין</t>
        </is>
      </c>
      <c r="C192" s="60" t="inlineStr">
        <is>
          <t>תורנות שישי</t>
        </is>
      </c>
      <c r="D192" s="59" t="inlineStr">
        <is>
          <t>בית מדרש</t>
        </is>
      </c>
      <c r="E192" s="60" t="n">
        <v>3</v>
      </c>
    </row>
    <row r="193">
      <c r="A193" s="58" t="n">
        <v>46311</v>
      </c>
      <c r="B193" s="59" t="inlineStr">
        <is>
          <t>נועם ישראל קומפאס</t>
        </is>
      </c>
      <c r="C193" s="60" t="inlineStr">
        <is>
          <t>תורנות שישי</t>
        </is>
      </c>
      <c r="D193" s="59" t="inlineStr">
        <is>
          <t>בית מדרש</t>
        </is>
      </c>
      <c r="E193" s="60" t="n">
        <v>3</v>
      </c>
    </row>
    <row r="194">
      <c r="A194" s="58" t="n">
        <v>46311</v>
      </c>
      <c r="B194" s="59" t="inlineStr">
        <is>
          <t>רוני פרנקל</t>
        </is>
      </c>
      <c r="C194" s="60" t="inlineStr">
        <is>
          <t>תורנות שישי</t>
        </is>
      </c>
      <c r="D194" s="59" t="inlineStr">
        <is>
          <t>בית מדרש</t>
        </is>
      </c>
      <c r="E194" s="60" t="n">
        <v>3</v>
      </c>
    </row>
    <row r="195">
      <c r="A195" s="58" t="n">
        <v>46311</v>
      </c>
      <c r="B195" s="59" t="inlineStr">
        <is>
          <t>שחר מרקוביץ' גליק</t>
        </is>
      </c>
      <c r="C195" s="60" t="inlineStr">
        <is>
          <t>תורנות שישי</t>
        </is>
      </c>
      <c r="D195" s="59" t="inlineStr">
        <is>
          <t>בית מדרש</t>
        </is>
      </c>
      <c r="E195" s="60" t="n">
        <v>3</v>
      </c>
    </row>
    <row r="196">
      <c r="A196" s="58" t="n">
        <v>46311</v>
      </c>
      <c r="B196" s="59" t="inlineStr">
        <is>
          <t>שילת פילפל</t>
        </is>
      </c>
      <c r="C196" s="60" t="inlineStr">
        <is>
          <t>תורנות שישי</t>
        </is>
      </c>
      <c r="D196" s="59" t="inlineStr">
        <is>
          <t>בית מדרש</t>
        </is>
      </c>
      <c r="E196" s="60" t="n">
        <v>3</v>
      </c>
    </row>
    <row r="197">
      <c r="A197" s="58" t="n">
        <v>46311</v>
      </c>
      <c r="B197" s="59" t="inlineStr">
        <is>
          <t>של״ו רובינשטיין</t>
        </is>
      </c>
      <c r="C197" s="60" t="inlineStr">
        <is>
          <t>תורנות שישי</t>
        </is>
      </c>
      <c r="D197" s="59" t="inlineStr">
        <is>
          <t>בית מדרש</t>
        </is>
      </c>
      <c r="E197" s="60" t="n">
        <v>3</v>
      </c>
    </row>
    <row r="198">
      <c r="A198" s="58" t="n">
        <v>46311</v>
      </c>
      <c r="B198" s="59" t="inlineStr">
        <is>
          <t>תמר פרידמן</t>
        </is>
      </c>
      <c r="C198" s="60" t="inlineStr">
        <is>
          <t>תורנות שישי</t>
        </is>
      </c>
      <c r="D198" s="59" t="inlineStr">
        <is>
          <t>בית מדרש</t>
        </is>
      </c>
      <c r="E198" s="60" t="n">
        <v>3</v>
      </c>
    </row>
    <row r="199">
      <c r="A199" s="58" t="n">
        <v>46311</v>
      </c>
      <c r="B199" s="59" t="inlineStr">
        <is>
          <t>איתן וינסטון</t>
        </is>
      </c>
      <c r="C199" s="60" t="inlineStr">
        <is>
          <t>תורנות שישי</t>
        </is>
      </c>
      <c r="D199" s="59" t="inlineStr">
        <is>
          <t>ניקיון חדר האוכל בשישי</t>
        </is>
      </c>
      <c r="E199" s="60" t="n">
        <v>3</v>
      </c>
    </row>
    <row r="200">
      <c r="A200" s="58" t="n">
        <v>46311</v>
      </c>
      <c r="B200" s="59" t="inlineStr">
        <is>
          <t>הילה עזרא</t>
        </is>
      </c>
      <c r="C200" s="60" t="inlineStr">
        <is>
          <t>תורנות שישי</t>
        </is>
      </c>
      <c r="D200" s="59" t="inlineStr">
        <is>
          <t>ניקיון חדר האוכל בשישי</t>
        </is>
      </c>
      <c r="E200" s="60" t="n">
        <v>3</v>
      </c>
    </row>
    <row r="201">
      <c r="A201" s="58" t="n">
        <v>46311</v>
      </c>
      <c r="B201" s="59" t="inlineStr">
        <is>
          <t>הילי אלפסי</t>
        </is>
      </c>
      <c r="C201" s="60" t="inlineStr">
        <is>
          <t>תורנות שישי</t>
        </is>
      </c>
      <c r="D201" s="59" t="inlineStr">
        <is>
          <t>ניקיון חדר האוכל בשישי</t>
        </is>
      </c>
      <c r="E201" s="60" t="n">
        <v>3</v>
      </c>
    </row>
    <row r="202">
      <c r="A202" s="58" t="n">
        <v>46311</v>
      </c>
      <c r="B202" s="59" t="inlineStr">
        <is>
          <t>כליל בלאוקופף</t>
        </is>
      </c>
      <c r="C202" s="60" t="inlineStr">
        <is>
          <t>תורנות שישי</t>
        </is>
      </c>
      <c r="D202" s="59" t="inlineStr">
        <is>
          <t>ניקיון חדר האוכל בשישי</t>
        </is>
      </c>
      <c r="E202" s="60" t="n">
        <v>3</v>
      </c>
    </row>
    <row r="203">
      <c r="A203" s="58" t="n">
        <v>46311</v>
      </c>
      <c r="B203" s="59" t="inlineStr">
        <is>
          <t>נגה שוהם</t>
        </is>
      </c>
      <c r="C203" s="60" t="inlineStr">
        <is>
          <t>תורנות שישי</t>
        </is>
      </c>
      <c r="D203" s="59" t="inlineStr">
        <is>
          <t>ניקיון חדר האוכל בשישי</t>
        </is>
      </c>
      <c r="E203" s="60" t="n">
        <v>3</v>
      </c>
    </row>
    <row r="204">
      <c r="A204" s="58" t="n">
        <v>46311</v>
      </c>
      <c r="B204" s="59" t="inlineStr">
        <is>
          <t>נדב טוקר</t>
        </is>
      </c>
      <c r="C204" s="60" t="inlineStr">
        <is>
          <t>תורנות שישי</t>
        </is>
      </c>
      <c r="D204" s="59" t="inlineStr">
        <is>
          <t>ניקיון חדר האוכל בשישי</t>
        </is>
      </c>
      <c r="E204" s="60" t="n">
        <v>3</v>
      </c>
    </row>
    <row r="205">
      <c r="A205" s="58" t="n">
        <v>46311</v>
      </c>
      <c r="B205" s="59" t="inlineStr">
        <is>
          <t>שי- לי וולגמוט</t>
        </is>
      </c>
      <c r="C205" s="60" t="inlineStr">
        <is>
          <t>תורנות שישי</t>
        </is>
      </c>
      <c r="D205" s="59" t="inlineStr">
        <is>
          <t>ניקיון חדר האוכל בשישי</t>
        </is>
      </c>
      <c r="E205"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53" t="inlineStr">
        <is>
          <t>סלטים</t>
        </is>
      </c>
      <c r="B11" s="47" t="inlineStr">
        <is>
          <t>סלט טחינה ביתית</t>
        </is>
      </c>
      <c r="C11" s="53"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ht="120" customHeight="1">
      <c r="A12" s="53" t="n"/>
      <c r="B12" s="47" t="inlineStr">
        <is>
          <t>עוגת שוקולד</t>
        </is>
      </c>
      <c r="C12" s="53" t="inlineStr">
        <is>
          <t>6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אורז עם אטריות</t>
        </is>
      </c>
      <c r="C4" s="53" t="n"/>
      <c r="D4" s="21" t="n"/>
    </row>
    <row r="5">
      <c r="A5" s="53" t="inlineStr">
        <is>
          <t>ארוחת ערב</t>
        </is>
      </c>
      <c r="B5" s="48" t="inlineStr">
        <is>
          <t>אפונה וגזר</t>
        </is>
      </c>
      <c r="C5" s="53" t="n"/>
      <c r="D5" s="21" t="n"/>
    </row>
    <row r="6">
      <c r="A6" s="53" t="inlineStr">
        <is>
          <t>ארוחת ערב</t>
        </is>
      </c>
      <c r="B6" s="48" t="inlineStr">
        <is>
          <t>פלפל ממולא (טבעוני)</t>
        </is>
      </c>
      <c r="C6" s="53" t="n"/>
      <c r="D6" s="21" t="n"/>
    </row>
    <row r="7">
      <c r="A7" s="53" t="inlineStr">
        <is>
          <t>ארוחת צהריים</t>
        </is>
      </c>
      <c r="B7" s="48" t="inlineStr">
        <is>
          <t>כתף בקר</t>
        </is>
      </c>
      <c r="C7" s="53" t="n"/>
      <c r="D7" s="21" t="n"/>
    </row>
    <row r="8">
      <c r="A8" s="53" t="inlineStr">
        <is>
          <t>ארוחת צהריים</t>
        </is>
      </c>
      <c r="B8" s="48" t="inlineStr">
        <is>
          <t>אורז לבן</t>
        </is>
      </c>
      <c r="C8" s="53" t="n"/>
      <c r="D8" s="21" t="n"/>
    </row>
    <row r="9">
      <c r="A9" s="53" t="inlineStr">
        <is>
          <t>ארוחת צהריים</t>
        </is>
      </c>
      <c r="B9" s="48" t="inlineStr">
        <is>
          <t>תפו"א ובטטה</t>
        </is>
      </c>
      <c r="C9" s="53" t="n"/>
      <c r="D9" s="21" t="n"/>
    </row>
    <row r="10">
      <c r="A10" s="53" t="inlineStr">
        <is>
          <t>ארוחת צהריים</t>
        </is>
      </c>
      <c r="B10" s="48" t="inlineStr">
        <is>
          <t>שעועית ירוקה מוקפצת</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n"/>
      <c r="B21" s="48" t="n"/>
      <c r="C21" s="53" t="n"/>
      <c r="D21" s="21" t="n"/>
    </row>
    <row r="22">
      <c r="A22" s="53" t="n"/>
      <c r="B22" s="48" t="n"/>
      <c r="C22" s="53" t="n"/>
      <c r="D22" s="21" t="n"/>
    </row>
    <row r="23">
      <c r="A23" s="53" t="n"/>
      <c r="B23" s="48" t="n"/>
      <c r="C23" s="53" t="n"/>
      <c r="D23" s="21" t="n"/>
    </row>
    <row r="24">
      <c r="A24" s="53" t="n"/>
      <c r="B24" s="48" t="n"/>
      <c r="C24" s="53" t="n"/>
      <c r="D24" s="21" t="n"/>
    </row>
    <row r="25">
      <c r="A25" s="53" t="n"/>
      <c r="B25" s="48" t="n"/>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2026-10-14T16:24:44Z</dcterms:created>
  <dcterms:modified xsi:type="dcterms:W3CDTF">2026-10-14T16:24:46Z</dcterms:modified>
</cp:coreProperties>
</file>