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##;-0.##;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9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  <border>
      <left style="thin">
        <color rgb="00C9CFD8"/>
      </left>
      <right/>
      <top/>
      <bottom/>
      <diagonal/>
    </border>
    <border>
      <left style="thin">
        <color rgb="00C9CFD8"/>
      </left>
      <right style="thin">
        <color rgb="00C9CFD8"/>
      </right>
      <top/>
      <bottom/>
      <diagonal/>
    </border>
    <border>
      <left style="thin">
        <color rgb="00C9CFD8"/>
      </left>
      <right style="thin">
        <color rgb="00C9CFD8"/>
      </right>
      <top/>
      <bottom style="thin">
        <color rgb="00C9CFD8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>
        <v>46269</v>
      </c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14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IF('קבוצות'!$D$3="","",'קבוצות'!$D$3)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E4" s="58" t="n"/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58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58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58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58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58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58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58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58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58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58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58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58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58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58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58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58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58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58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IF('קבוצות'!$D$4="","",'קבוצות'!$D$4)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E29" s="58" t="n"/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58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58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58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58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58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58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58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58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58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58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58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58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58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58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58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58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58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58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IF('קבוצות'!$D$5="","",'קבוצות'!$D$5)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E54" s="58" t="n"/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58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58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58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58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58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58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58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58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58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58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58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58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58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58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58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58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58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58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IF('קבוצות'!$D$6="","",'קבוצות'!$D$6)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E79" s="58" t="n"/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58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58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58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58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58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58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58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58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58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58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58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58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58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58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58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58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58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58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IF('קבוצות'!$D$7="","",'קבוצות'!$D$7)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E104" s="58" t="n"/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58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58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58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58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58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58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58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58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58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58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58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58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58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58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58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58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58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58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IF('קבוצות'!$D$8="","",'קבוצות'!$D$8)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E129" s="58" t="n"/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58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58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58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58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58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58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58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58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58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58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58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58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58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58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58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58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58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58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</sheetData>
  <mergeCells count="138">
    <mergeCell ref="D20:E20"/>
    <mergeCell ref="D60:E60"/>
    <mergeCell ref="D84:E84"/>
    <mergeCell ref="D22:E22"/>
    <mergeCell ref="D36:E36"/>
    <mergeCell ref="A3:F3"/>
    <mergeCell ref="D31:E31"/>
    <mergeCell ref="D45:E45"/>
    <mergeCell ref="D6:E6"/>
    <mergeCell ref="D108:E108"/>
    <mergeCell ref="D86:E86"/>
    <mergeCell ref="D13:E13"/>
    <mergeCell ref="D61:E61"/>
    <mergeCell ref="D141:E141"/>
    <mergeCell ref="D70:E70"/>
    <mergeCell ref="D135:E135"/>
    <mergeCell ref="D7:E7"/>
    <mergeCell ref="D72:E72"/>
    <mergeCell ref="D134:E134"/>
    <mergeCell ref="D112:E112"/>
    <mergeCell ref="D4:E4"/>
    <mergeCell ref="D62:E62"/>
    <mergeCell ref="D56:E56"/>
    <mergeCell ref="D71:E71"/>
    <mergeCell ref="D114:E114"/>
    <mergeCell ref="A73:F73"/>
    <mergeCell ref="A51:F51"/>
    <mergeCell ref="D64:E64"/>
    <mergeCell ref="D33:E33"/>
    <mergeCell ref="D113:E113"/>
    <mergeCell ref="D88:E88"/>
    <mergeCell ref="D35:E35"/>
    <mergeCell ref="D115:E115"/>
    <mergeCell ref="D10:E10"/>
    <mergeCell ref="D138:E138"/>
    <mergeCell ref="D19:E19"/>
    <mergeCell ref="D34:E34"/>
    <mergeCell ref="D90:E90"/>
    <mergeCell ref="A27:F27"/>
    <mergeCell ref="D131:E131"/>
    <mergeCell ref="A101:F101"/>
    <mergeCell ref="D140:E140"/>
    <mergeCell ref="A2:F2"/>
    <mergeCell ref="D11:E11"/>
    <mergeCell ref="A126:F126"/>
    <mergeCell ref="D66:E66"/>
    <mergeCell ref="D47:E47"/>
    <mergeCell ref="A28:F28"/>
    <mergeCell ref="D37:E37"/>
    <mergeCell ref="A127:F127"/>
    <mergeCell ref="A48:F48"/>
    <mergeCell ref="D9:E9"/>
    <mergeCell ref="D118:E118"/>
    <mergeCell ref="D39:E39"/>
    <mergeCell ref="A98:F98"/>
    <mergeCell ref="D15:E15"/>
    <mergeCell ref="D29:E29"/>
    <mergeCell ref="D142:E142"/>
    <mergeCell ref="D38:E38"/>
    <mergeCell ref="D89:E89"/>
    <mergeCell ref="D129:E129"/>
    <mergeCell ref="D79:E79"/>
    <mergeCell ref="D144:E144"/>
    <mergeCell ref="D63:E63"/>
    <mergeCell ref="D81:E81"/>
    <mergeCell ref="A26:F26"/>
    <mergeCell ref="D65:E65"/>
    <mergeCell ref="D96:E96"/>
    <mergeCell ref="D105:E105"/>
    <mergeCell ref="D139:E139"/>
    <mergeCell ref="A76:F76"/>
    <mergeCell ref="D120:E120"/>
    <mergeCell ref="D107:E107"/>
    <mergeCell ref="D116:E116"/>
    <mergeCell ref="D17:E17"/>
    <mergeCell ref="A53:F53"/>
    <mergeCell ref="D91:E91"/>
    <mergeCell ref="A102:F102"/>
    <mergeCell ref="D106:E106"/>
    <mergeCell ref="D146:E146"/>
    <mergeCell ref="D93:E93"/>
    <mergeCell ref="D12:E12"/>
    <mergeCell ref="D83:E83"/>
    <mergeCell ref="D143:E143"/>
    <mergeCell ref="D117:E117"/>
    <mergeCell ref="D92:E92"/>
    <mergeCell ref="D55:E55"/>
    <mergeCell ref="D30:E30"/>
    <mergeCell ref="A1:F1"/>
    <mergeCell ref="D67:E67"/>
    <mergeCell ref="D5:E5"/>
    <mergeCell ref="A103:F103"/>
    <mergeCell ref="D133:E133"/>
    <mergeCell ref="D14:E14"/>
    <mergeCell ref="D85:E85"/>
    <mergeCell ref="D54:E54"/>
    <mergeCell ref="A78:F78"/>
    <mergeCell ref="D94:E94"/>
    <mergeCell ref="D69:E69"/>
    <mergeCell ref="D109:E109"/>
    <mergeCell ref="A128:F128"/>
    <mergeCell ref="D119:E119"/>
    <mergeCell ref="D46:E46"/>
    <mergeCell ref="D40:E40"/>
    <mergeCell ref="D80:E80"/>
    <mergeCell ref="D111:E111"/>
    <mergeCell ref="D21:E21"/>
    <mergeCell ref="D95:E95"/>
    <mergeCell ref="D104:E104"/>
    <mergeCell ref="D57:E57"/>
    <mergeCell ref="A23:F23"/>
    <mergeCell ref="D136:E136"/>
    <mergeCell ref="D32:E32"/>
    <mergeCell ref="D145:E145"/>
    <mergeCell ref="D41:E41"/>
    <mergeCell ref="D97:E97"/>
    <mergeCell ref="D16:E16"/>
    <mergeCell ref="A52:F52"/>
    <mergeCell ref="D87:E87"/>
    <mergeCell ref="D147:E147"/>
    <mergeCell ref="D43:E43"/>
    <mergeCell ref="D122:E122"/>
    <mergeCell ref="D137:E137"/>
    <mergeCell ref="D18:E18"/>
    <mergeCell ref="D58:E58"/>
    <mergeCell ref="A77:F77"/>
    <mergeCell ref="A148:F148"/>
    <mergeCell ref="D8:E8"/>
    <mergeCell ref="D121:E121"/>
    <mergeCell ref="D130:E130"/>
    <mergeCell ref="D68:E68"/>
    <mergeCell ref="D42:E42"/>
    <mergeCell ref="A123:F123"/>
    <mergeCell ref="D82:E82"/>
    <mergeCell ref="D132:E132"/>
    <mergeCell ref="D110:E110"/>
    <mergeCell ref="D44:E44"/>
    <mergeCell ref="D59:E59"/>
  </mergeCells>
  <conditionalFormatting sqref="A2:F3">
    <cfRule type="expression" priority="1" dxfId="1">
      <formula>'קבוצות'!$E$3="ורוד"</formula>
    </cfRule>
    <cfRule type="expression" priority="4" dxfId="2">
      <formula>'קבוצות'!$E$3="ים"</formula>
    </cfRule>
    <cfRule type="expression" priority="7" dxfId="3">
      <formula>'קבוצות'!$E$3="ספארי"</formula>
    </cfRule>
    <cfRule type="expression" priority="10" dxfId="4">
      <formula>'קבוצות'!$E$3="שדה"</formula>
    </cfRule>
    <cfRule type="expression" priority="13" dxfId="5">
      <formula>'קבוצות'!$E$3="סגול"</formula>
    </cfRule>
    <cfRule type="expression" priority="16" dxfId="6">
      <formula>'קבוצות'!$E$3="ירוק"</formula>
    </cfRule>
  </conditionalFormatting>
  <conditionalFormatting sqref="A5:A22">
    <cfRule type="expression" priority="2" dxfId="1">
      <formula>'קבוצות'!$E$3="ורוד"</formula>
    </cfRule>
    <cfRule type="expression" priority="5" dxfId="2">
      <formula>'קבוצות'!$E$3="ים"</formula>
    </cfRule>
    <cfRule type="expression" priority="8" dxfId="3">
      <formula>'קבוצות'!$E$3="ספארי"</formula>
    </cfRule>
    <cfRule type="expression" priority="11" dxfId="4">
      <formula>'קבוצות'!$E$3="שדה"</formula>
    </cfRule>
    <cfRule type="expression" priority="14" dxfId="5">
      <formula>'קבוצות'!$E$3="סגול"</formula>
    </cfRule>
    <cfRule type="expression" priority="17" dxfId="6">
      <formula>'קבוצות'!$E$3="ירוק"</formula>
    </cfRule>
  </conditionalFormatting>
  <conditionalFormatting sqref="A1:F1">
    <cfRule type="expression" priority="3" dxfId="7">
      <formula>'קבוצות'!$E$3="ורוד"</formula>
    </cfRule>
    <cfRule type="expression" priority="6" dxfId="8">
      <formula>'קבוצות'!$E$3="ים"</formula>
    </cfRule>
    <cfRule type="expression" priority="9" dxfId="9">
      <formula>'קבוצות'!$E$3="ספארי"</formula>
    </cfRule>
    <cfRule type="expression" priority="12" dxfId="10">
      <formula>'קבוצות'!$E$3="שדה"</formula>
    </cfRule>
    <cfRule type="expression" priority="15" dxfId="11">
      <formula>'קבוצות'!$E$3="סגול"</formula>
    </cfRule>
    <cfRule type="expression" priority="18" dxfId="12">
      <formula>'קבוצות'!$E$3="ירוק"</formula>
    </cfRule>
  </conditionalFormatting>
  <conditionalFormatting sqref="A27:F28">
    <cfRule type="expression" priority="19" dxfId="1">
      <formula>'קבוצות'!$E$4="ורוד"</formula>
    </cfRule>
    <cfRule type="expression" priority="22" dxfId="2">
      <formula>'קבוצות'!$E$4="ים"</formula>
    </cfRule>
    <cfRule type="expression" priority="25" dxfId="3">
      <formula>'קבוצות'!$E$4="ספארי"</formula>
    </cfRule>
    <cfRule type="expression" priority="28" dxfId="4">
      <formula>'קבוצות'!$E$4="שדה"</formula>
    </cfRule>
    <cfRule type="expression" priority="31" dxfId="5">
      <formula>'קבוצות'!$E$4="סגול"</formula>
    </cfRule>
    <cfRule type="expression" priority="34" dxfId="6">
      <formula>'קבוצות'!$E$4="ירוק"</formula>
    </cfRule>
  </conditionalFormatting>
  <conditionalFormatting sqref="A30:A47">
    <cfRule type="expression" priority="20" dxfId="1">
      <formula>'קבוצות'!$E$4="ורוד"</formula>
    </cfRule>
    <cfRule type="expression" priority="23" dxfId="2">
      <formula>'קבוצות'!$E$4="ים"</formula>
    </cfRule>
    <cfRule type="expression" priority="26" dxfId="3">
      <formula>'קבוצות'!$E$4="ספארי"</formula>
    </cfRule>
    <cfRule type="expression" priority="29" dxfId="4">
      <formula>'קבוצות'!$E$4="שדה"</formula>
    </cfRule>
    <cfRule type="expression" priority="32" dxfId="5">
      <formula>'קבוצות'!$E$4="סגול"</formula>
    </cfRule>
    <cfRule type="expression" priority="35" dxfId="6">
      <formula>'קבוצות'!$E$4="ירוק"</formula>
    </cfRule>
  </conditionalFormatting>
  <conditionalFormatting sqref="A26:F26">
    <cfRule type="expression" priority="21" dxfId="7">
      <formula>'קבוצות'!$E$4="ורוד"</formula>
    </cfRule>
    <cfRule type="expression" priority="24" dxfId="8">
      <formula>'קבוצות'!$E$4="ים"</formula>
    </cfRule>
    <cfRule type="expression" priority="27" dxfId="9">
      <formula>'קבוצות'!$E$4="ספארי"</formula>
    </cfRule>
    <cfRule type="expression" priority="30" dxfId="10">
      <formula>'קבוצות'!$E$4="שדה"</formula>
    </cfRule>
    <cfRule type="expression" priority="33" dxfId="11">
      <formula>'קבוצות'!$E$4="סגול"</formula>
    </cfRule>
    <cfRule type="expression" priority="36" dxfId="12">
      <formula>'קבוצות'!$E$4="ירוק"</formula>
    </cfRule>
  </conditionalFormatting>
  <conditionalFormatting sqref="A52:F53">
    <cfRule type="expression" priority="37" dxfId="1">
      <formula>'קבוצות'!$E$5="ורוד"</formula>
    </cfRule>
    <cfRule type="expression" priority="40" dxfId="2">
      <formula>'קבוצות'!$E$5="ים"</formula>
    </cfRule>
    <cfRule type="expression" priority="43" dxfId="3">
      <formula>'קבוצות'!$E$5="ספארי"</formula>
    </cfRule>
    <cfRule type="expression" priority="46" dxfId="4">
      <formula>'קבוצות'!$E$5="שדה"</formula>
    </cfRule>
    <cfRule type="expression" priority="49" dxfId="5">
      <formula>'קבוצות'!$E$5="סגול"</formula>
    </cfRule>
    <cfRule type="expression" priority="52" dxfId="6">
      <formula>'קבוצות'!$E$5="ירוק"</formula>
    </cfRule>
  </conditionalFormatting>
  <conditionalFormatting sqref="A55:A72">
    <cfRule type="expression" priority="38" dxfId="1">
      <formula>'קבוצות'!$E$5="ורוד"</formula>
    </cfRule>
    <cfRule type="expression" priority="41" dxfId="2">
      <formula>'קבוצות'!$E$5="ים"</formula>
    </cfRule>
    <cfRule type="expression" priority="44" dxfId="3">
      <formula>'קבוצות'!$E$5="ספארי"</formula>
    </cfRule>
    <cfRule type="expression" priority="47" dxfId="4">
      <formula>'קבוצות'!$E$5="שדה"</formula>
    </cfRule>
    <cfRule type="expression" priority="50" dxfId="5">
      <formula>'קבוצות'!$E$5="סגול"</formula>
    </cfRule>
    <cfRule type="expression" priority="53" dxfId="6">
      <formula>'קבוצות'!$E$5="ירוק"</formula>
    </cfRule>
  </conditionalFormatting>
  <conditionalFormatting sqref="A51:F51">
    <cfRule type="expression" priority="39" dxfId="7">
      <formula>'קבוצות'!$E$5="ורוד"</formula>
    </cfRule>
    <cfRule type="expression" priority="42" dxfId="8">
      <formula>'קבוצות'!$E$5="ים"</formula>
    </cfRule>
    <cfRule type="expression" priority="45" dxfId="9">
      <formula>'קבוצות'!$E$5="ספארי"</formula>
    </cfRule>
    <cfRule type="expression" priority="48" dxfId="10">
      <formula>'קבוצות'!$E$5="שדה"</formula>
    </cfRule>
    <cfRule type="expression" priority="51" dxfId="11">
      <formula>'קבוצות'!$E$5="סגול"</formula>
    </cfRule>
    <cfRule type="expression" priority="54" dxfId="12">
      <formula>'קבוצות'!$E$5="ירוק"</formula>
    </cfRule>
  </conditionalFormatting>
  <conditionalFormatting sqref="A77:F78">
    <cfRule type="expression" priority="55" dxfId="1">
      <formula>'קבוצות'!$E$6="ורוד"</formula>
    </cfRule>
    <cfRule type="expression" priority="58" dxfId="2">
      <formula>'קבוצות'!$E$6="ים"</formula>
    </cfRule>
    <cfRule type="expression" priority="61" dxfId="3">
      <formula>'קבוצות'!$E$6="ספארי"</formula>
    </cfRule>
    <cfRule type="expression" priority="64" dxfId="4">
      <formula>'קבוצות'!$E$6="שדה"</formula>
    </cfRule>
    <cfRule type="expression" priority="67" dxfId="5">
      <formula>'קבוצות'!$E$6="סגול"</formula>
    </cfRule>
    <cfRule type="expression" priority="70" dxfId="6">
      <formula>'קבוצות'!$E$6="ירוק"</formula>
    </cfRule>
  </conditionalFormatting>
  <conditionalFormatting sqref="A80:A97">
    <cfRule type="expression" priority="56" dxfId="1">
      <formula>'קבוצות'!$E$6="ורוד"</formula>
    </cfRule>
    <cfRule type="expression" priority="59" dxfId="2">
      <formula>'קבוצות'!$E$6="ים"</formula>
    </cfRule>
    <cfRule type="expression" priority="62" dxfId="3">
      <formula>'קבוצות'!$E$6="ספארי"</formula>
    </cfRule>
    <cfRule type="expression" priority="65" dxfId="4">
      <formula>'קבוצות'!$E$6="שדה"</formula>
    </cfRule>
    <cfRule type="expression" priority="68" dxfId="5">
      <formula>'קבוצות'!$E$6="סגול"</formula>
    </cfRule>
    <cfRule type="expression" priority="71" dxfId="6">
      <formula>'קבוצות'!$E$6="ירוק"</formula>
    </cfRule>
  </conditionalFormatting>
  <conditionalFormatting sqref="A76:F76">
    <cfRule type="expression" priority="57" dxfId="7">
      <formula>'קבוצות'!$E$6="ורוד"</formula>
    </cfRule>
    <cfRule type="expression" priority="60" dxfId="8">
      <formula>'קבוצות'!$E$6="ים"</formula>
    </cfRule>
    <cfRule type="expression" priority="63" dxfId="9">
      <formula>'קבוצות'!$E$6="ספארי"</formula>
    </cfRule>
    <cfRule type="expression" priority="66" dxfId="10">
      <formula>'קבוצות'!$E$6="שדה"</formula>
    </cfRule>
    <cfRule type="expression" priority="69" dxfId="11">
      <formula>'קבוצות'!$E$6="סגול"</formula>
    </cfRule>
    <cfRule type="expression" priority="72" dxfId="12">
      <formula>'קבוצות'!$E$6="ירוק"</formula>
    </cfRule>
  </conditionalFormatting>
  <conditionalFormatting sqref="A102:F103">
    <cfRule type="expression" priority="73" dxfId="1">
      <formula>'קבוצות'!$E$7="ורוד"</formula>
    </cfRule>
    <cfRule type="expression" priority="76" dxfId="2">
      <formula>'קבוצות'!$E$7="ים"</formula>
    </cfRule>
    <cfRule type="expression" priority="79" dxfId="3">
      <formula>'קבוצות'!$E$7="ספארי"</formula>
    </cfRule>
    <cfRule type="expression" priority="82" dxfId="4">
      <formula>'קבוצות'!$E$7="שדה"</formula>
    </cfRule>
    <cfRule type="expression" priority="85" dxfId="5">
      <formula>'קבוצות'!$E$7="סגול"</formula>
    </cfRule>
    <cfRule type="expression" priority="88" dxfId="6">
      <formula>'קבוצות'!$E$7="ירוק"</formula>
    </cfRule>
  </conditionalFormatting>
  <conditionalFormatting sqref="A105:A122">
    <cfRule type="expression" priority="74" dxfId="1">
      <formula>'קבוצות'!$E$7="ורוד"</formula>
    </cfRule>
    <cfRule type="expression" priority="77" dxfId="2">
      <formula>'קבוצות'!$E$7="ים"</formula>
    </cfRule>
    <cfRule type="expression" priority="80" dxfId="3">
      <formula>'קבוצות'!$E$7="ספארי"</formula>
    </cfRule>
    <cfRule type="expression" priority="83" dxfId="4">
      <formula>'קבוצות'!$E$7="שדה"</formula>
    </cfRule>
    <cfRule type="expression" priority="86" dxfId="5">
      <formula>'קבוצות'!$E$7="סגול"</formula>
    </cfRule>
    <cfRule type="expression" priority="89" dxfId="6">
      <formula>'קבוצות'!$E$7="ירוק"</formula>
    </cfRule>
  </conditionalFormatting>
  <conditionalFormatting sqref="A101:F101">
    <cfRule type="expression" priority="75" dxfId="7">
      <formula>'קבוצות'!$E$7="ורוד"</formula>
    </cfRule>
    <cfRule type="expression" priority="78" dxfId="8">
      <formula>'קבוצות'!$E$7="ים"</formula>
    </cfRule>
    <cfRule type="expression" priority="81" dxfId="9">
      <formula>'קבוצות'!$E$7="ספארי"</formula>
    </cfRule>
    <cfRule type="expression" priority="84" dxfId="10">
      <formula>'קבוצות'!$E$7="שדה"</formula>
    </cfRule>
    <cfRule type="expression" priority="87" dxfId="11">
      <formula>'קבוצות'!$E$7="סגול"</formula>
    </cfRule>
    <cfRule type="expression" priority="90" dxfId="12">
      <formula>'קבוצות'!$E$7="ירוק"</formula>
    </cfRule>
  </conditionalFormatting>
  <conditionalFormatting sqref="A127:F128">
    <cfRule type="expression" priority="91" dxfId="1">
      <formula>'קבוצות'!$E$8="ורוד"</formula>
    </cfRule>
    <cfRule type="expression" priority="94" dxfId="2">
      <formula>'קבוצות'!$E$8="ים"</formula>
    </cfRule>
    <cfRule type="expression" priority="97" dxfId="3">
      <formula>'קבוצות'!$E$8="ספארי"</formula>
    </cfRule>
    <cfRule type="expression" priority="100" dxfId="4">
      <formula>'קבוצות'!$E$8="שדה"</formula>
    </cfRule>
    <cfRule type="expression" priority="103" dxfId="5">
      <formula>'קבוצות'!$E$8="סגול"</formula>
    </cfRule>
    <cfRule type="expression" priority="106" dxfId="6">
      <formula>'קבוצות'!$E$8="ירוק"</formula>
    </cfRule>
  </conditionalFormatting>
  <conditionalFormatting sqref="A130:A147">
    <cfRule type="expression" priority="92" dxfId="1">
      <formula>'קבוצות'!$E$8="ורוד"</formula>
    </cfRule>
    <cfRule type="expression" priority="95" dxfId="2">
      <formula>'קבוצות'!$E$8="ים"</formula>
    </cfRule>
    <cfRule type="expression" priority="98" dxfId="3">
      <formula>'קבוצות'!$E$8="ספארי"</formula>
    </cfRule>
    <cfRule type="expression" priority="101" dxfId="4">
      <formula>'קבוצות'!$E$8="שדה"</formula>
    </cfRule>
    <cfRule type="expression" priority="104" dxfId="5">
      <formula>'קבוצות'!$E$8="סגול"</formula>
    </cfRule>
    <cfRule type="expression" priority="107" dxfId="6">
      <formula>'קבוצות'!$E$8="ירוק"</formula>
    </cfRule>
  </conditionalFormatting>
  <conditionalFormatting sqref="A126:F126">
    <cfRule type="expression" priority="93" dxfId="7">
      <formula>'קבוצות'!$E$8="ורוד"</formula>
    </cfRule>
    <cfRule type="expression" priority="96" dxfId="8">
      <formula>'קבוצות'!$E$8="ים"</formula>
    </cfRule>
    <cfRule type="expression" priority="99" dxfId="9">
      <formula>'קבוצות'!$E$8="ספארי"</formula>
    </cfRule>
    <cfRule type="expression" priority="102" dxfId="10">
      <formula>'קבוצות'!$E$8="שדה"</formula>
    </cfRule>
    <cfRule type="expression" priority="105" dxfId="11">
      <formula>'קבוצות'!$E$8="סגול"</formula>
    </cfRule>
    <cfRule type="expression" priority="108" dxfId="12">
      <formula>'קבוצות'!$E$8="ירוק"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5" min="0" max="16383" man="1"/>
    <brk id="50" min="0" max="16383" man="1"/>
    <brk id="75" min="0" max="16383" man="1"/>
    <brk id="100" min="0" max="16383" man="1"/>
    <brk id="12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  <c r="B3" s="57" t="n"/>
      <c r="C3" s="57" t="n"/>
      <c r="D3" s="57" t="n"/>
      <c r="E3" s="58" t="n"/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57" t="n"/>
      <c r="E5" s="58" t="n"/>
      <c r="G5">
        <f>IFERROR(INDEX('שיבוץ'!$H$3:$H$152,MATCH("חמישי — הכנות"&amp;"|"&amp;1,'שיבוץ'!$L$3:$L$152,0))&amp;"","")</f>
        <v/>
      </c>
    </row>
    <row r="6" ht="24" customHeight="1">
      <c r="A6" s="96" t="n"/>
      <c r="B6" s="96" t="n"/>
      <c r="C6" s="21">
        <f>$G6</f>
        <v/>
      </c>
      <c r="D6" s="57" t="n"/>
      <c r="E6" s="58" t="n"/>
      <c r="G6">
        <f>IFERROR(INDEX('שיבוץ'!$H$3:$H$152,MATCH("חמישי — הכנות"&amp;"|"&amp;2,'שיבוץ'!$L$3:$L$152,0))&amp;"","")</f>
        <v/>
      </c>
    </row>
    <row r="7" ht="24" customHeight="1">
      <c r="A7" s="96" t="n"/>
      <c r="B7" s="96" t="n"/>
      <c r="C7" s="21">
        <f>$G7</f>
        <v/>
      </c>
      <c r="D7" s="57" t="n"/>
      <c r="E7" s="58" t="n"/>
      <c r="G7">
        <f>IFERROR(INDEX('שיבוץ'!$H$3:$H$152,MATCH("חמישי — הכנות"&amp;"|"&amp;3,'שיבוץ'!$L$3:$L$152,0))&amp;"","")</f>
        <v/>
      </c>
    </row>
    <row r="8" ht="24" customHeight="1">
      <c r="A8" s="96" t="n"/>
      <c r="B8" s="96" t="n"/>
      <c r="C8" s="21">
        <f>$G8</f>
        <v/>
      </c>
      <c r="D8" s="57" t="n"/>
      <c r="E8" s="58" t="n"/>
      <c r="G8">
        <f>IFERROR(INDEX('שיבוץ'!$H$3:$H$152,MATCH("חמישי — הכנות"&amp;"|"&amp;4,'שיבוץ'!$L$3:$L$152,0))&amp;"","")</f>
        <v/>
      </c>
    </row>
    <row r="9" ht="24" customHeight="1">
      <c r="A9" s="97" t="n"/>
      <c r="B9" s="97" t="n"/>
      <c r="C9" s="21">
        <f>$G9</f>
        <v/>
      </c>
      <c r="D9" s="57" t="n"/>
      <c r="E9" s="58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57" t="n"/>
      <c r="E10" s="58" t="n"/>
      <c r="G10">
        <f>IFERROR(INDEX('שיבוץ'!$H$3:$H$152,MATCH("שישי — ארוחת בוקר"&amp;"|"&amp;1,'שיבוץ'!$L$3:$L$152,0))&amp;"","")</f>
        <v/>
      </c>
    </row>
    <row r="11" ht="24" customHeight="1">
      <c r="A11" s="96" t="n"/>
      <c r="B11" s="96" t="n"/>
      <c r="C11" s="21">
        <f>$G11</f>
        <v/>
      </c>
      <c r="D11" s="57" t="n"/>
      <c r="E11" s="58" t="n"/>
      <c r="G11">
        <f>IFERROR(INDEX('שיבוץ'!$H$3:$H$152,MATCH("שישי — ארוחת בוקר"&amp;"|"&amp;2,'שיבוץ'!$L$3:$L$152,0))&amp;"","")</f>
        <v/>
      </c>
    </row>
    <row r="12" ht="24" customHeight="1">
      <c r="A12" s="96" t="n"/>
      <c r="B12" s="96" t="n"/>
      <c r="C12" s="21">
        <f>$G12</f>
        <v/>
      </c>
      <c r="D12" s="57" t="n"/>
      <c r="E12" s="58" t="n"/>
      <c r="G12">
        <f>IFERROR(INDEX('שיבוץ'!$H$3:$H$152,MATCH("שישי — ארוחת בוקר"&amp;"|"&amp;3,'שיבוץ'!$L$3:$L$152,0))&amp;"","")</f>
        <v/>
      </c>
    </row>
    <row r="13" ht="24" customHeight="1">
      <c r="A13" s="96" t="n"/>
      <c r="B13" s="96" t="n"/>
      <c r="C13" s="21">
        <f>$G13</f>
        <v/>
      </c>
      <c r="D13" s="57" t="n"/>
      <c r="E13" s="58" t="n"/>
      <c r="G13">
        <f>IFERROR(INDEX('שיבוץ'!$H$3:$H$152,MATCH("שישי — ארוחת בוקר"&amp;"|"&amp;4,'שיבוץ'!$L$3:$L$152,0))&amp;"","")</f>
        <v/>
      </c>
    </row>
    <row r="14" ht="24" customHeight="1">
      <c r="A14" s="97" t="n"/>
      <c r="B14" s="97" t="n"/>
      <c r="C14" s="21">
        <f>$G14</f>
        <v/>
      </c>
      <c r="D14" s="57" t="n"/>
      <c r="E14" s="58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57" t="n"/>
      <c r="E15" s="58" t="n"/>
      <c r="G15">
        <f>IFERROR(INDEX('שיבוץ'!$H$3:$H$152,MATCH("שישי — הכנות ועבודה"&amp;"|"&amp;1,'שיבוץ'!$L$3:$L$152,0))&amp;"","")</f>
        <v/>
      </c>
    </row>
    <row r="16" ht="24" customHeight="1">
      <c r="A16" s="96" t="n"/>
      <c r="B16" s="96" t="n"/>
      <c r="C16" s="21">
        <f>$G16</f>
        <v/>
      </c>
      <c r="D16" s="57" t="n"/>
      <c r="E16" s="58" t="n"/>
      <c r="G16">
        <f>IFERROR(INDEX('שיבוץ'!$H$3:$H$152,MATCH("שישי — הכנות ועבודה"&amp;"|"&amp;2,'שיבוץ'!$L$3:$L$152,0))&amp;"","")</f>
        <v/>
      </c>
    </row>
    <row r="17" ht="24" customHeight="1">
      <c r="A17" s="96" t="n"/>
      <c r="B17" s="96" t="n"/>
      <c r="C17" s="21">
        <f>$G17</f>
        <v/>
      </c>
      <c r="D17" s="57" t="n"/>
      <c r="E17" s="58" t="n"/>
      <c r="G17">
        <f>IFERROR(INDEX('שיבוץ'!$H$3:$H$152,MATCH("שישי — הכנות ועבודה"&amp;"|"&amp;3,'שיבוץ'!$L$3:$L$152,0))&amp;"","")</f>
        <v/>
      </c>
    </row>
    <row r="18" ht="24" customHeight="1">
      <c r="A18" s="96" t="n"/>
      <c r="B18" s="96" t="n"/>
      <c r="C18" s="21">
        <f>$G18</f>
        <v/>
      </c>
      <c r="D18" s="57" t="n"/>
      <c r="E18" s="58" t="n"/>
      <c r="G18">
        <f>IFERROR(INDEX('שיבוץ'!$H$3:$H$152,MATCH("שישי — הכנות ועבודה"&amp;"|"&amp;4,'שיבוץ'!$L$3:$L$152,0))&amp;"","")</f>
        <v/>
      </c>
    </row>
    <row r="19" ht="24" customHeight="1">
      <c r="A19" s="97" t="n"/>
      <c r="B19" s="97" t="n"/>
      <c r="C19" s="21">
        <f>$G19</f>
        <v/>
      </c>
      <c r="D19" s="57" t="n"/>
      <c r="E19" s="58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57" t="n"/>
      <c r="E20" s="58" t="n"/>
      <c r="G20">
        <f>IFERROR(INDEX('שיבוץ'!$H$3:$H$152,MATCH("שישי — ארוחת צהריים"&amp;"|"&amp;1,'שיבוץ'!$L$3:$L$152,0))&amp;"","")</f>
        <v/>
      </c>
    </row>
    <row r="21" ht="24" customHeight="1">
      <c r="A21" s="96" t="n"/>
      <c r="B21" s="96" t="n"/>
      <c r="C21" s="21">
        <f>$G21</f>
        <v/>
      </c>
      <c r="D21" s="57" t="n"/>
      <c r="E21" s="58" t="n"/>
      <c r="G21">
        <f>IFERROR(INDEX('שיבוץ'!$H$3:$H$152,MATCH("שישי — ארוחת צהריים"&amp;"|"&amp;2,'שיבוץ'!$L$3:$L$152,0))&amp;"","")</f>
        <v/>
      </c>
    </row>
    <row r="22" ht="24" customHeight="1">
      <c r="A22" s="96" t="n"/>
      <c r="B22" s="96" t="n"/>
      <c r="C22" s="21">
        <f>$G22</f>
        <v/>
      </c>
      <c r="D22" s="57" t="n"/>
      <c r="E22" s="58" t="n"/>
      <c r="G22">
        <f>IFERROR(INDEX('שיבוץ'!$H$3:$H$152,MATCH("שישי — ארוחת צהריים"&amp;"|"&amp;3,'שיבוץ'!$L$3:$L$152,0))&amp;"","")</f>
        <v/>
      </c>
    </row>
    <row r="23" ht="24" customHeight="1">
      <c r="A23" s="96" t="n"/>
      <c r="B23" s="96" t="n"/>
      <c r="C23" s="21">
        <f>$G23</f>
        <v/>
      </c>
      <c r="D23" s="57" t="n"/>
      <c r="E23" s="58" t="n"/>
      <c r="G23">
        <f>IFERROR(INDEX('שיבוץ'!$H$3:$H$152,MATCH("שישי — ארוחת צהריים"&amp;"|"&amp;4,'שיבוץ'!$L$3:$L$152,0))&amp;"","")</f>
        <v/>
      </c>
    </row>
    <row r="24" ht="24" customHeight="1">
      <c r="A24" s="97" t="n"/>
      <c r="B24" s="97" t="n"/>
      <c r="C24" s="21">
        <f>$G24</f>
        <v/>
      </c>
      <c r="D24" s="57" t="n"/>
      <c r="E24" s="58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57" t="n"/>
      <c r="E25" s="58" t="n"/>
      <c r="G25">
        <f>IFERROR(INDEX('שיבוץ'!$H$3:$H$152,MATCH("קבלת שבת ישראלית"&amp;"|"&amp;1,'שיבוץ'!$L$3:$L$152,0))&amp;"","")</f>
        <v/>
      </c>
    </row>
    <row r="26" ht="24" customHeight="1">
      <c r="A26" s="96" t="n"/>
      <c r="B26" s="96" t="n"/>
      <c r="C26" s="21">
        <f>$G26</f>
        <v/>
      </c>
      <c r="D26" s="57" t="n"/>
      <c r="E26" s="58" t="n"/>
      <c r="G26">
        <f>IFERROR(INDEX('שיבוץ'!$H$3:$H$152,MATCH("קבלת שבת ישראלית"&amp;"|"&amp;2,'שיבוץ'!$L$3:$L$152,0))&amp;"","")</f>
        <v/>
      </c>
    </row>
    <row r="27" ht="24" customHeight="1">
      <c r="A27" s="96" t="n"/>
      <c r="B27" s="96" t="n"/>
      <c r="C27" s="21">
        <f>$G27</f>
        <v/>
      </c>
      <c r="D27" s="57" t="n"/>
      <c r="E27" s="58" t="n"/>
      <c r="G27">
        <f>IFERROR(INDEX('שיבוץ'!$H$3:$H$152,MATCH("קבלת שבת ישראלית"&amp;"|"&amp;3,'שיבוץ'!$L$3:$L$152,0))&amp;"","")</f>
        <v/>
      </c>
    </row>
    <row r="28" ht="24" customHeight="1">
      <c r="A28" s="96" t="n"/>
      <c r="B28" s="96" t="n"/>
      <c r="C28" s="21">
        <f>$G28</f>
        <v/>
      </c>
      <c r="D28" s="57" t="n"/>
      <c r="E28" s="58" t="n"/>
      <c r="G28">
        <f>IFERROR(INDEX('שיבוץ'!$H$3:$H$152,MATCH("קבלת שבת ישראלית"&amp;"|"&amp;4,'שיבוץ'!$L$3:$L$152,0))&amp;"","")</f>
        <v/>
      </c>
    </row>
    <row r="29" ht="24" customHeight="1">
      <c r="A29" s="97" t="n"/>
      <c r="B29" s="97" t="n"/>
      <c r="C29" s="21">
        <f>$G29</f>
        <v/>
      </c>
      <c r="D29" s="57" t="n"/>
      <c r="E29" s="58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57" t="n"/>
      <c r="E30" s="58" t="n"/>
      <c r="G30">
        <f>IFERROR(INDEX('שיבוץ'!$H$3:$H$152,MATCH("כניסת שבת"&amp;"|"&amp;1,'שיבוץ'!$L$3:$L$152,0))&amp;"","")</f>
        <v/>
      </c>
    </row>
    <row r="31" ht="24" customHeight="1">
      <c r="A31" s="96" t="n"/>
      <c r="B31" s="96" t="n"/>
      <c r="C31" s="21">
        <f>$G31</f>
        <v/>
      </c>
      <c r="D31" s="57" t="n"/>
      <c r="E31" s="58" t="n"/>
      <c r="G31">
        <f>IFERROR(INDEX('שיבוץ'!$H$3:$H$152,MATCH("כניסת שבת"&amp;"|"&amp;2,'שיבוץ'!$L$3:$L$152,0))&amp;"","")</f>
        <v/>
      </c>
    </row>
    <row r="32" ht="24" customHeight="1">
      <c r="A32" s="96" t="n"/>
      <c r="B32" s="96" t="n"/>
      <c r="C32" s="21">
        <f>$G32</f>
        <v/>
      </c>
      <c r="D32" s="57" t="n"/>
      <c r="E32" s="58" t="n"/>
      <c r="G32">
        <f>IFERROR(INDEX('שיבוץ'!$H$3:$H$152,MATCH("כניסת שבת"&amp;"|"&amp;3,'שיבוץ'!$L$3:$L$152,0))&amp;"","")</f>
        <v/>
      </c>
    </row>
    <row r="33" ht="24" customHeight="1">
      <c r="A33" s="96" t="n"/>
      <c r="B33" s="96" t="n"/>
      <c r="C33" s="21">
        <f>$G33</f>
        <v/>
      </c>
      <c r="D33" s="57" t="n"/>
      <c r="E33" s="58" t="n"/>
      <c r="G33">
        <f>IFERROR(INDEX('שיבוץ'!$H$3:$H$152,MATCH("כניסת שבת"&amp;"|"&amp;4,'שיבוץ'!$L$3:$L$152,0))&amp;"","")</f>
        <v/>
      </c>
    </row>
    <row r="34" ht="24" customHeight="1">
      <c r="A34" s="97" t="n"/>
      <c r="B34" s="97" t="n"/>
      <c r="C34" s="21">
        <f>$G34</f>
        <v/>
      </c>
      <c r="D34" s="57" t="n"/>
      <c r="E34" s="58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57" t="n"/>
      <c r="E35" s="58" t="n"/>
      <c r="G35">
        <f>IFERROR(INDEX('שיבוץ'!$H$3:$H$152,MATCH("קבלת שבת וערבית"&amp;"|"&amp;1,'שיבוץ'!$L$3:$L$152,0))&amp;"","")</f>
        <v/>
      </c>
    </row>
    <row r="36" ht="24" customHeight="1">
      <c r="A36" s="96" t="n"/>
      <c r="B36" s="96" t="n"/>
      <c r="C36" s="21">
        <f>$G36</f>
        <v/>
      </c>
      <c r="D36" s="57" t="n"/>
      <c r="E36" s="58" t="n"/>
      <c r="G36">
        <f>IFERROR(INDEX('שיבוץ'!$H$3:$H$152,MATCH("קבלת שבת וערבית"&amp;"|"&amp;2,'שיבוץ'!$L$3:$L$152,0))&amp;"","")</f>
        <v/>
      </c>
    </row>
    <row r="37" ht="24" customHeight="1">
      <c r="A37" s="96" t="n"/>
      <c r="B37" s="96" t="n"/>
      <c r="C37" s="21">
        <f>$G37</f>
        <v/>
      </c>
      <c r="D37" s="57" t="n"/>
      <c r="E37" s="58" t="n"/>
      <c r="G37">
        <f>IFERROR(INDEX('שיבוץ'!$H$3:$H$152,MATCH("קבלת שבת וערבית"&amp;"|"&amp;3,'שיבוץ'!$L$3:$L$152,0))&amp;"","")</f>
        <v/>
      </c>
    </row>
    <row r="38" ht="24" customHeight="1">
      <c r="A38" s="96" t="n"/>
      <c r="B38" s="96" t="n"/>
      <c r="C38" s="21">
        <f>$G38</f>
        <v/>
      </c>
      <c r="D38" s="57" t="n"/>
      <c r="E38" s="58" t="n"/>
      <c r="G38">
        <f>IFERROR(INDEX('שיבוץ'!$H$3:$H$152,MATCH("קבלת שבת וערבית"&amp;"|"&amp;4,'שיבוץ'!$L$3:$L$152,0))&amp;"","")</f>
        <v/>
      </c>
    </row>
    <row r="39" ht="24" customHeight="1">
      <c r="A39" s="97" t="n"/>
      <c r="B39" s="97" t="n"/>
      <c r="C39" s="21">
        <f>$G39</f>
        <v/>
      </c>
      <c r="D39" s="57" t="n"/>
      <c r="E39" s="58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57" t="n"/>
      <c r="E40" s="58" t="n"/>
      <c r="G40">
        <f>IFERROR(INDEX('שיבוץ'!$H$3:$H$152,MATCH("סעודת שבת"&amp;"|"&amp;1,'שיבוץ'!$L$3:$L$152,0))&amp;"","")</f>
        <v/>
      </c>
    </row>
    <row r="41" ht="24" customHeight="1">
      <c r="A41" s="96" t="n"/>
      <c r="B41" s="96" t="n"/>
      <c r="C41" s="21">
        <f>$G41</f>
        <v/>
      </c>
      <c r="D41" s="57" t="n"/>
      <c r="E41" s="58" t="n"/>
      <c r="G41">
        <f>IFERROR(INDEX('שיבוץ'!$H$3:$H$152,MATCH("סעודת שבת"&amp;"|"&amp;2,'שיבוץ'!$L$3:$L$152,0))&amp;"","")</f>
        <v/>
      </c>
    </row>
    <row r="42" ht="24" customHeight="1">
      <c r="A42" s="96" t="n"/>
      <c r="B42" s="96" t="n"/>
      <c r="C42" s="21">
        <f>$G42</f>
        <v/>
      </c>
      <c r="D42" s="57" t="n"/>
      <c r="E42" s="58" t="n"/>
      <c r="G42">
        <f>IFERROR(INDEX('שיבוץ'!$H$3:$H$152,MATCH("סעודת שבת"&amp;"|"&amp;3,'שיבוץ'!$L$3:$L$152,0))&amp;"","")</f>
        <v/>
      </c>
    </row>
    <row r="43" ht="24" customHeight="1">
      <c r="A43" s="96" t="n"/>
      <c r="B43" s="96" t="n"/>
      <c r="C43" s="21">
        <f>$G43</f>
        <v/>
      </c>
      <c r="D43" s="57" t="n"/>
      <c r="E43" s="58" t="n"/>
      <c r="G43">
        <f>IFERROR(INDEX('שיבוץ'!$H$3:$H$152,MATCH("סעודת שבת"&amp;"|"&amp;4,'שיבוץ'!$L$3:$L$152,0))&amp;"","")</f>
        <v/>
      </c>
    </row>
    <row r="44" ht="24" customHeight="1">
      <c r="A44" s="97" t="n"/>
      <c r="B44" s="97" t="n"/>
      <c r="C44" s="21">
        <f>$G44</f>
        <v/>
      </c>
      <c r="D44" s="57" t="n"/>
      <c r="E44" s="58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57" t="n"/>
      <c r="E45" s="58" t="n"/>
      <c r="G45">
        <f>IFERROR(INDEX('שיבוץ'!$H$3:$H$152,MATCH("טיש עם איש צוות"&amp;"|"&amp;1,'שיבוץ'!$L$3:$L$152,0))&amp;"","")</f>
        <v/>
      </c>
    </row>
    <row r="46" ht="24" customHeight="1">
      <c r="A46" s="96" t="n"/>
      <c r="B46" s="96" t="n"/>
      <c r="C46" s="21">
        <f>$G46</f>
        <v/>
      </c>
      <c r="D46" s="57" t="n"/>
      <c r="E46" s="58" t="n"/>
      <c r="G46">
        <f>IFERROR(INDEX('שיבוץ'!$H$3:$H$152,MATCH("טיש עם איש צוות"&amp;"|"&amp;2,'שיבוץ'!$L$3:$L$152,0))&amp;"","")</f>
        <v/>
      </c>
    </row>
    <row r="47" ht="24" customHeight="1">
      <c r="A47" s="96" t="n"/>
      <c r="B47" s="96" t="n"/>
      <c r="C47" s="21">
        <f>$G47</f>
        <v/>
      </c>
      <c r="D47" s="57" t="n"/>
      <c r="E47" s="58" t="n"/>
      <c r="G47">
        <f>IFERROR(INDEX('שיבוץ'!$H$3:$H$152,MATCH("טיש עם איש צוות"&amp;"|"&amp;3,'שיבוץ'!$L$3:$L$152,0))&amp;"","")</f>
        <v/>
      </c>
    </row>
    <row r="48" ht="24" customHeight="1">
      <c r="A48" s="96" t="n"/>
      <c r="B48" s="96" t="n"/>
      <c r="C48" s="21">
        <f>$G48</f>
        <v/>
      </c>
      <c r="D48" s="57" t="n"/>
      <c r="E48" s="58" t="n"/>
      <c r="G48">
        <f>IFERROR(INDEX('שיבוץ'!$H$3:$H$152,MATCH("טיש עם איש צוות"&amp;"|"&amp;4,'שיבוץ'!$L$3:$L$152,0))&amp;"","")</f>
        <v/>
      </c>
    </row>
    <row r="49" ht="24" customHeight="1">
      <c r="A49" s="97" t="n"/>
      <c r="B49" s="97" t="n"/>
      <c r="C49" s="21">
        <f>$G49</f>
        <v/>
      </c>
      <c r="D49" s="57" t="n"/>
      <c r="E49" s="58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57" t="n"/>
      <c r="E50" s="58" t="n"/>
      <c r="G50">
        <f>IFERROR(INDEX('שיבוץ'!$H$3:$H$152,MATCH("קידוש"&amp;"|"&amp;1,'שיבוץ'!$L$3:$L$152,0))&amp;"","")</f>
        <v/>
      </c>
    </row>
    <row r="51" ht="24" customHeight="1">
      <c r="A51" s="96" t="n"/>
      <c r="B51" s="96" t="n"/>
      <c r="C51" s="21">
        <f>$G51</f>
        <v/>
      </c>
      <c r="D51" s="57" t="n"/>
      <c r="E51" s="58" t="n"/>
      <c r="G51">
        <f>IFERROR(INDEX('שיבוץ'!$H$3:$H$152,MATCH("קידוש"&amp;"|"&amp;2,'שיבוץ'!$L$3:$L$152,0))&amp;"","")</f>
        <v/>
      </c>
    </row>
    <row r="52" ht="24" customHeight="1">
      <c r="A52" s="96" t="n"/>
      <c r="B52" s="96" t="n"/>
      <c r="C52" s="21">
        <f>$G52</f>
        <v/>
      </c>
      <c r="D52" s="57" t="n"/>
      <c r="E52" s="58" t="n"/>
      <c r="G52">
        <f>IFERROR(INDEX('שיבוץ'!$H$3:$H$152,MATCH("קידוש"&amp;"|"&amp;3,'שיבוץ'!$L$3:$L$152,0))&amp;"","")</f>
        <v/>
      </c>
    </row>
    <row r="53" ht="24" customHeight="1">
      <c r="A53" s="96" t="n"/>
      <c r="B53" s="96" t="n"/>
      <c r="C53" s="21">
        <f>$G53</f>
        <v/>
      </c>
      <c r="D53" s="57" t="n"/>
      <c r="E53" s="58" t="n"/>
      <c r="G53">
        <f>IFERROR(INDEX('שיבוץ'!$H$3:$H$152,MATCH("קידוש"&amp;"|"&amp;4,'שיבוץ'!$L$3:$L$152,0))&amp;"","")</f>
        <v/>
      </c>
    </row>
    <row r="54" ht="24" customHeight="1">
      <c r="A54" s="97" t="n"/>
      <c r="B54" s="97" t="n"/>
      <c r="C54" s="21">
        <f>$G54</f>
        <v/>
      </c>
      <c r="D54" s="57" t="n"/>
      <c r="E54" s="58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57" t="n"/>
      <c r="E55" s="58" t="n"/>
      <c r="G55">
        <f>IFERROR(INDEX('שיבוץ'!$H$3:$H$152,MATCH("חבורות חניכים"&amp;"|"&amp;1,'שיבוץ'!$L$3:$L$152,0))&amp;"","")</f>
        <v/>
      </c>
    </row>
    <row r="56" ht="24" customHeight="1">
      <c r="A56" s="96" t="n"/>
      <c r="B56" s="96" t="n"/>
      <c r="C56" s="21">
        <f>$G56</f>
        <v/>
      </c>
      <c r="D56" s="57" t="n"/>
      <c r="E56" s="58" t="n"/>
      <c r="G56">
        <f>IFERROR(INDEX('שיבוץ'!$H$3:$H$152,MATCH("חבורות חניכים"&amp;"|"&amp;2,'שיבוץ'!$L$3:$L$152,0))&amp;"","")</f>
        <v/>
      </c>
    </row>
    <row r="57" ht="24" customHeight="1">
      <c r="A57" s="96" t="n"/>
      <c r="B57" s="96" t="n"/>
      <c r="C57" s="21">
        <f>$G57</f>
        <v/>
      </c>
      <c r="D57" s="57" t="n"/>
      <c r="E57" s="58" t="n"/>
      <c r="G57">
        <f>IFERROR(INDEX('שיבוץ'!$H$3:$H$152,MATCH("חבורות חניכים"&amp;"|"&amp;3,'שיבוץ'!$L$3:$L$152,0))&amp;"","")</f>
        <v/>
      </c>
    </row>
    <row r="58" ht="24" customHeight="1">
      <c r="A58" s="96" t="n"/>
      <c r="B58" s="96" t="n"/>
      <c r="C58" s="21">
        <f>$G58</f>
        <v/>
      </c>
      <c r="D58" s="57" t="n"/>
      <c r="E58" s="58" t="n"/>
      <c r="G58">
        <f>IFERROR(INDEX('שיבוץ'!$H$3:$H$152,MATCH("חבורות חניכים"&amp;"|"&amp;4,'שיבוץ'!$L$3:$L$152,0))&amp;"","")</f>
        <v/>
      </c>
    </row>
    <row r="59" ht="24" customHeight="1">
      <c r="A59" s="97" t="n"/>
      <c r="B59" s="97" t="n"/>
      <c r="C59" s="21">
        <f>$G59</f>
        <v/>
      </c>
      <c r="D59" s="57" t="n"/>
      <c r="E59" s="58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57" t="n"/>
      <c r="E60" s="58" t="n"/>
      <c r="G60">
        <f>IFERROR(INDEX('שיבוץ'!$H$3:$H$152,MATCH("ארוחת צהריים"&amp;"|"&amp;1,'שיבוץ'!$L$3:$L$152,0))&amp;"","")</f>
        <v/>
      </c>
    </row>
    <row r="61" ht="24" customHeight="1">
      <c r="A61" s="96" t="n"/>
      <c r="B61" s="96" t="n"/>
      <c r="C61" s="21">
        <f>$G61</f>
        <v/>
      </c>
      <c r="D61" s="57" t="n"/>
      <c r="E61" s="58" t="n"/>
      <c r="G61">
        <f>IFERROR(INDEX('שיבוץ'!$H$3:$H$152,MATCH("ארוחת צהריים"&amp;"|"&amp;2,'שיבוץ'!$L$3:$L$152,0))&amp;"","")</f>
        <v/>
      </c>
    </row>
    <row r="62" ht="24" customHeight="1">
      <c r="A62" s="96" t="n"/>
      <c r="B62" s="96" t="n"/>
      <c r="C62" s="21">
        <f>$G62</f>
        <v/>
      </c>
      <c r="D62" s="57" t="n"/>
      <c r="E62" s="58" t="n"/>
      <c r="G62">
        <f>IFERROR(INDEX('שיבוץ'!$H$3:$H$152,MATCH("ארוחת צהריים"&amp;"|"&amp;3,'שיבוץ'!$L$3:$L$152,0))&amp;"","")</f>
        <v/>
      </c>
    </row>
    <row r="63" ht="24" customHeight="1">
      <c r="A63" s="96" t="n"/>
      <c r="B63" s="96" t="n"/>
      <c r="C63" s="21">
        <f>$G63</f>
        <v/>
      </c>
      <c r="D63" s="57" t="n"/>
      <c r="E63" s="58" t="n"/>
      <c r="G63">
        <f>IFERROR(INDEX('שיבוץ'!$H$3:$H$152,MATCH("ארוחת צהריים"&amp;"|"&amp;4,'שיבוץ'!$L$3:$L$152,0))&amp;"","")</f>
        <v/>
      </c>
    </row>
    <row r="64" ht="24" customHeight="1">
      <c r="A64" s="97" t="n"/>
      <c r="B64" s="97" t="n"/>
      <c r="C64" s="21">
        <f>$G64</f>
        <v/>
      </c>
      <c r="D64" s="57" t="n"/>
      <c r="E64" s="58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57" t="n"/>
      <c r="E65" s="58" t="n"/>
      <c r="G65">
        <f>IFERROR(INDEX('שיבוץ'!$H$3:$H$152,MATCH("חבורה עם איש צוות"&amp;"|"&amp;1,'שיבוץ'!$L$3:$L$152,0))&amp;"","")</f>
        <v/>
      </c>
    </row>
    <row r="66" ht="24" customHeight="1">
      <c r="A66" s="96" t="n"/>
      <c r="B66" s="96" t="n"/>
      <c r="C66" s="21">
        <f>$G66</f>
        <v/>
      </c>
      <c r="D66" s="57" t="n"/>
      <c r="E66" s="58" t="n"/>
      <c r="G66">
        <f>IFERROR(INDEX('שיבוץ'!$H$3:$H$152,MATCH("חבורה עם איש צוות"&amp;"|"&amp;2,'שיבוץ'!$L$3:$L$152,0))&amp;"","")</f>
        <v/>
      </c>
    </row>
    <row r="67" ht="24" customHeight="1">
      <c r="A67" s="96" t="n"/>
      <c r="B67" s="96" t="n"/>
      <c r="C67" s="21">
        <f>$G67</f>
        <v/>
      </c>
      <c r="D67" s="57" t="n"/>
      <c r="E67" s="58" t="n"/>
      <c r="G67">
        <f>IFERROR(INDEX('שיבוץ'!$H$3:$H$152,MATCH("חבורה עם איש צוות"&amp;"|"&amp;3,'שיבוץ'!$L$3:$L$152,0))&amp;"","")</f>
        <v/>
      </c>
    </row>
    <row r="68" ht="24" customHeight="1">
      <c r="A68" s="96" t="n"/>
      <c r="B68" s="96" t="n"/>
      <c r="C68" s="21">
        <f>$G68</f>
        <v/>
      </c>
      <c r="D68" s="57" t="n"/>
      <c r="E68" s="58" t="n"/>
      <c r="G68">
        <f>IFERROR(INDEX('שיבוץ'!$H$3:$H$152,MATCH("חבורה עם איש צוות"&amp;"|"&amp;4,'שיבוץ'!$L$3:$L$152,0))&amp;"","")</f>
        <v/>
      </c>
    </row>
    <row r="69" ht="24" customHeight="1">
      <c r="A69" s="97" t="n"/>
      <c r="B69" s="97" t="n"/>
      <c r="C69" s="21">
        <f>$G69</f>
        <v/>
      </c>
      <c r="D69" s="57" t="n"/>
      <c r="E69" s="58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57" t="n"/>
      <c r="E70" s="58" t="n"/>
      <c r="G70">
        <f>IFERROR(INDEX('שיבוץ'!$H$3:$H$152,MATCH("סעודה שלישית"&amp;"|"&amp;1,'שיבוץ'!$L$3:$L$152,0))&amp;"","")</f>
        <v/>
      </c>
    </row>
    <row r="71" ht="24" customHeight="1">
      <c r="A71" s="96" t="n"/>
      <c r="B71" s="96" t="n"/>
      <c r="C71" s="21">
        <f>$G71</f>
        <v/>
      </c>
      <c r="D71" s="57" t="n"/>
      <c r="E71" s="58" t="n"/>
      <c r="G71">
        <f>IFERROR(INDEX('שיבוץ'!$H$3:$H$152,MATCH("סעודה שלישית"&amp;"|"&amp;2,'שיבוץ'!$L$3:$L$152,0))&amp;"","")</f>
        <v/>
      </c>
    </row>
    <row r="72" ht="24" customHeight="1">
      <c r="A72" s="96" t="n"/>
      <c r="B72" s="96" t="n"/>
      <c r="C72" s="21">
        <f>$G72</f>
        <v/>
      </c>
      <c r="D72" s="57" t="n"/>
      <c r="E72" s="58" t="n"/>
      <c r="G72">
        <f>IFERROR(INDEX('שיבוץ'!$H$3:$H$152,MATCH("סעודה שלישית"&amp;"|"&amp;3,'שיבוץ'!$L$3:$L$152,0))&amp;"","")</f>
        <v/>
      </c>
    </row>
    <row r="73" ht="24" customHeight="1">
      <c r="A73" s="96" t="n"/>
      <c r="B73" s="96" t="n"/>
      <c r="C73" s="21">
        <f>$G73</f>
        <v/>
      </c>
      <c r="D73" s="57" t="n"/>
      <c r="E73" s="58" t="n"/>
      <c r="G73">
        <f>IFERROR(INDEX('שיבוץ'!$H$3:$H$152,MATCH("סעודה שלישית"&amp;"|"&amp;4,'שיבוץ'!$L$3:$L$152,0))&amp;"","")</f>
        <v/>
      </c>
    </row>
    <row r="74" ht="24" customHeight="1">
      <c r="A74" s="97" t="n"/>
      <c r="B74" s="97" t="n"/>
      <c r="C74" s="21">
        <f>$G74</f>
        <v/>
      </c>
      <c r="D74" s="57" t="n"/>
      <c r="E74" s="58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57" t="n"/>
      <c r="E75" s="58" t="n"/>
      <c r="G75">
        <f>IFERROR(INDEX('שיבוץ'!$H$3:$H$152,MATCH("הבדלה"&amp;"|"&amp;1,'שיבוץ'!$L$3:$L$152,0))&amp;"","")</f>
        <v/>
      </c>
    </row>
    <row r="76" ht="24" customHeight="1">
      <c r="A76" s="96" t="n"/>
      <c r="B76" s="96" t="n"/>
      <c r="C76" s="21">
        <f>$G76</f>
        <v/>
      </c>
      <c r="D76" s="57" t="n"/>
      <c r="E76" s="58" t="n"/>
      <c r="G76">
        <f>IFERROR(INDEX('שיבוץ'!$H$3:$H$152,MATCH("הבדלה"&amp;"|"&amp;2,'שיבוץ'!$L$3:$L$152,0))&amp;"","")</f>
        <v/>
      </c>
    </row>
    <row r="77" ht="24" customHeight="1">
      <c r="A77" s="96" t="n"/>
      <c r="B77" s="96" t="n"/>
      <c r="C77" s="21">
        <f>$G77</f>
        <v/>
      </c>
      <c r="D77" s="57" t="n"/>
      <c r="E77" s="58" t="n"/>
      <c r="G77">
        <f>IFERROR(INDEX('שיבוץ'!$H$3:$H$152,MATCH("הבדלה"&amp;"|"&amp;3,'שיבוץ'!$L$3:$L$152,0))&amp;"","")</f>
        <v/>
      </c>
    </row>
    <row r="78" ht="24" customHeight="1">
      <c r="A78" s="96" t="n"/>
      <c r="B78" s="96" t="n"/>
      <c r="C78" s="21">
        <f>$G78</f>
        <v/>
      </c>
      <c r="D78" s="57" t="n"/>
      <c r="E78" s="58" t="n"/>
      <c r="G78">
        <f>IFERROR(INDEX('שיבוץ'!$H$3:$H$152,MATCH("הבדלה"&amp;"|"&amp;4,'שיבוץ'!$L$3:$L$152,0))&amp;"","")</f>
        <v/>
      </c>
    </row>
    <row r="79" ht="24" customHeight="1">
      <c r="A79" s="97" t="n"/>
      <c r="B79" s="97" t="n"/>
      <c r="C79" s="21">
        <f>$G79</f>
        <v/>
      </c>
      <c r="D79" s="57" t="n"/>
      <c r="E79" s="58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57" t="n"/>
      <c r="E80" s="58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96" t="n"/>
      <c r="B81" s="96" t="n"/>
      <c r="C81" s="21">
        <f>$G81</f>
        <v/>
      </c>
      <c r="D81" s="57" t="n"/>
      <c r="E81" s="58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96" t="n"/>
      <c r="B82" s="96" t="n"/>
      <c r="C82" s="21">
        <f>$G82</f>
        <v/>
      </c>
      <c r="D82" s="57" t="n"/>
      <c r="E82" s="58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96" t="n"/>
      <c r="B83" s="96" t="n"/>
      <c r="C83" s="21">
        <f>$G83</f>
        <v/>
      </c>
      <c r="D83" s="57" t="n"/>
      <c r="E83" s="58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97" t="n"/>
      <c r="B84" s="97" t="n"/>
      <c r="C84" s="21">
        <f>$G84</f>
        <v/>
      </c>
      <c r="D84" s="57" t="n"/>
      <c r="E84" s="58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57" t="n"/>
      <c r="E85" s="58" t="n"/>
      <c r="G85">
        <f>IFERROR(INDEX('שיבוץ'!$H$3:$H$152,MATCH("כריכה לכריכה"&amp;"|"&amp;1,'שיבוץ'!$L$3:$L$152,0))&amp;"","")</f>
        <v/>
      </c>
    </row>
    <row r="86" ht="24" customHeight="1">
      <c r="A86" s="96" t="n"/>
      <c r="B86" s="96" t="n"/>
      <c r="C86" s="21">
        <f>$G86</f>
        <v/>
      </c>
      <c r="D86" s="57" t="n"/>
      <c r="E86" s="58" t="n"/>
      <c r="G86">
        <f>IFERROR(INDEX('שיבוץ'!$H$3:$H$152,MATCH("כריכה לכריכה"&amp;"|"&amp;2,'שיבוץ'!$L$3:$L$152,0))&amp;"","")</f>
        <v/>
      </c>
    </row>
    <row r="87" ht="24" customHeight="1">
      <c r="A87" s="96" t="n"/>
      <c r="B87" s="96" t="n"/>
      <c r="C87" s="21">
        <f>$G87</f>
        <v/>
      </c>
      <c r="D87" s="57" t="n"/>
      <c r="E87" s="58" t="n"/>
      <c r="G87">
        <f>IFERROR(INDEX('שיבוץ'!$H$3:$H$152,MATCH("כריכה לכריכה"&amp;"|"&amp;3,'שיבוץ'!$L$3:$L$152,0))&amp;"","")</f>
        <v/>
      </c>
    </row>
    <row r="88" ht="24" customHeight="1">
      <c r="A88" s="96" t="n"/>
      <c r="B88" s="96" t="n"/>
      <c r="C88" s="21">
        <f>$G88</f>
        <v/>
      </c>
      <c r="D88" s="57" t="n"/>
      <c r="E88" s="58" t="n"/>
      <c r="G88">
        <f>IFERROR(INDEX('שיבוץ'!$H$3:$H$152,MATCH("כריכה לכריכה"&amp;"|"&amp;4,'שיבוץ'!$L$3:$L$152,0))&amp;"","")</f>
        <v/>
      </c>
    </row>
    <row r="89" ht="24" customHeight="1">
      <c r="A89" s="97" t="n"/>
      <c r="B89" s="97" t="n"/>
      <c r="C89" s="21">
        <f>$G89</f>
        <v/>
      </c>
      <c r="D89" s="57" t="n"/>
      <c r="E89" s="58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57" t="n"/>
      <c r="E90" s="58" t="n"/>
      <c r="G90">
        <f>IFERROR(INDEX('שיבוץ'!$H$3:$H$152,MATCH("(ללא עוגן)"&amp;"|"&amp;1,'שיבוץ'!$L$3:$L$152,0))&amp;"","")</f>
        <v/>
      </c>
    </row>
    <row r="91" ht="24" customHeight="1">
      <c r="A91" s="96" t="n"/>
      <c r="B91" s="96" t="n"/>
      <c r="C91" s="21">
        <f>$G91</f>
        <v/>
      </c>
      <c r="D91" s="57" t="n"/>
      <c r="E91" s="58" t="n"/>
      <c r="G91">
        <f>IFERROR(INDEX('שיבוץ'!$H$3:$H$152,MATCH("(ללא עוגן)"&amp;"|"&amp;2,'שיבוץ'!$L$3:$L$152,0))&amp;"","")</f>
        <v/>
      </c>
    </row>
    <row r="92" ht="24" customHeight="1">
      <c r="A92" s="96" t="n"/>
      <c r="B92" s="96" t="n"/>
      <c r="C92" s="21">
        <f>$G92</f>
        <v/>
      </c>
      <c r="D92" s="57" t="n"/>
      <c r="E92" s="58" t="n"/>
      <c r="G92">
        <f>IFERROR(INDEX('שיבוץ'!$H$3:$H$152,MATCH("(ללא עוגן)"&amp;"|"&amp;3,'שיבוץ'!$L$3:$L$152,0))&amp;"","")</f>
        <v/>
      </c>
    </row>
    <row r="93" ht="24" customHeight="1">
      <c r="A93" s="96" t="n"/>
      <c r="B93" s="96" t="n"/>
      <c r="C93" s="21">
        <f>$G93</f>
        <v/>
      </c>
      <c r="D93" s="57" t="n"/>
      <c r="E93" s="58" t="n"/>
      <c r="G93">
        <f>IFERROR(INDEX('שיבוץ'!$H$3:$H$152,MATCH("(ללא עוגן)"&amp;"|"&amp;4,'שיבוץ'!$L$3:$L$152,0))&amp;"","")</f>
        <v/>
      </c>
    </row>
    <row r="94" ht="24" customHeight="1">
      <c r="A94" s="96" t="n"/>
      <c r="B94" s="96" t="n"/>
      <c r="C94" s="21">
        <f>$G94</f>
        <v/>
      </c>
      <c r="D94" s="57" t="n"/>
      <c r="E94" s="58" t="n"/>
      <c r="G94">
        <f>IFERROR(INDEX('שיבוץ'!$H$3:$H$152,MATCH("(ללא עוגן)"&amp;"|"&amp;5,'שיבוץ'!$L$3:$L$152,0))&amp;"","")</f>
        <v/>
      </c>
    </row>
    <row r="95" ht="24" customHeight="1">
      <c r="A95" s="96" t="n"/>
      <c r="B95" s="96" t="n"/>
      <c r="C95" s="21">
        <f>$G95</f>
        <v/>
      </c>
      <c r="D95" s="57" t="n"/>
      <c r="E95" s="58" t="n"/>
      <c r="G95">
        <f>IFERROR(INDEX('שיבוץ'!$H$3:$H$152,MATCH("(ללא עוגן)"&amp;"|"&amp;6,'שיבוץ'!$L$3:$L$152,0))&amp;"","")</f>
        <v/>
      </c>
    </row>
    <row r="96" ht="24" customHeight="1">
      <c r="A96" s="96" t="n"/>
      <c r="B96" s="96" t="n"/>
      <c r="C96" s="21">
        <f>$G96</f>
        <v/>
      </c>
      <c r="D96" s="57" t="n"/>
      <c r="E96" s="58" t="n"/>
      <c r="G96">
        <f>IFERROR(INDEX('שיבוץ'!$H$3:$H$152,MATCH("(ללא עוגן)"&amp;"|"&amp;7,'שיבוץ'!$L$3:$L$152,0))&amp;"","")</f>
        <v/>
      </c>
    </row>
    <row r="97" ht="24" customHeight="1">
      <c r="A97" s="96" t="n"/>
      <c r="B97" s="96" t="n"/>
      <c r="C97" s="21">
        <f>$G97</f>
        <v/>
      </c>
      <c r="D97" s="57" t="n"/>
      <c r="E97" s="58" t="n"/>
      <c r="G97">
        <f>IFERROR(INDEX('שיבוץ'!$H$3:$H$152,MATCH("(ללא עוגן)"&amp;"|"&amp;8,'שיבוץ'!$L$3:$L$152,0))&amp;"","")</f>
        <v/>
      </c>
    </row>
    <row r="98" ht="24" customHeight="1">
      <c r="A98" s="96" t="n"/>
      <c r="B98" s="96" t="n"/>
      <c r="C98" s="21">
        <f>$G98</f>
        <v/>
      </c>
      <c r="D98" s="57" t="n"/>
      <c r="E98" s="58" t="n"/>
      <c r="G98">
        <f>IFERROR(INDEX('שיבוץ'!$H$3:$H$152,MATCH("(ללא עוגן)"&amp;"|"&amp;9,'שיבוץ'!$L$3:$L$152,0))&amp;"","")</f>
        <v/>
      </c>
    </row>
    <row r="99" ht="24" customHeight="1">
      <c r="A99" s="96" t="n"/>
      <c r="B99" s="96" t="n"/>
      <c r="C99" s="21">
        <f>$G99</f>
        <v/>
      </c>
      <c r="D99" s="57" t="n"/>
      <c r="E99" s="58" t="n"/>
      <c r="G99">
        <f>IFERROR(INDEX('שיבוץ'!$H$3:$H$152,MATCH("(ללא עוגן)"&amp;"|"&amp;10,'שיבוץ'!$L$3:$L$152,0))&amp;"","")</f>
        <v/>
      </c>
    </row>
    <row r="100" ht="24" customHeight="1">
      <c r="A100" s="96" t="n"/>
      <c r="B100" s="96" t="n"/>
      <c r="C100" s="21">
        <f>$G100</f>
        <v/>
      </c>
      <c r="D100" s="57" t="n"/>
      <c r="E100" s="58" t="n"/>
      <c r="G100">
        <f>IFERROR(INDEX('שיבוץ'!$H$3:$H$152,MATCH("(ללא עוגן)"&amp;"|"&amp;11,'שיבוץ'!$L$3:$L$152,0))&amp;"","")</f>
        <v/>
      </c>
    </row>
    <row r="101" ht="24" customHeight="1">
      <c r="A101" s="96" t="n"/>
      <c r="B101" s="96" t="n"/>
      <c r="C101" s="21">
        <f>$G101</f>
        <v/>
      </c>
      <c r="D101" s="57" t="n"/>
      <c r="E101" s="58" t="n"/>
      <c r="G101">
        <f>IFERROR(INDEX('שיבוץ'!$H$3:$H$152,MATCH("(ללא עוגן)"&amp;"|"&amp;12,'שיבוץ'!$L$3:$L$152,0))&amp;"","")</f>
        <v/>
      </c>
    </row>
    <row r="102" ht="24" customHeight="1">
      <c r="A102" s="96" t="n"/>
      <c r="B102" s="96" t="n"/>
      <c r="C102" s="21">
        <f>$G102</f>
        <v/>
      </c>
      <c r="D102" s="57" t="n"/>
      <c r="E102" s="58" t="n"/>
      <c r="G102">
        <f>IFERROR(INDEX('שיבוץ'!$H$3:$H$152,MATCH("(ללא עוגן)"&amp;"|"&amp;13,'שיבוץ'!$L$3:$L$152,0))&amp;"","")</f>
        <v/>
      </c>
    </row>
    <row r="103" ht="24" customHeight="1">
      <c r="A103" s="97" t="n"/>
      <c r="B103" s="97" t="n"/>
      <c r="C103" s="21">
        <f>$G103</f>
        <v/>
      </c>
      <c r="D103" s="57" t="n"/>
      <c r="E103" s="58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80:E80"/>
    <mergeCell ref="C31:E31"/>
    <mergeCell ref="C40:E40"/>
    <mergeCell ref="A1:E1"/>
    <mergeCell ref="C21:E21"/>
    <mergeCell ref="C51:E51"/>
    <mergeCell ref="C95:E95"/>
    <mergeCell ref="B5:B9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inlineStr">
        <is>
          <t>קבוצה 1</t>
        </is>
      </c>
      <c r="B3" s="69" t="inlineStr">
        <is>
          <t>שישי</t>
        </is>
      </c>
      <c r="C3" s="82" t="n"/>
      <c r="D3" s="70" t="inlineStr">
        <is>
          <t>הפיכת בית מיכאל לבית כנסת — מחיצה, שורות כיסאות משני הצדדים, סידורים על הכיסאות, הפעלת מזגן</t>
        </is>
      </c>
      <c r="E3" s="83">
        <f>IF($D3="","",IFERROR(INDEX('מאגר משימות'!$A$3:$A$252,MATCH($D3,'מאגר משימות'!$D$3:$D$252,0)),""))</f>
        <v/>
      </c>
      <c r="F3" s="70" t="n"/>
      <c r="G3" s="69" t="inlineStr">
        <is>
          <t>קבלת שבת וערבית</t>
        </is>
      </c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IF($A3="","",IF(COUNTIF('קבוצות'!$A$3:$A$8,$A3)=0,"⚠ שם קבוצה לא מוכר",""))</f>
        <v/>
      </c>
    </row>
    <row r="4" ht="28" customHeight="1">
      <c r="A4" s="80" t="inlineStr">
        <is>
          <t>קבוצה 1</t>
        </is>
      </c>
      <c r="B4" s="69" t="inlineStr">
        <is>
          <t>שבת</t>
        </is>
      </c>
      <c r="C4" s="82" t="n"/>
      <c r="D4" s="70" t="inlineStr">
        <is>
          <t>חימום האוכל הרלוונטי בלבד לקידוש על הפלטות</t>
        </is>
      </c>
      <c r="E4" s="83">
        <f>IF($D4="","",IFERROR(INDEX('מאגר משימות'!$A$3:$A$252,MATCH($D4,'מאגר משימות'!$D$3:$D$252,0)),""))</f>
        <v/>
      </c>
      <c r="F4" s="70" t="n"/>
      <c r="G4" s="69" t="inlineStr">
        <is>
          <t>קידוש</t>
        </is>
      </c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IF($A4="","",IF(COUNTIF('קבוצות'!$A$3:$A$8,$A4)=0,"⚠ שם קבוצה לא מוכר",""))</f>
        <v/>
      </c>
    </row>
    <row r="5" ht="28" customHeight="1">
      <c r="A5" s="80" t="inlineStr">
        <is>
          <t>קבוצה 1</t>
        </is>
      </c>
      <c r="B5" s="69" t="inlineStr">
        <is>
          <t>שבת</t>
        </is>
      </c>
      <c r="C5" s="82" t="n"/>
      <c r="D5" s="70" t="inlineStr">
        <is>
          <t>הכנסת מאפים לתנור חימום — ללא אלומיניום מעל העוגות</t>
        </is>
      </c>
      <c r="E5" s="83">
        <f>IF($D5="","",IFERROR(INDEX('מאגר משימות'!$A$3:$A$252,MATCH($D5,'מאגר משימות'!$D$3:$D$252,0)),""))</f>
        <v/>
      </c>
      <c r="F5" s="70" t="n"/>
      <c r="G5" s="69" t="inlineStr">
        <is>
          <t>קידוש</t>
        </is>
      </c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IF($A5="","",IF(COUNTIF('קבוצות'!$A$3:$A$8,$A5)=0,"⚠ שם קבוצה לא מוכר",""))</f>
        <v/>
      </c>
    </row>
    <row r="6" ht="28" customHeight="1">
      <c r="A6" s="80" t="inlineStr">
        <is>
          <t>קבוצה 1</t>
        </is>
      </c>
      <c r="B6" s="69" t="inlineStr">
        <is>
          <t>שבת</t>
        </is>
      </c>
      <c r="C6" s="82" t="n"/>
      <c r="D6" s="70" t="inlineStr">
        <is>
          <t>תיבול סלטים לקידוש</t>
        </is>
      </c>
      <c r="E6" s="83">
        <f>IF($D6="","",IFERROR(INDEX('מאגר משימות'!$A$3:$A$252,MATCH($D6,'מאגר משימות'!$D$3:$D$252,0)),""))</f>
        <v/>
      </c>
      <c r="F6" s="70" t="n"/>
      <c r="G6" s="69" t="inlineStr">
        <is>
          <t>קידוש</t>
        </is>
      </c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IF($A6="","",IF(COUNTIF('קבוצות'!$A$3:$A$8,$A6)=0,"⚠ שם קבוצה לא מוכר",""))</f>
        <v/>
      </c>
    </row>
    <row r="7" ht="28" customHeight="1">
      <c r="A7" s="80" t="inlineStr">
        <is>
          <t>קבוצה 1</t>
        </is>
      </c>
      <c r="B7" s="69" t="inlineStr">
        <is>
          <t>שבת</t>
        </is>
      </c>
      <c r="C7" s="82" t="n"/>
      <c r="D7" s="70" t="inlineStr">
        <is>
          <t>עריכת האוכל לקידוש</t>
        </is>
      </c>
      <c r="E7" s="83">
        <f>IF($D7="","",IFERROR(INDEX('מאגר משימות'!$A$3:$A$252,MATCH($D7,'מאגר משימות'!$D$3:$D$252,0)),""))</f>
        <v/>
      </c>
      <c r="F7" s="70" t="n"/>
      <c r="G7" s="69" t="inlineStr">
        <is>
          <t>קידוש</t>
        </is>
      </c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IF($A7="","",IF(COUNTIF('קבוצות'!$A$3:$A$8,$A7)=0,"⚠ שם קבוצה לא מוכר",""))</f>
        <v/>
      </c>
    </row>
    <row r="8" ht="28" customHeight="1">
      <c r="A8" s="80" t="inlineStr">
        <is>
          <t>קבוצה 1</t>
        </is>
      </c>
      <c r="B8" s="69" t="inlineStr">
        <is>
          <t>שבת</t>
        </is>
      </c>
      <c r="C8" s="82" t="n"/>
      <c r="D8" s="70" t="inlineStr">
        <is>
          <t>סידור פינת קפה — ניקוי, חלב, קפה וסוכר</t>
        </is>
      </c>
      <c r="E8" s="83">
        <f>IF($D8="","",IFERROR(INDEX('מאגר משימות'!$A$3:$A$252,MATCH($D8,'מאגר משימות'!$D$3:$D$252,0)),""))</f>
        <v/>
      </c>
      <c r="F8" s="70" t="n"/>
      <c r="G8" s="69" t="inlineStr">
        <is>
          <t>קידוש</t>
        </is>
      </c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IF($A8="","",IF(COUNTIF('קבוצות'!$A$3:$A$8,$A8)=0,"⚠ שם קבוצה לא מוכר",""))</f>
        <v/>
      </c>
    </row>
    <row r="9" ht="28" customHeight="1">
      <c r="A9" s="80" t="inlineStr">
        <is>
          <t>קבוצה 1</t>
        </is>
      </c>
      <c r="B9" s="69" t="inlineStr">
        <is>
          <t>שבת</t>
        </is>
      </c>
      <c r="C9" s="82" t="n"/>
      <c r="D9" s="70" t="inlineStr">
        <is>
          <t>הוצאת פירות חתוכים ועוגות</t>
        </is>
      </c>
      <c r="E9" s="83">
        <f>IF($D9="","",IFERROR(INDEX('מאגר משימות'!$A$3:$A$252,MATCH($D9,'מאגר משימות'!$D$3:$D$252,0)),""))</f>
        <v/>
      </c>
      <c r="F9" s="70" t="n"/>
      <c r="G9" s="69" t="inlineStr">
        <is>
          <t>קידוש</t>
        </is>
      </c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IF($A9="","",IF(COUNTIF('קבוצות'!$A$3:$A$8,$A9)=0,"⚠ שם קבוצה לא מוכר",""))</f>
        <v/>
      </c>
    </row>
    <row r="10" ht="28" customHeight="1">
      <c r="A10" s="80" t="inlineStr">
        <is>
          <t>קבוצה 1</t>
        </is>
      </c>
      <c r="B10" s="69" t="inlineStr">
        <is>
          <t>שבת</t>
        </is>
      </c>
      <c r="C10" s="82" t="n"/>
      <c r="D10" s="70" t="inlineStr">
        <is>
          <t>הוצאת כלים וסידור שולחנות במעגל</t>
        </is>
      </c>
      <c r="E10" s="83">
        <f>IF($D10="","",IFERROR(INDEX('מאגר משימות'!$A$3:$A$252,MATCH($D10,'מאגר משימות'!$D$3:$D$252,0)),""))</f>
        <v/>
      </c>
      <c r="F10" s="70" t="n"/>
      <c r="G10" s="69" t="inlineStr">
        <is>
          <t>קידוש</t>
        </is>
      </c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IF($A10="","",IF(COUNTIF('קבוצות'!$A$3:$A$8,$A10)=0,"⚠ שם קבוצה לא מוכר",""))</f>
        <v/>
      </c>
    </row>
    <row r="11" ht="28" customHeight="1">
      <c r="A11" s="80" t="inlineStr">
        <is>
          <t>קבוצה 1</t>
        </is>
      </c>
      <c r="B11" s="69" t="inlineStr">
        <is>
          <t>שבת</t>
        </is>
      </c>
      <c r="C11" s="82" t="n"/>
      <c r="D11" s="70" t="inlineStr">
        <is>
          <t>ניקיון מרחב האוכל אחרי הקידוש</t>
        </is>
      </c>
      <c r="E11" s="83">
        <f>IF($D11="","",IFERROR(INDEX('מאגר משימות'!$A$3:$A$252,MATCH($D11,'מאגר משימות'!$D$3:$D$252,0)),""))</f>
        <v/>
      </c>
      <c r="F11" s="70" t="n"/>
      <c r="G11" s="69" t="inlineStr">
        <is>
          <t>קידוש</t>
        </is>
      </c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IF($A11="","",IF(COUNTIF('קבוצות'!$A$3:$A$8,$A11)=0,"⚠ שם קבוצה לא מוכר",""))</f>
        <v/>
      </c>
    </row>
    <row r="12" ht="28" customHeight="1">
      <c r="A12" s="80" t="inlineStr">
        <is>
          <t>קבוצה 1</t>
        </is>
      </c>
      <c r="B12" s="69" t="inlineStr">
        <is>
          <t>שבת</t>
        </is>
      </c>
      <c r="C12" s="82" t="n"/>
      <c r="D12" s="70" t="inlineStr">
        <is>
          <t>קיפול והכנסה למקרר בסיום — לא להשאיר אוכל פתוח</t>
        </is>
      </c>
      <c r="E12" s="83">
        <f>IF($D12="","",IFERROR(INDEX('מאגר משימות'!$A$3:$A$252,MATCH($D12,'מאגר משימות'!$D$3:$D$252,0)),""))</f>
        <v/>
      </c>
      <c r="F12" s="70" t="n"/>
      <c r="G12" s="69" t="inlineStr">
        <is>
          <t>קידוש</t>
        </is>
      </c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IF($A12="","",IF(COUNTIF('קבוצות'!$A$3:$A$8,$A12)=0,"⚠ שם קבוצה לא מוכר",""))</f>
        <v/>
      </c>
    </row>
    <row r="13" ht="28" customHeight="1">
      <c r="A13" s="80" t="inlineStr">
        <is>
          <t>קבוצה 1</t>
        </is>
      </c>
      <c r="B13" s="69" t="inlineStr">
        <is>
          <t>מוצאי שבת</t>
        </is>
      </c>
      <c r="C13" s="82" t="n"/>
      <c r="D13" s="70" t="inlineStr">
        <is>
          <t>ניקיון וסידור חדר מקררים</t>
        </is>
      </c>
      <c r="E13" s="83">
        <f>IF($D13="","",IFERROR(INDEX('מאגר משימות'!$A$3:$A$252,MATCH($D13,'מאגר משימות'!$D$3:$D$252,0)),""))</f>
        <v/>
      </c>
      <c r="F13" s="70" t="n"/>
      <c r="G13" s="69" t="inlineStr">
        <is>
          <t>ניקיונות וארגון הקמפוס</t>
        </is>
      </c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IF($A13="","",IF(COUNTIF('קבוצות'!$A$3:$A$8,$A13)=0,"⚠ שם קבוצה לא מוכר",""))</f>
        <v/>
      </c>
    </row>
    <row r="14" ht="28" customHeight="1">
      <c r="A14" s="80" t="inlineStr">
        <is>
          <t>קבוצה 2</t>
        </is>
      </c>
      <c r="B14" s="69" t="inlineStr">
        <is>
          <t>שישי</t>
        </is>
      </c>
      <c r="C14" s="82" t="n"/>
      <c r="D14" s="70" t="inlineStr">
        <is>
          <t>הכנסת אוכל מהקייטרינג לתנור חימום — כשעתיים לפני הקידוש</t>
        </is>
      </c>
      <c r="E14" s="83">
        <f>IF($D14="","",IFERROR(INDEX('מאגר משימות'!$A$3:$A$252,MATCH($D14,'מאגר משימות'!$D$3:$D$252,0)),""))</f>
        <v/>
      </c>
      <c r="F14" s="70" t="n"/>
      <c r="G14" s="69" t="inlineStr">
        <is>
          <t>סעודת שבת</t>
        </is>
      </c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IF($A14="","",IF(COUNTIF('קבוצות'!$A$3:$A$8,$A14)=0,"⚠ שם קבוצה לא מוכר",""))</f>
        <v/>
      </c>
    </row>
    <row r="15" ht="28" customHeight="1">
      <c r="A15" s="80" t="inlineStr">
        <is>
          <t>קבוצה 2</t>
        </is>
      </c>
      <c r="B15" s="69" t="inlineStr">
        <is>
          <t>שישי</t>
        </is>
      </c>
      <c r="C15" s="82" t="n"/>
      <c r="D15" s="70" t="inlineStr">
        <is>
          <t>הוצאת האוכל מהתנור אחרי הקידוש ולפני הסעודה</t>
        </is>
      </c>
      <c r="E15" s="83">
        <f>IF($D15="","",IFERROR(INDEX('מאגר משימות'!$A$3:$A$252,MATCH($D15,'מאגר משימות'!$D$3:$D$252,0)),""))</f>
        <v/>
      </c>
      <c r="F15" s="70" t="n"/>
      <c r="G15" s="69" t="inlineStr">
        <is>
          <t>סעודת שבת</t>
        </is>
      </c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IF($A15="","",IF(COUNTIF('קבוצות'!$A$3:$A$8,$A15)=0,"⚠ שם קבוצה לא מוכר",""))</f>
        <v/>
      </c>
    </row>
    <row r="16" ht="28" customHeight="1">
      <c r="A16" s="80" t="inlineStr">
        <is>
          <t>קבוצה 2</t>
        </is>
      </c>
      <c r="B16" s="69" t="inlineStr">
        <is>
          <t>שישי</t>
        </is>
      </c>
      <c r="C16" s="82" t="n"/>
      <c r="D16" s="70" t="inlineStr">
        <is>
          <t>ארגון סלטים והכנת טחינה לשולחנות</t>
        </is>
      </c>
      <c r="E16" s="83">
        <f>IF($D16="","",IFERROR(INDEX('מאגר משימות'!$A$3:$A$252,MATCH($D16,'מאגר משימות'!$D$3:$D$252,0)),""))</f>
        <v/>
      </c>
      <c r="F16" s="70" t="n"/>
      <c r="G16" s="69" t="inlineStr">
        <is>
          <t>סעודת שבת</t>
        </is>
      </c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IF($A16="","",IF(COUNTIF('קבוצות'!$A$3:$A$8,$A16)=0,"⚠ שם קבוצה לא מוכר",""))</f>
        <v/>
      </c>
    </row>
    <row r="17" ht="28" customHeight="1">
      <c r="A17" s="80" t="inlineStr">
        <is>
          <t>קבוצה 2</t>
        </is>
      </c>
      <c r="B17" s="69" t="inlineStr">
        <is>
          <t>שישי</t>
        </is>
      </c>
      <c r="C17" s="82" t="n"/>
      <c r="D17" s="70" t="inlineStr">
        <is>
          <t>עריכת שולחנות — כפות הגשה וחלוקת סלטים</t>
        </is>
      </c>
      <c r="E17" s="83">
        <f>IF($D17="","",IFERROR(INDEX('מאגר משימות'!$A$3:$A$252,MATCH($D17,'מאגר משימות'!$D$3:$D$252,0)),""))</f>
        <v/>
      </c>
      <c r="F17" s="70" t="n"/>
      <c r="G17" s="69" t="inlineStr">
        <is>
          <t>סעודת שבת</t>
        </is>
      </c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IF($A17="","",IF(COUNTIF('קבוצות'!$A$3:$A$8,$A17)=0,"⚠ שם קבוצה לא מוכר",""))</f>
        <v/>
      </c>
    </row>
    <row r="18" ht="28" customHeight="1">
      <c r="A18" s="80" t="inlineStr">
        <is>
          <t>קבוצה 2</t>
        </is>
      </c>
      <c r="B18" s="69" t="inlineStr">
        <is>
          <t>שישי</t>
        </is>
      </c>
      <c r="C18" s="82" t="n"/>
      <c r="D18" s="70" t="inlineStr">
        <is>
          <t>ניקיון מרחב האוכל אחרי הסעודה</t>
        </is>
      </c>
      <c r="E18" s="83">
        <f>IF($D18="","",IFERROR(INDEX('מאגר משימות'!$A$3:$A$252,MATCH($D18,'מאגר משימות'!$D$3:$D$252,0)),""))</f>
        <v/>
      </c>
      <c r="F18" s="70" t="n"/>
      <c r="G18" s="69" t="inlineStr">
        <is>
          <t>סעודת שבת</t>
        </is>
      </c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IF($A18="","",IF(COUNTIF('קבוצות'!$A$3:$A$8,$A18)=0,"⚠ שם קבוצה לא מוכר",""))</f>
        <v/>
      </c>
    </row>
    <row r="19" ht="28" customHeight="1">
      <c r="A19" s="80" t="inlineStr">
        <is>
          <t>קבוצה 2</t>
        </is>
      </c>
      <c r="B19" s="69" t="inlineStr">
        <is>
          <t>שבת</t>
        </is>
      </c>
      <c r="C19" s="82" t="n"/>
      <c r="D19" s="70" t="inlineStr">
        <is>
          <t>הכנסת אוכל מהקייטרינג לתנור חימום — כשעתיים לפני ארוחת הצהריים</t>
        </is>
      </c>
      <c r="E19" s="83">
        <f>IF($D19="","",IFERROR(INDEX('מאגר משימות'!$A$3:$A$252,MATCH($D19,'מאגר משימות'!$D$3:$D$252,0)),""))</f>
        <v/>
      </c>
      <c r="F19" s="70" t="n"/>
      <c r="G19" s="69" t="inlineStr">
        <is>
          <t>ארוחת צהריים</t>
        </is>
      </c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IF($A19="","",IF(COUNTIF('קבוצות'!$A$3:$A$8,$A19)=0,"⚠ שם קבוצה לא מוכר",""))</f>
        <v/>
      </c>
    </row>
    <row r="20" ht="28" customHeight="1">
      <c r="A20" s="80" t="inlineStr">
        <is>
          <t>קבוצה 2</t>
        </is>
      </c>
      <c r="B20" s="69" t="inlineStr">
        <is>
          <t>שבת</t>
        </is>
      </c>
      <c r="C20" s="82" t="n"/>
      <c r="D20" s="70" t="inlineStr">
        <is>
          <t>עריכת שולחן לארוחת צהריים אחרי הקידוש</t>
        </is>
      </c>
      <c r="E20" s="83">
        <f>IF($D20="","",IFERROR(INDEX('מאגר משימות'!$A$3:$A$252,MATCH($D20,'מאגר משימות'!$D$3:$D$252,0)),""))</f>
        <v/>
      </c>
      <c r="F20" s="70" t="n"/>
      <c r="G20" s="69" t="inlineStr">
        <is>
          <t>ארוחת צהריים</t>
        </is>
      </c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IF($A20="","",IF(COUNTIF('קבוצות'!$A$3:$A$8,$A20)=0,"⚠ שם קבוצה לא מוכר",""))</f>
        <v/>
      </c>
    </row>
    <row r="21" ht="28" customHeight="1">
      <c r="A21" s="80" t="inlineStr">
        <is>
          <t>קבוצה 2</t>
        </is>
      </c>
      <c r="B21" s="69" t="inlineStr">
        <is>
          <t>שבת</t>
        </is>
      </c>
      <c r="C21" s="82" t="n"/>
      <c r="D21" s="70" t="inlineStr">
        <is>
          <t>חלוקת סלטים לשולחנות</t>
        </is>
      </c>
      <c r="E21" s="83">
        <f>IF($D21="","",IFERROR(INDEX('מאגר משימות'!$A$3:$A$252,MATCH($D21,'מאגר משימות'!$D$3:$D$252,0)),""))</f>
        <v/>
      </c>
      <c r="F21" s="70" t="n"/>
      <c r="G21" s="69" t="inlineStr">
        <is>
          <t>ארוחת צהריים</t>
        </is>
      </c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IF($A21="","",IF(COUNTIF('קבוצות'!$A$3:$A$8,$A21)=0,"⚠ שם קבוצה לא מוכר",""))</f>
        <v/>
      </c>
    </row>
    <row r="22" ht="28" customHeight="1">
      <c r="A22" s="80" t="inlineStr">
        <is>
          <t>קבוצה 2</t>
        </is>
      </c>
      <c r="B22" s="69" t="inlineStr">
        <is>
          <t>שבת</t>
        </is>
      </c>
      <c r="C22" s="82" t="n"/>
      <c r="D22" s="70" t="inlineStr">
        <is>
          <t>ניקיון מרחב האוכל אחרי ארוחת הצהריים</t>
        </is>
      </c>
      <c r="E22" s="83">
        <f>IF($D22="","",IFERROR(INDEX('מאגר משימות'!$A$3:$A$252,MATCH($D22,'מאגר משימות'!$D$3:$D$252,0)),""))</f>
        <v/>
      </c>
      <c r="F22" s="70" t="n"/>
      <c r="G22" s="69" t="inlineStr">
        <is>
          <t>ארוחת צהריים</t>
        </is>
      </c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IF($A22="","",IF(COUNTIF('קבוצות'!$A$3:$A$8,$A22)=0,"⚠ שם קבוצה לא מוכר",""))</f>
        <v/>
      </c>
    </row>
    <row r="23" ht="28" customHeight="1">
      <c r="A23" s="80" t="inlineStr">
        <is>
          <t>קבוצה 2</t>
        </is>
      </c>
      <c r="B23" s="69" t="inlineStr">
        <is>
          <t>מוצאי שבת</t>
        </is>
      </c>
      <c r="C23" s="82" t="n"/>
      <c r="D23" s="70" t="inlineStr">
        <is>
          <t>ניקיון וסידור חדר אוכל</t>
        </is>
      </c>
      <c r="E23" s="83">
        <f>IF($D23="","",IFERROR(INDEX('מאגר משימות'!$A$3:$A$252,MATCH($D23,'מאגר משימות'!$D$3:$D$252,0)),""))</f>
        <v/>
      </c>
      <c r="F23" s="70" t="n"/>
      <c r="G23" s="69" t="inlineStr">
        <is>
          <t>ניקיונות וארגון הקמפוס</t>
        </is>
      </c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IF($A23="","",IF(COUNTIF('קבוצות'!$A$3:$A$8,$A23)=0,"⚠ שם קבוצה לא מוכר",""))</f>
        <v/>
      </c>
    </row>
    <row r="24" ht="28" customHeight="1">
      <c r="A24" s="80" t="inlineStr">
        <is>
          <t>קבוצה 3</t>
        </is>
      </c>
      <c r="B24" s="69" t="inlineStr">
        <is>
          <t>שישי</t>
        </is>
      </c>
      <c r="C24" s="82" t="n"/>
      <c r="D24" s="70" t="inlineStr">
        <is>
          <t>הכנת ארוחת בוקר שישי וניקיון אחריה</t>
        </is>
      </c>
      <c r="E24" s="83">
        <f>IF($D24="","",IFERROR(INDEX('מאגר משימות'!$A$3:$A$252,MATCH($D24,'מאגר משימות'!$D$3:$D$252,0)),""))</f>
        <v/>
      </c>
      <c r="F24" s="70" t="n"/>
      <c r="G24" s="69" t="inlineStr">
        <is>
          <t>שישי — ארוחת בוקר</t>
        </is>
      </c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IF($A24="","",IF(COUNTIF('קבוצות'!$A$3:$A$8,$A24)=0,"⚠ שם קבוצה לא מוכר",""))</f>
        <v/>
      </c>
    </row>
    <row r="25" ht="28" customHeight="1">
      <c r="A25" s="80" t="inlineStr">
        <is>
          <t>קבוצה 3</t>
        </is>
      </c>
      <c r="B25" s="69" t="inlineStr">
        <is>
          <t>שישי</t>
        </is>
      </c>
      <c r="C25" s="82" t="n"/>
      <c r="D25" s="70" t="inlineStr">
        <is>
          <t>הכנת ארוחת צהריים שישי וניקיון אחריה</t>
        </is>
      </c>
      <c r="E25" s="83">
        <f>IF($D25="","",IFERROR(INDEX('מאגר משימות'!$A$3:$A$252,MATCH($D25,'מאגר משימות'!$D$3:$D$252,0)),""))</f>
        <v/>
      </c>
      <c r="F25" s="70" t="n"/>
      <c r="G25" s="69" t="inlineStr">
        <is>
          <t>שישי — ארוחת צהריים</t>
        </is>
      </c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IF($A25="","",IF(COUNTIF('קבוצות'!$A$3:$A$8,$A25)=0,"⚠ שם קבוצה לא מוכר",""))</f>
        <v/>
      </c>
    </row>
    <row r="26" ht="28" customHeight="1">
      <c r="A26" s="80" t="inlineStr">
        <is>
          <t>קבוצה 3</t>
        </is>
      </c>
      <c r="B26" s="69" t="inlineStr">
        <is>
          <t>שבת</t>
        </is>
      </c>
      <c r="C26" s="82" t="n"/>
      <c r="D26" s="70" t="inlineStr">
        <is>
          <t>הכנסת מאפים לחימום והוצאת האוכל</t>
        </is>
      </c>
      <c r="E26" s="83">
        <f>IF($D26="","",IFERROR(INDEX('מאגר משימות'!$A$3:$A$252,MATCH($D26,'מאגר משימות'!$D$3:$D$252,0)),""))</f>
        <v/>
      </c>
      <c r="F26" s="70" t="n"/>
      <c r="G26" s="69" t="inlineStr">
        <is>
          <t>סעודה שלישית</t>
        </is>
      </c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IF($A26="","",IF(COUNTIF('קבוצות'!$A$3:$A$8,$A26)=0,"⚠ שם קבוצה לא מוכר",""))</f>
        <v/>
      </c>
    </row>
    <row r="27" ht="28" customHeight="1">
      <c r="A27" s="80" t="inlineStr">
        <is>
          <t>קבוצה 3</t>
        </is>
      </c>
      <c r="B27" s="69" t="inlineStr">
        <is>
          <t>שבת</t>
        </is>
      </c>
      <c r="C27" s="82" t="n"/>
      <c r="D27" s="70" t="inlineStr">
        <is>
          <t>עריכת המרחב וסידור בסיום</t>
        </is>
      </c>
      <c r="E27" s="83">
        <f>IF($D27="","",IFERROR(INDEX('מאגר משימות'!$A$3:$A$252,MATCH($D27,'מאגר משימות'!$D$3:$D$252,0)),""))</f>
        <v/>
      </c>
      <c r="F27" s="70" t="n"/>
      <c r="G27" s="69" t="inlineStr">
        <is>
          <t>סעודה שלישית</t>
        </is>
      </c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IF($A27="","",IF(COUNTIF('קבוצות'!$A$3:$A$8,$A27)=0,"⚠ שם קבוצה לא מוכר",""))</f>
        <v/>
      </c>
    </row>
    <row r="28" ht="28" customHeight="1">
      <c r="A28" s="80" t="inlineStr">
        <is>
          <t>קבוצה 3</t>
        </is>
      </c>
      <c r="B28" s="69" t="inlineStr">
        <is>
          <t>מוצאי שבת</t>
        </is>
      </c>
      <c r="C28" s="82" t="n"/>
      <c r="D28" s="70" t="inlineStr">
        <is>
          <t>ניקיון שירותי חדר אוכל</t>
        </is>
      </c>
      <c r="E28" s="83">
        <f>IF($D28="","",IFERROR(INDEX('מאגר משימות'!$A$3:$A$252,MATCH($D28,'מאגר משימות'!$D$3:$D$252,0)),""))</f>
        <v/>
      </c>
      <c r="F28" s="70" t="n"/>
      <c r="G28" s="69" t="inlineStr">
        <is>
          <t>ניקיונות וארגון הקמפוס</t>
        </is>
      </c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IF($A28="","",IF(COUNTIF('קבוצות'!$A$3:$A$8,$A28)=0,"⚠ שם קבוצה לא מוכר",""))</f>
        <v/>
      </c>
    </row>
    <row r="29" ht="28" customHeight="1">
      <c r="A29" s="80" t="inlineStr">
        <is>
          <t>קבוצה 4</t>
        </is>
      </c>
      <c r="B29" s="69" t="inlineStr">
        <is>
          <t>שישי</t>
        </is>
      </c>
      <c r="C29" s="82" t="n"/>
      <c r="D29" s="70" t="inlineStr">
        <is>
          <t>סידור שולחנות וכיסאות לטיש</t>
        </is>
      </c>
      <c r="E29" s="83">
        <f>IF($D29="","",IFERROR(INDEX('מאגר משימות'!$A$3:$A$252,MATCH($D29,'מאגר משימות'!$D$3:$D$252,0)),""))</f>
        <v/>
      </c>
      <c r="F29" s="70" t="n"/>
      <c r="G29" s="69" t="inlineStr">
        <is>
          <t>טיש עם איש צוות</t>
        </is>
      </c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IF($A29="","",IF(COUNTIF('קבוצות'!$A$3:$A$8,$A29)=0,"⚠ שם קבוצה לא מוכר",""))</f>
        <v/>
      </c>
    </row>
    <row r="30" ht="28" customHeight="1">
      <c r="A30" s="80" t="inlineStr">
        <is>
          <t>קבוצה 4</t>
        </is>
      </c>
      <c r="B30" s="69" t="inlineStr">
        <is>
          <t>שישי</t>
        </is>
      </c>
      <c r="C30" s="82" t="n"/>
      <c r="D30" s="70" t="inlineStr">
        <is>
          <t>הבאת שתייה וסידור כוסות</t>
        </is>
      </c>
      <c r="E30" s="83">
        <f>IF($D30="","",IFERROR(INDEX('מאגר משימות'!$A$3:$A$252,MATCH($D30,'מאגר משימות'!$D$3:$D$252,0)),""))</f>
        <v/>
      </c>
      <c r="F30" s="70" t="n"/>
      <c r="G30" s="69" t="inlineStr">
        <is>
          <t>טיש עם איש צוות</t>
        </is>
      </c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IF($A30="","",IF(COUNTIF('קבוצות'!$A$3:$A$8,$A30)=0,"⚠ שם קבוצה לא מוכר",""))</f>
        <v/>
      </c>
    </row>
    <row r="31" ht="28" customHeight="1">
      <c r="A31" s="80" t="inlineStr">
        <is>
          <t>קבוצה 4</t>
        </is>
      </c>
      <c r="B31" s="69" t="inlineStr">
        <is>
          <t>שישי</t>
        </is>
      </c>
      <c r="C31" s="82" t="n"/>
      <c r="D31" s="70" t="inlineStr">
        <is>
          <t>חימום עוגות פרווה והוצאת כיבוד</t>
        </is>
      </c>
      <c r="E31" s="83">
        <f>IF($D31="","",IFERROR(INDEX('מאגר משימות'!$A$3:$A$252,MATCH($D31,'מאגר משימות'!$D$3:$D$252,0)),""))</f>
        <v/>
      </c>
      <c r="F31" s="70" t="n"/>
      <c r="G31" s="69" t="inlineStr">
        <is>
          <t>טיש עם איש צוות</t>
        </is>
      </c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IF($A31="","",IF(COUNTIF('קבוצות'!$A$3:$A$8,$A31)=0,"⚠ שם קבוצה לא מוכר",""))</f>
        <v/>
      </c>
    </row>
    <row r="32" ht="28" customHeight="1">
      <c r="A32" s="80" t="inlineStr">
        <is>
          <t>קבוצה 4</t>
        </is>
      </c>
      <c r="B32" s="69" t="inlineStr">
        <is>
          <t>שישי</t>
        </is>
      </c>
      <c r="C32" s="82" t="n"/>
      <c r="D32" s="70" t="inlineStr">
        <is>
          <t>ניקיון מלא בסיום הטיש</t>
        </is>
      </c>
      <c r="E32" s="83">
        <f>IF($D32="","",IFERROR(INDEX('מאגר משימות'!$A$3:$A$252,MATCH($D32,'מאגר משימות'!$D$3:$D$252,0)),""))</f>
        <v/>
      </c>
      <c r="F32" s="70" t="n"/>
      <c r="G32" s="69" t="inlineStr">
        <is>
          <t>טיש עם איש צוות</t>
        </is>
      </c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IF($A32="","",IF(COUNTIF('קבוצות'!$A$3:$A$8,$A32)=0,"⚠ שם קבוצה לא מוכר",""))</f>
        <v/>
      </c>
    </row>
    <row r="33" ht="28" customHeight="1">
      <c r="A33" s="80" t="inlineStr">
        <is>
          <t>קבוצה 4</t>
        </is>
      </c>
      <c r="B33" s="69" t="inlineStr">
        <is>
          <t>שישי</t>
        </is>
      </c>
      <c r="C33" s="82" t="n"/>
      <c r="D33" s="70" t="inlineStr">
        <is>
          <t>הכנת פלטות חימום והדלקתן</t>
        </is>
      </c>
      <c r="E33" s="83">
        <f>IF($D33="","",IFERROR(INDEX('מאגר משימות'!$A$3:$A$252,MATCH($D33,'מאגר משימות'!$D$3:$D$252,0)),""))</f>
        <v/>
      </c>
      <c r="F33" s="70" t="n"/>
      <c r="G33" s="69" t="inlineStr">
        <is>
          <t>שישי — הכנות ועבודה</t>
        </is>
      </c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IF($A33="","",IF(COUNTIF('קבוצות'!$A$3:$A$8,$A33)=0,"⚠ שם קבוצה לא מוכר",""))</f>
        <v/>
      </c>
    </row>
    <row r="34" ht="28" customHeight="1">
      <c r="A34" s="80" t="inlineStr">
        <is>
          <t>קבוצה 4</t>
        </is>
      </c>
      <c r="B34" s="69" t="inlineStr">
        <is>
          <t>שישי</t>
        </is>
      </c>
      <c r="C34" s="82" t="n"/>
      <c r="D34" s="70" t="inlineStr">
        <is>
          <t>הדלקת תנור החימום במטבח</t>
        </is>
      </c>
      <c r="E34" s="83">
        <f>IF($D34="","",IFERROR(INDEX('מאגר משימות'!$A$3:$A$252,MATCH($D34,'מאגר משימות'!$D$3:$D$252,0)),""))</f>
        <v/>
      </c>
      <c r="F34" s="70" t="n"/>
      <c r="G34" s="69" t="inlineStr">
        <is>
          <t>שישי — הכנות ועבודה</t>
        </is>
      </c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IF($A34="","",IF(COUNTIF('קבוצות'!$A$3:$A$8,$A34)=0,"⚠ שם קבוצה לא מוכר",""))</f>
        <v/>
      </c>
    </row>
    <row r="35" ht="28" customHeight="1">
      <c r="A35" s="80" t="inlineStr">
        <is>
          <t>קבוצה 4</t>
        </is>
      </c>
      <c r="B35" s="69" t="inlineStr">
        <is>
          <t>שישי</t>
        </is>
      </c>
      <c r="C35" s="82" t="n"/>
      <c r="D35" s="70" t="inlineStr">
        <is>
          <t>מילוי והדלקת מיחמים</t>
        </is>
      </c>
      <c r="E35" s="83">
        <f>IF($D35="","",IFERROR(INDEX('מאגר משימות'!$A$3:$A$252,MATCH($D35,'מאגר משימות'!$D$3:$D$252,0)),""))</f>
        <v/>
      </c>
      <c r="F35" s="70" t="n"/>
      <c r="G35" s="69" t="inlineStr">
        <is>
          <t>שישי — הכנות ועבודה</t>
        </is>
      </c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IF($A35="","",IF(COUNTIF('קבוצות'!$A$3:$A$8,$A35)=0,"⚠ שם קבוצה לא מוכר",""))</f>
        <v/>
      </c>
    </row>
    <row r="36" ht="28" customHeight="1">
      <c r="A36" s="80" t="inlineStr">
        <is>
          <t>קבוצה 4</t>
        </is>
      </c>
      <c r="B36" s="69" t="inlineStr">
        <is>
          <t>שישי</t>
        </is>
      </c>
      <c r="C36" s="82" t="n"/>
      <c r="D36" s="70" t="inlineStr">
        <is>
          <t>הכנת ציוד הבדלה — נר, יין, בשמים</t>
        </is>
      </c>
      <c r="E36" s="83">
        <f>IF($D36="","",IFERROR(INDEX('מאגר משימות'!$A$3:$A$252,MATCH($D36,'מאגר משימות'!$D$3:$D$252,0)),""))</f>
        <v/>
      </c>
      <c r="F36" s="70" t="n"/>
      <c r="G36" s="69" t="inlineStr">
        <is>
          <t>הבדלה</t>
        </is>
      </c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IF($A36="","",IF(COUNTIF('קבוצות'!$A$3:$A$8,$A36)=0,"⚠ שם קבוצה לא מוכר",""))</f>
        <v/>
      </c>
    </row>
    <row r="37" ht="28" customHeight="1">
      <c r="A37" s="80" t="inlineStr">
        <is>
          <t>קבוצה 4</t>
        </is>
      </c>
      <c r="B37" s="69" t="inlineStr">
        <is>
          <t>שישי</t>
        </is>
      </c>
      <c r="C37" s="82" t="n"/>
      <c r="D37" s="70" t="inlineStr">
        <is>
          <t>הדלקת אורות ומזגנים לשבת וכיוון שעון שבת</t>
        </is>
      </c>
      <c r="E37" s="83">
        <f>IF($D37="","",IFERROR(INDEX('מאגר משימות'!$A$3:$A$252,MATCH($D37,'מאגר משימות'!$D$3:$D$252,0)),""))</f>
        <v/>
      </c>
      <c r="F37" s="70" t="n"/>
      <c r="G37" s="69" t="inlineStr">
        <is>
          <t>שישי — הכנות ועבודה</t>
        </is>
      </c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IF($A37="","",IF(COUNTIF('קבוצות'!$A$3:$A$8,$A37)=0,"⚠ שם קבוצה לא מוכר",""))</f>
        <v/>
      </c>
    </row>
    <row r="38" ht="28" customHeight="1">
      <c r="A38" s="80" t="inlineStr">
        <is>
          <t>קבוצה 4</t>
        </is>
      </c>
      <c r="B38" s="69" t="inlineStr">
        <is>
          <t>שישי</t>
        </is>
      </c>
      <c r="C38" s="82" t="n"/>
      <c r="D38" s="70" t="inlineStr">
        <is>
          <t>הכנת עיתון השבת והפצתו</t>
        </is>
      </c>
      <c r="E38" s="83">
        <f>IF($D38="","",IFERROR(INDEX('מאגר משימות'!$A$3:$A$252,MATCH($D38,'מאגר משימות'!$D$3:$D$252,0)),""))</f>
        <v/>
      </c>
      <c r="F38" s="70" t="n"/>
      <c r="G38" s="69" t="inlineStr">
        <is>
          <t>שישי — הכנות ועבודה</t>
        </is>
      </c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IF($A38="","",IF(COUNTIF('קבוצות'!$A$3:$A$8,$A38)=0,"⚠ שם קבוצה לא מוכר",""))</f>
        <v/>
      </c>
    </row>
    <row r="39" ht="28" customHeight="1">
      <c r="A39" s="80" t="inlineStr">
        <is>
          <t>קבוצה 4</t>
        </is>
      </c>
      <c r="B39" s="69" t="inlineStr">
        <is>
          <t>שישי</t>
        </is>
      </c>
      <c r="C39" s="82" t="n"/>
      <c r="D39" s="70" t="inlineStr">
        <is>
          <t>פתיחת המרחבים והכנתם</t>
        </is>
      </c>
      <c r="E39" s="83">
        <f>IF($D39="","",IFERROR(INDEX('מאגר משימות'!$A$3:$A$252,MATCH($D39,'מאגר משימות'!$D$3:$D$252,0)),""))</f>
        <v/>
      </c>
      <c r="F39" s="70" t="n"/>
      <c r="G39" s="69" t="inlineStr">
        <is>
          <t>שישי — הכנות ועבודה</t>
        </is>
      </c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IF($A39="","",IF(COUNTIF('קבוצות'!$A$3:$A$8,$A39)=0,"⚠ שם קבוצה לא מוכר",""))</f>
        <v/>
      </c>
    </row>
    <row r="40" ht="28" customHeight="1">
      <c r="A40" s="80" t="inlineStr">
        <is>
          <t>קבוצה 4</t>
        </is>
      </c>
      <c r="B40" s="69" t="inlineStr">
        <is>
          <t>שבת</t>
        </is>
      </c>
      <c r="C40" s="82" t="n"/>
      <c r="D40" s="70" t="inlineStr">
        <is>
          <t>לוודא שהאוכל על הפלטות בזמן</t>
        </is>
      </c>
      <c r="E40" s="83">
        <f>IF($D40="","",IFERROR(INDEX('מאגר משימות'!$A$3:$A$252,MATCH($D40,'מאגר משימות'!$D$3:$D$252,0)),""))</f>
        <v/>
      </c>
      <c r="F40" s="70" t="n"/>
      <c r="G40" s="69" t="inlineStr">
        <is>
          <t>ארוחת צהריים</t>
        </is>
      </c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IF($A40="","",IF(COUNTIF('קבוצות'!$A$3:$A$8,$A40)=0,"⚠ שם קבוצה לא מוכר",""))</f>
        <v/>
      </c>
    </row>
    <row r="41" ht="28" customHeight="1">
      <c r="A41" s="80" t="inlineStr">
        <is>
          <t>קבוצה 4</t>
        </is>
      </c>
      <c r="B41" s="69" t="inlineStr">
        <is>
          <t>מוצאי שבת</t>
        </is>
      </c>
      <c r="C41" s="82" t="n"/>
      <c r="D41" s="70" t="inlineStr">
        <is>
          <t>כיבוי פלטות, מיחמים ותנור חימום</t>
        </is>
      </c>
      <c r="E41" s="83">
        <f>IF($D41="","",IFERROR(INDEX('מאגר משימות'!$A$3:$A$252,MATCH($D41,'מאגר משימות'!$D$3:$D$252,0)),""))</f>
        <v/>
      </c>
      <c r="F41" s="70" t="n"/>
      <c r="G41" s="69" t="inlineStr">
        <is>
          <t>ניקיונות וארגון הקמפוס</t>
        </is>
      </c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IF($A41="","",IF(COUNTIF('קבוצות'!$A$3:$A$8,$A41)=0,"⚠ שם קבוצה לא מוכר",""))</f>
        <v/>
      </c>
    </row>
    <row r="42" ht="28" customHeight="1">
      <c r="A42" s="80" t="inlineStr">
        <is>
          <t>קבוצה 4</t>
        </is>
      </c>
      <c r="B42" s="69" t="inlineStr">
        <is>
          <t>מוצאי שבת</t>
        </is>
      </c>
      <c r="C42" s="82" t="n"/>
      <c r="D42" s="70" t="inlineStr">
        <is>
          <t>ניקיון מטבח — כולל הכל</t>
        </is>
      </c>
      <c r="E42" s="83">
        <f>IF($D42="","",IFERROR(INDEX('מאגר משימות'!$A$3:$A$252,MATCH($D42,'מאגר משימות'!$D$3:$D$252,0)),""))</f>
        <v/>
      </c>
      <c r="F42" s="70" t="n"/>
      <c r="G42" s="69" t="inlineStr">
        <is>
          <t>ניקיונות וארגון הקמפוס</t>
        </is>
      </c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IF($A42="","",IF(COUNTIF('קבוצות'!$A$3:$A$8,$A42)=0,"⚠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IF($A43="","",IF(COUNTIF('קבוצות'!$A$3:$A$8,$A43)=0,"⚠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IF($A44="","",IF(COUNTIF('קבוצות'!$A$3:$A$8,$A44)=0,"⚠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IF($A45="","",IF(COUNTIF('קבוצות'!$A$3:$A$8,$A45)=0,"⚠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IF($A46="","",IF(COUNTIF('קבוצות'!$A$3:$A$8,$A46)=0,"⚠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IF($A47="","",IF(COUNTIF('קבוצות'!$A$3:$A$8,$A47)=0,"⚠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IF($A48="","",IF(COUNTIF('קבוצות'!$A$3:$A$8,$A48)=0,"⚠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IF($A49="","",IF(COUNTIF('קבוצות'!$A$3:$A$8,$A49)=0,"⚠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IF($A50="","",IF(COUNTIF('קבוצות'!$A$3:$A$8,$A50)=0,"⚠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IF($A51="","",IF(COUNTIF('קבוצות'!$A$3:$A$8,$A51)=0,"⚠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IF($A52="","",IF(COUNTIF('קבוצות'!$A$3:$A$8,$A52)=0,"⚠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IF($A53="","",IF(COUNTIF('קבוצות'!$A$3:$A$8,$A53)=0,"⚠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IF($A54="","",IF(COUNTIF('קבוצות'!$A$3:$A$8,$A54)=0,"⚠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IF($A55="","",IF(COUNTIF('קבוצות'!$A$3:$A$8,$A55)=0,"⚠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IF($A56="","",IF(COUNTIF('קבוצות'!$A$3:$A$8,$A56)=0,"⚠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IF($A57="","",IF(COUNTIF('קבוצות'!$A$3:$A$8,$A57)=0,"⚠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IF($A58="","",IF(COUNTIF('קבוצות'!$A$3:$A$8,$A58)=0,"⚠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IF($A59="","",IF(COUNTIF('קבוצות'!$A$3:$A$8,$A59)=0,"⚠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IF($A60="","",IF(COUNTIF('קבוצות'!$A$3:$A$8,$A60)=0,"⚠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IF($A61="","",IF(COUNTIF('קבוצות'!$A$3:$A$8,$A61)=0,"⚠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IF($A62="","",IF(COUNTIF('קבוצות'!$A$3:$A$8,$A62)=0,"⚠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IF($A63="","",IF(COUNTIF('קבוצות'!$A$3:$A$8,$A63)=0,"⚠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IF($A64="","",IF(COUNTIF('קבוצות'!$A$3:$A$8,$A64)=0,"⚠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IF($A65="","",IF(COUNTIF('קבוצות'!$A$3:$A$8,$A65)=0,"⚠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IF($A66="","",IF(COUNTIF('קבוצות'!$A$3:$A$8,$A66)=0,"⚠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IF($A67="","",IF(COUNTIF('קבוצות'!$A$3:$A$8,$A67)=0,"⚠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IF($A68="","",IF(COUNTIF('קבוצות'!$A$3:$A$8,$A68)=0,"⚠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IF($A69="","",IF(COUNTIF('קבוצות'!$A$3:$A$8,$A69)=0,"⚠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IF($A70="","",IF(COUNTIF('קבוצות'!$A$3:$A$8,$A70)=0,"⚠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IF($A71="","",IF(COUNTIF('קבוצות'!$A$3:$A$8,$A71)=0,"⚠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IF($A72="","",IF(COUNTIF('קבוצות'!$A$3:$A$8,$A72)=0,"⚠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IF($A73="","",IF(COUNTIF('קבוצות'!$A$3:$A$8,$A73)=0,"⚠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IF($A74="","",IF(COUNTIF('קבוצות'!$A$3:$A$8,$A74)=0,"⚠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IF($A75="","",IF(COUNTIF('קבוצות'!$A$3:$A$8,$A75)=0,"⚠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IF($A76="","",IF(COUNTIF('קבוצות'!$A$3:$A$8,$A76)=0,"⚠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IF($A77="","",IF(COUNTIF('קבוצות'!$A$3:$A$8,$A77)=0,"⚠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IF($A78="","",IF(COUNTIF('קבוצות'!$A$3:$A$8,$A78)=0,"⚠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IF($A79="","",IF(COUNTIF('קבוצות'!$A$3:$A$8,$A79)=0,"⚠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IF($A80="","",IF(COUNTIF('קבוצות'!$A$3:$A$8,$A80)=0,"⚠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IF($A81="","",IF(COUNTIF('קבוצות'!$A$3:$A$8,$A81)=0,"⚠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IF($A82="","",IF(COUNTIF('קבוצות'!$A$3:$A$8,$A82)=0,"⚠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IF($A83="","",IF(COUNTIF('קבוצות'!$A$3:$A$8,$A83)=0,"⚠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IF($A84="","",IF(COUNTIF('קבוצות'!$A$3:$A$8,$A84)=0,"⚠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IF($A85="","",IF(COUNTIF('קבוצות'!$A$3:$A$8,$A85)=0,"⚠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IF($A86="","",IF(COUNTIF('קבוצות'!$A$3:$A$8,$A86)=0,"⚠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IF($A87="","",IF(COUNTIF('קבוצות'!$A$3:$A$8,$A87)=0,"⚠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IF($A88="","",IF(COUNTIF('קבוצות'!$A$3:$A$8,$A88)=0,"⚠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IF($A89="","",IF(COUNTIF('קבוצות'!$A$3:$A$8,$A89)=0,"⚠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IF($A90="","",IF(COUNTIF('קבוצות'!$A$3:$A$8,$A90)=0,"⚠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IF($A91="","",IF(COUNTIF('קבוצות'!$A$3:$A$8,$A91)=0,"⚠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IF($A92="","",IF(COUNTIF('קבוצות'!$A$3:$A$8,$A92)=0,"⚠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IF($A93="","",IF(COUNTIF('קבוצות'!$A$3:$A$8,$A93)=0,"⚠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IF($A94="","",IF(COUNTIF('קבוצות'!$A$3:$A$8,$A94)=0,"⚠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IF($A95="","",IF(COUNTIF('קבוצות'!$A$3:$A$8,$A95)=0,"⚠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IF($A96="","",IF(COUNTIF('קבוצות'!$A$3:$A$8,$A96)=0,"⚠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IF($A97="","",IF(COUNTIF('קבוצות'!$A$3:$A$8,$A97)=0,"⚠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IF($A98="","",IF(COUNTIF('קבוצות'!$A$3:$A$8,$A98)=0,"⚠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IF($A99="","",IF(COUNTIF('קבוצות'!$A$3:$A$8,$A99)=0,"⚠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IF($A100="","",IF(COUNTIF('קבוצות'!$A$3:$A$8,$A100)=0,"⚠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IF($A101="","",IF(COUNTIF('קבוצות'!$A$3:$A$8,$A101)=0,"⚠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IF($A102="","",IF(COUNTIF('קבוצות'!$A$3:$A$8,$A102)=0,"⚠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IF($A103="","",IF(COUNTIF('קבוצות'!$A$3:$A$8,$A103)=0,"⚠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IF($A104="","",IF(COUNTIF('קבוצות'!$A$3:$A$8,$A104)=0,"⚠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IF($A105="","",IF(COUNTIF('קבוצות'!$A$3:$A$8,$A105)=0,"⚠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IF($A106="","",IF(COUNTIF('קבוצות'!$A$3:$A$8,$A106)=0,"⚠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IF($A107="","",IF(COUNTIF('קבוצות'!$A$3:$A$8,$A107)=0,"⚠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IF($A108="","",IF(COUNTIF('קבוצות'!$A$3:$A$8,$A108)=0,"⚠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IF($A109="","",IF(COUNTIF('קבוצות'!$A$3:$A$8,$A109)=0,"⚠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IF($A110="","",IF(COUNTIF('קבוצות'!$A$3:$A$8,$A110)=0,"⚠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IF($A111="","",IF(COUNTIF('קבוצות'!$A$3:$A$8,$A111)=0,"⚠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IF($A112="","",IF(COUNTIF('קבוצות'!$A$3:$A$8,$A112)=0,"⚠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IF($A113="","",IF(COUNTIF('קבוצות'!$A$3:$A$8,$A113)=0,"⚠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IF($A114="","",IF(COUNTIF('קבוצות'!$A$3:$A$8,$A114)=0,"⚠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IF($A115="","",IF(COUNTIF('קבוצות'!$A$3:$A$8,$A115)=0,"⚠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IF($A116="","",IF(COUNTIF('קבוצות'!$A$3:$A$8,$A116)=0,"⚠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IF($A117="","",IF(COUNTIF('קבוצות'!$A$3:$A$8,$A117)=0,"⚠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IF($A118="","",IF(COUNTIF('קבוצות'!$A$3:$A$8,$A118)=0,"⚠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IF($A119="","",IF(COUNTIF('קבוצות'!$A$3:$A$8,$A119)=0,"⚠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IF($A120="","",IF(COUNTIF('קבוצות'!$A$3:$A$8,$A120)=0,"⚠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IF($A121="","",IF(COUNTIF('קבוצות'!$A$3:$A$8,$A121)=0,"⚠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IF($A122="","",IF(COUNTIF('קבוצות'!$A$3:$A$8,$A122)=0,"⚠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IF($A123="","",IF(COUNTIF('קבוצות'!$A$3:$A$8,$A123)=0,"⚠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IF($A124="","",IF(COUNTIF('קבוצות'!$A$3:$A$8,$A124)=0,"⚠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IF($A125="","",IF(COUNTIF('קבוצות'!$A$3:$A$8,$A125)=0,"⚠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IF($A126="","",IF(COUNTIF('קבוצות'!$A$3:$A$8,$A126)=0,"⚠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IF($A127="","",IF(COUNTIF('קבוצות'!$A$3:$A$8,$A127)=0,"⚠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IF($A128="","",IF(COUNTIF('קבוצות'!$A$3:$A$8,$A128)=0,"⚠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IF($A129="","",IF(COUNTIF('קבוצות'!$A$3:$A$8,$A129)=0,"⚠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IF($A130="","",IF(COUNTIF('קבוצות'!$A$3:$A$8,$A130)=0,"⚠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IF($A131="","",IF(COUNTIF('קבוצות'!$A$3:$A$8,$A131)=0,"⚠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IF($A132="","",IF(COUNTIF('קבוצות'!$A$3:$A$8,$A132)=0,"⚠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IF($A133="","",IF(COUNTIF('קבוצות'!$A$3:$A$8,$A133)=0,"⚠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IF($A134="","",IF(COUNTIF('קבוצות'!$A$3:$A$8,$A134)=0,"⚠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IF($A135="","",IF(COUNTIF('קבוצות'!$A$3:$A$8,$A135)=0,"⚠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IF($A136="","",IF(COUNTIF('קבוצות'!$A$3:$A$8,$A136)=0,"⚠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IF($A137="","",IF(COUNTIF('קבוצות'!$A$3:$A$8,$A137)=0,"⚠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IF($A138="","",IF(COUNTIF('קבוצות'!$A$3:$A$8,$A138)=0,"⚠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IF($A139="","",IF(COUNTIF('קבוצות'!$A$3:$A$8,$A139)=0,"⚠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IF($A140="","",IF(COUNTIF('קבוצות'!$A$3:$A$8,$A140)=0,"⚠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IF($A141="","",IF(COUNTIF('קבוצות'!$A$3:$A$8,$A141)=0,"⚠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IF($A142="","",IF(COUNTIF('קבוצות'!$A$3:$A$8,$A142)=0,"⚠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IF($A143="","",IF(COUNTIF('קבוצות'!$A$3:$A$8,$A143)=0,"⚠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IF($A144="","",IF(COUNTIF('קבוצות'!$A$3:$A$8,$A144)=0,"⚠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IF($A145="","",IF(COUNTIF('קבוצות'!$A$3:$A$8,$A145)=0,"⚠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IF($A146="","",IF(COUNTIF('קבוצות'!$A$3:$A$8,$A146)=0,"⚠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IF($A147="","",IF(COUNTIF('קבוצות'!$A$3:$A$8,$A147)=0,"⚠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IF($A148="","",IF(COUNTIF('קבוצות'!$A$3:$A$8,$A148)=0,"⚠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IF($A149="","",IF(COUNTIF('קבוצות'!$A$3:$A$8,$A149)=0,"⚠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IF($A150="","",IF(COUNTIF('קבוצות'!$A$3:$A$8,$A150)=0,"⚠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IF($A151="","",IF(COUNTIF('קבוצות'!$A$3:$A$8,$A151)=0,"⚠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IF($A152="","",IF(COUNTIF('קבוצות'!$A$3:$A$8,$A152)=0,"⚠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inlineStr">
        <is>
          <t>קבוצה 1</t>
        </is>
      </c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</row>
    <row r="4" ht="20" customHeight="1">
      <c r="A4" s="19" t="inlineStr">
        <is>
          <t>איתן וינסטון</t>
        </is>
      </c>
      <c r="B4" s="69" t="inlineStr">
        <is>
          <t>קבוצה 3</t>
        </is>
      </c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</row>
    <row r="5" ht="20" customHeight="1">
      <c r="A5" s="19" t="inlineStr">
        <is>
          <t>יובל יצחק</t>
        </is>
      </c>
      <c r="B5" s="69" t="inlineStr">
        <is>
          <t>קבוצה 2</t>
        </is>
      </c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</row>
    <row r="6" ht="20" customHeight="1">
      <c r="A6" s="19" t="inlineStr">
        <is>
          <t>הילי אלפסי</t>
        </is>
      </c>
      <c r="B6" s="69" t="inlineStr">
        <is>
          <t>קבוצה 4</t>
        </is>
      </c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</row>
    <row r="7" ht="20" customHeight="1">
      <c r="A7" s="19" t="inlineStr">
        <is>
          <t>יהב לוי</t>
        </is>
      </c>
      <c r="B7" s="69" t="inlineStr">
        <is>
          <t>קבוצה 4</t>
        </is>
      </c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</row>
    <row r="8" ht="20" customHeight="1">
      <c r="A8" s="19" t="inlineStr">
        <is>
          <t>שחר קרן</t>
        </is>
      </c>
      <c r="B8" s="69" t="inlineStr">
        <is>
          <t>קבוצה 3</t>
        </is>
      </c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</row>
    <row r="9" ht="20" customHeight="1">
      <c r="A9" s="19" t="inlineStr">
        <is>
          <t>ירדן בן שחר</t>
        </is>
      </c>
      <c r="B9" s="69" t="inlineStr">
        <is>
          <t>קבוצה 2</t>
        </is>
      </c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</row>
    <row r="10" ht="20" customHeight="1">
      <c r="A10" s="19" t="inlineStr">
        <is>
          <t>אחיה נחמני</t>
        </is>
      </c>
      <c r="B10" s="69" t="inlineStr">
        <is>
          <t>קבוצה 4</t>
        </is>
      </c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</row>
    <row r="12" ht="20" customHeight="1">
      <c r="A12" s="19" t="inlineStr">
        <is>
          <t>מעיין יוספי</t>
        </is>
      </c>
      <c r="B12" s="69" t="inlineStr">
        <is>
          <t>קבוצה 3</t>
        </is>
      </c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</row>
    <row r="13" ht="20" customHeight="1">
      <c r="A13" s="19" t="inlineStr">
        <is>
          <t>יעל שם טוב</t>
        </is>
      </c>
      <c r="B13" s="69" t="inlineStr">
        <is>
          <t>קבוצה 2</t>
        </is>
      </c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</row>
    <row r="14" ht="20" customHeight="1">
      <c r="A14" s="19" t="inlineStr">
        <is>
          <t>עמית סיילס</t>
        </is>
      </c>
      <c r="B14" s="69" t="inlineStr">
        <is>
          <t>קבוצה 2</t>
        </is>
      </c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</row>
    <row r="15" ht="20" customHeight="1">
      <c r="A15" s="19" t="inlineStr">
        <is>
          <t>אריאלה מרכוס</t>
        </is>
      </c>
      <c r="B15" s="69" t="inlineStr">
        <is>
          <t>קבוצה 4</t>
        </is>
      </c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</row>
    <row r="16" ht="20" customHeight="1">
      <c r="A16" s="19" t="inlineStr">
        <is>
          <t>משה אוברשטיין</t>
        </is>
      </c>
      <c r="B16" s="69" t="inlineStr">
        <is>
          <t>קבוצה 1</t>
        </is>
      </c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</row>
    <row r="17" ht="20" customHeight="1">
      <c r="A17" s="19" t="inlineStr">
        <is>
          <t>אוריה תעשה</t>
        </is>
      </c>
      <c r="B17" s="69" t="inlineStr">
        <is>
          <t>קבוצה 1</t>
        </is>
      </c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</row>
    <row r="18" ht="20" customHeight="1">
      <c r="A18" s="19" t="inlineStr">
        <is>
          <t>יונתן לירז</t>
        </is>
      </c>
      <c r="B18" s="69" t="inlineStr">
        <is>
          <t>קבוצה 3</t>
        </is>
      </c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</row>
    <row r="19" ht="20" customHeight="1">
      <c r="A19" s="19" t="inlineStr">
        <is>
          <t>פנחס אליהו גלוסקין</t>
        </is>
      </c>
      <c r="B19" s="69" t="inlineStr">
        <is>
          <t>קבוצה 4</t>
        </is>
      </c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</row>
    <row r="20" ht="20" customHeight="1">
      <c r="A20" s="19" t="inlineStr">
        <is>
          <t>נדב טוקר</t>
        </is>
      </c>
      <c r="B20" s="69" t="inlineStr">
        <is>
          <t>קבוצה 2</t>
        </is>
      </c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</row>
    <row r="21" ht="20" customHeight="1">
      <c r="A21" s="19" t="inlineStr">
        <is>
          <t>הדר עמדי</t>
        </is>
      </c>
      <c r="B21" s="69" t="inlineStr">
        <is>
          <t>קבוצה 1</t>
        </is>
      </c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</row>
    <row r="22" ht="20" customHeight="1">
      <c r="A22" s="19" t="inlineStr">
        <is>
          <t>יואב אוחנה</t>
        </is>
      </c>
      <c r="B22" s="69" t="inlineStr">
        <is>
          <t>קבוצה 4</t>
        </is>
      </c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</row>
    <row r="24" ht="20" customHeight="1">
      <c r="A24" s="19" t="inlineStr">
        <is>
          <t>עופר בביוף</t>
        </is>
      </c>
      <c r="B24" s="69" t="inlineStr">
        <is>
          <t>קבוצה 2</t>
        </is>
      </c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</row>
    <row r="25" ht="20" customHeight="1">
      <c r="A25" s="19" t="inlineStr">
        <is>
          <t>הילה עזרא</t>
        </is>
      </c>
      <c r="B25" s="69" t="inlineStr">
        <is>
          <t>קבוצה 2</t>
        </is>
      </c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</row>
    <row r="27" ht="20" customHeight="1">
      <c r="A27" s="19" t="inlineStr">
        <is>
          <t>שחר מרקוביץ' גליק</t>
        </is>
      </c>
      <c r="B27" s="69" t="inlineStr">
        <is>
          <t>קבוצה 3</t>
        </is>
      </c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</row>
    <row r="28" ht="20" customHeight="1">
      <c r="A28" s="19" t="inlineStr">
        <is>
          <t>שליו שישו</t>
        </is>
      </c>
      <c r="B28" s="69" t="inlineStr">
        <is>
          <t>קבוצה 3</t>
        </is>
      </c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</row>
    <row r="29" ht="20" customHeight="1">
      <c r="A29" s="19" t="inlineStr">
        <is>
          <t>חיים שמאי</t>
        </is>
      </c>
      <c r="B29" s="69" t="inlineStr">
        <is>
          <t>קבוצה 3</t>
        </is>
      </c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</row>
    <row r="30" ht="20" customHeight="1">
      <c r="A30" s="19" t="inlineStr">
        <is>
          <t>אנה עזריאל</t>
        </is>
      </c>
      <c r="B30" s="69" t="inlineStr">
        <is>
          <t>קבוצה 4</t>
        </is>
      </c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</row>
    <row r="31" ht="20" customHeight="1">
      <c r="A31" s="19" t="inlineStr">
        <is>
          <t>אלרואי גרינברג</t>
        </is>
      </c>
      <c r="B31" s="69" t="inlineStr">
        <is>
          <t>קבוצה 4</t>
        </is>
      </c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</row>
    <row r="32" ht="20" customHeight="1">
      <c r="A32" s="19" t="inlineStr">
        <is>
          <t>אלה גוטליב</t>
        </is>
      </c>
      <c r="B32" s="69" t="inlineStr">
        <is>
          <t>קבוצה 2</t>
        </is>
      </c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</row>
    <row r="33" ht="20" customHeight="1">
      <c r="A33" s="19" t="inlineStr">
        <is>
          <t>רותם דרור</t>
        </is>
      </c>
      <c r="B33" s="69" t="inlineStr">
        <is>
          <t>קבוצה 2</t>
        </is>
      </c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</row>
    <row r="34" ht="20" customHeight="1">
      <c r="A34" s="19" t="inlineStr">
        <is>
          <t>עומר יוסף גנון</t>
        </is>
      </c>
      <c r="B34" s="69" t="inlineStr">
        <is>
          <t>קבוצה 4</t>
        </is>
      </c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</row>
    <row r="35" ht="20" customHeight="1">
      <c r="A35" s="19" t="inlineStr">
        <is>
          <t>סהר שירון</t>
        </is>
      </c>
      <c r="B35" s="69" t="inlineStr">
        <is>
          <t>קבוצה 2</t>
        </is>
      </c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</row>
    <row r="36" ht="20" customHeight="1">
      <c r="A36" s="19" t="inlineStr">
        <is>
          <t>שירה ספונוב</t>
        </is>
      </c>
      <c r="B36" s="69" t="inlineStr">
        <is>
          <t>קבוצה 1</t>
        </is>
      </c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</row>
    <row r="37" ht="20" customHeight="1">
      <c r="A37" s="19" t="inlineStr">
        <is>
          <t>הלל פינגולד</t>
        </is>
      </c>
      <c r="B37" s="69" t="inlineStr">
        <is>
          <t>קבוצה 2</t>
        </is>
      </c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</row>
    <row r="38" ht="20" customHeight="1">
      <c r="A38" s="19" t="inlineStr">
        <is>
          <t>מישל דוד</t>
        </is>
      </c>
      <c r="B38" s="69" t="inlineStr">
        <is>
          <t>קבוצה 1</t>
        </is>
      </c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</row>
    <row r="40" ht="20" customHeight="1">
      <c r="A40" s="19" t="inlineStr">
        <is>
          <t>עמרי קולטון</t>
        </is>
      </c>
      <c r="B40" s="69" t="inlineStr">
        <is>
          <t>קבוצה 2</t>
        </is>
      </c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</row>
    <row r="41" ht="20" customHeight="1">
      <c r="A41" s="19" t="inlineStr">
        <is>
          <t>נגה חוה כהן</t>
        </is>
      </c>
      <c r="B41" s="69" t="inlineStr">
        <is>
          <t>קבוצה 2</t>
        </is>
      </c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</row>
    <row r="42" ht="20" customHeight="1">
      <c r="A42" s="19" t="inlineStr">
        <is>
          <t>קובי סמייסון</t>
        </is>
      </c>
      <c r="B42" s="69" t="inlineStr">
        <is>
          <t>קבוצה 4</t>
        </is>
      </c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</row>
    <row r="43" ht="20" customHeight="1">
      <c r="A43" s="19" t="inlineStr">
        <is>
          <t>נגה שוהם</t>
        </is>
      </c>
      <c r="B43" s="69" t="inlineStr">
        <is>
          <t>קבוצה 1</t>
        </is>
      </c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</row>
    <row r="44" ht="20" customHeight="1">
      <c r="A44" s="19" t="inlineStr">
        <is>
          <t>ינון לוי</t>
        </is>
      </c>
      <c r="B44" s="69" t="inlineStr">
        <is>
          <t>קבוצה 4</t>
        </is>
      </c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</row>
    <row r="46" ht="20" customHeight="1">
      <c r="A46" s="19" t="inlineStr">
        <is>
          <t>אלה מאיר</t>
        </is>
      </c>
      <c r="B46" s="69" t="inlineStr">
        <is>
          <t>קבוצה 4</t>
        </is>
      </c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</row>
    <row r="47" ht="20" customHeight="1">
      <c r="A47" s="19" t="inlineStr">
        <is>
          <t>זואי כהן</t>
        </is>
      </c>
      <c r="B47" s="69" t="inlineStr">
        <is>
          <t>קבוצה 1</t>
        </is>
      </c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</row>
    <row r="48" ht="20" customHeight="1">
      <c r="A48" s="19" t="inlineStr">
        <is>
          <t>של״ו רובינשטיין</t>
        </is>
      </c>
      <c r="B48" s="69" t="inlineStr">
        <is>
          <t>קבוצה 3</t>
        </is>
      </c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</row>
    <row r="49" ht="20" customHeight="1">
      <c r="A49" s="19" t="inlineStr">
        <is>
          <t>כליל בלאוקופף</t>
        </is>
      </c>
      <c r="B49" s="69" t="inlineStr">
        <is>
          <t>קבוצה 4</t>
        </is>
      </c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</row>
    <row r="50" ht="20" customHeight="1">
      <c r="A50" s="19" t="inlineStr">
        <is>
          <t>רוני פרנקל</t>
        </is>
      </c>
      <c r="B50" s="69" t="inlineStr">
        <is>
          <t>קבוצה 1</t>
        </is>
      </c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</row>
    <row r="51" ht="20" customHeight="1">
      <c r="A51" s="19" t="inlineStr">
        <is>
          <t>נועם גלס</t>
        </is>
      </c>
      <c r="B51" s="69" t="inlineStr">
        <is>
          <t>קבוצה 1</t>
        </is>
      </c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</row>
    <row r="53" ht="20" customHeight="1">
      <c r="A53" s="19" t="inlineStr">
        <is>
          <t>עמית שי אברהם</t>
        </is>
      </c>
      <c r="B53" s="69" t="inlineStr">
        <is>
          <t>קבוצה 3</t>
        </is>
      </c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</row>
    <row r="56" ht="20" customHeight="1">
      <c r="A56" s="19" t="inlineStr">
        <is>
          <t>ארבל פרנקו</t>
        </is>
      </c>
      <c r="B56" s="69" t="inlineStr">
        <is>
          <t>קבוצה 3</t>
        </is>
      </c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</row>
    <row r="57" ht="20" customHeight="1">
      <c r="A57" s="19" t="inlineStr">
        <is>
          <t>יעל קהת</t>
        </is>
      </c>
      <c r="B57" s="69" t="inlineStr">
        <is>
          <t>קבוצה 3</t>
        </is>
      </c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</row>
    <row r="58" ht="20" customHeight="1">
      <c r="A58" s="19" t="inlineStr">
        <is>
          <t>יעל ברחד</t>
        </is>
      </c>
      <c r="B58" s="69" t="inlineStr">
        <is>
          <t>קבוצה 2</t>
        </is>
      </c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</row>
    <row r="59" ht="20" customHeight="1">
      <c r="A59" s="19" t="inlineStr">
        <is>
          <t>תמר פרידמן</t>
        </is>
      </c>
      <c r="B59" s="69" t="inlineStr">
        <is>
          <t>קבוצה 3</t>
        </is>
      </c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</row>
    <row r="60" ht="20" customHeight="1">
      <c r="A60" s="19" t="inlineStr">
        <is>
          <t>יותם ספיר</t>
        </is>
      </c>
      <c r="B60" s="69" t="inlineStr">
        <is>
          <t>קבוצה 3</t>
        </is>
      </c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</row>
    <row r="61" ht="20" customHeight="1">
      <c r="A61" s="19" t="inlineStr">
        <is>
          <t>איתמר אסנהיים</t>
        </is>
      </c>
      <c r="B61" s="69" t="inlineStr">
        <is>
          <t>קבוצה 3</t>
        </is>
      </c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</row>
    <row r="62" ht="20" customHeight="1">
      <c r="A62" s="19" t="inlineStr">
        <is>
          <t>שי- לי וולגמוט</t>
        </is>
      </c>
      <c r="B62" s="69" t="inlineStr">
        <is>
          <t>קבוצה 1</t>
        </is>
      </c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</row>
    <row r="63" ht="20" customHeight="1">
      <c r="A63" s="19" t="inlineStr">
        <is>
          <t>יהונתן קצב</t>
        </is>
      </c>
      <c r="B63" s="69" t="inlineStr">
        <is>
          <t>קבוצה 1</t>
        </is>
      </c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</row>
    <row r="64" ht="20" customHeight="1">
      <c r="A64" s="19" t="inlineStr">
        <is>
          <t>שילת פילפל</t>
        </is>
      </c>
      <c r="B64" s="69" t="inlineStr">
        <is>
          <t>קבוצה 4</t>
        </is>
      </c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</row>
    <row r="65" ht="20" customHeight="1">
      <c r="A65" s="19" t="inlineStr">
        <is>
          <t>נועם ישראל קומפאס</t>
        </is>
      </c>
      <c r="B65" s="69" t="inlineStr">
        <is>
          <t>קבוצה 2</t>
        </is>
      </c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</row>
    <row r="67" ht="20" customHeight="1">
      <c r="A67" s="19" t="inlineStr">
        <is>
          <t>שירה אדלה לוזון</t>
        </is>
      </c>
      <c r="B67" s="69" t="inlineStr">
        <is>
          <t>קבוצה 4</t>
        </is>
      </c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</row>
    <row r="68" ht="20" customHeight="1">
      <c r="A68" s="19" t="inlineStr">
        <is>
          <t>איתן כהן</t>
        </is>
      </c>
      <c r="B68" s="69" t="inlineStr">
        <is>
          <t>קבוצה 1</t>
        </is>
      </c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</row>
    <row r="70" ht="20" customHeight="1">
      <c r="A70" s="19" t="inlineStr">
        <is>
          <t>איתי בן מנחם</t>
        </is>
      </c>
      <c r="B70" s="69" t="inlineStr">
        <is>
          <t>קבוצה 1</t>
        </is>
      </c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</row>
    <row r="72" ht="20" customHeight="1">
      <c r="A72" s="19" t="inlineStr">
        <is>
          <t>טליה קור</t>
        </is>
      </c>
      <c r="B72" s="69" t="inlineStr">
        <is>
          <t>קבוצה 3</t>
        </is>
      </c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</row>
    <row r="74" ht="20" customHeight="1">
      <c r="A74" s="19" t="inlineStr">
        <is>
          <t>אביב רוזנטל</t>
        </is>
      </c>
      <c r="B74" s="69" t="inlineStr">
        <is>
          <t>קבוצה 3</t>
        </is>
      </c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</row>
    <row r="75" ht="20" customHeight="1">
      <c r="A75" s="19" t="inlineStr">
        <is>
          <t>אביה וייל</t>
        </is>
      </c>
      <c r="B75" s="69" t="inlineStr">
        <is>
          <t>קבוצה 1</t>
        </is>
      </c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</row>
    <row r="76" ht="20" customHeight="1">
      <c r="A76" s="19" t="inlineStr">
        <is>
          <t>אורי אסף</t>
        </is>
      </c>
      <c r="B76" s="69" t="inlineStr">
        <is>
          <t>קבוצה 4</t>
        </is>
      </c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</row>
    <row r="77" ht="20" customHeight="1">
      <c r="A77" s="19" t="inlineStr">
        <is>
          <t>איתי גוסטינר</t>
        </is>
      </c>
      <c r="B77" s="69" t="inlineStr">
        <is>
          <t>קבוצה 1</t>
        </is>
      </c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</row>
    <row r="78" ht="20" customHeight="1">
      <c r="A78" s="19" t="inlineStr">
        <is>
          <t>איתי רוס</t>
        </is>
      </c>
      <c r="B78" s="69" t="inlineStr">
        <is>
          <t>קבוצה 4</t>
        </is>
      </c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</row>
    <row r="79" ht="20" customHeight="1">
      <c r="A79" s="19" t="inlineStr">
        <is>
          <t>אלון דיין</t>
        </is>
      </c>
      <c r="B79" s="69" t="inlineStr">
        <is>
          <t>קבוצה 4</t>
        </is>
      </c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</row>
    <row r="80" ht="20" customHeight="1">
      <c r="A80" s="19" t="inlineStr">
        <is>
          <t>דנה שם טוב</t>
        </is>
      </c>
      <c r="B80" s="69" t="inlineStr">
        <is>
          <t>קבוצה 4</t>
        </is>
      </c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</row>
    <row r="81" ht="20" customHeight="1">
      <c r="A81" s="19" t="inlineStr">
        <is>
          <t>יאר אלפסי</t>
        </is>
      </c>
      <c r="B81" s="69" t="inlineStr">
        <is>
          <t>קבוצה 1</t>
        </is>
      </c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</row>
    <row r="82" ht="20" customHeight="1">
      <c r="A82" s="19" t="inlineStr">
        <is>
          <t>יערה ריס</t>
        </is>
      </c>
      <c r="B82" s="69" t="inlineStr">
        <is>
          <t>קבוצה 4</t>
        </is>
      </c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</row>
    <row r="83" ht="20" customHeight="1">
      <c r="A83" s="19" t="inlineStr">
        <is>
          <t>ליאור שימרלינג</t>
        </is>
      </c>
      <c r="B83" s="69" t="inlineStr">
        <is>
          <t>קבוצה 3</t>
        </is>
      </c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</row>
    <row r="84" ht="20" customHeight="1">
      <c r="A84" s="19" t="inlineStr">
        <is>
          <t>ליבי בוכריס</t>
        </is>
      </c>
      <c r="B84" s="69" t="inlineStr">
        <is>
          <t>קבוצה 2</t>
        </is>
      </c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</row>
    <row r="85" ht="20" customHeight="1">
      <c r="A85" s="19" t="inlineStr">
        <is>
          <t>ליעם גבע</t>
        </is>
      </c>
      <c r="B85" s="69" t="inlineStr">
        <is>
          <t>קבוצה 2</t>
        </is>
      </c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</row>
    <row r="86" ht="20" customHeight="1">
      <c r="A86" s="19" t="inlineStr">
        <is>
          <t>מאיה פקטר</t>
        </is>
      </c>
      <c r="B86" s="69" t="inlineStr">
        <is>
          <t>קבוצה 2</t>
        </is>
      </c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</row>
    <row r="87" ht="20" customHeight="1">
      <c r="A87" s="19" t="inlineStr">
        <is>
          <t>נוה גריינר</t>
        </is>
      </c>
      <c r="B87" s="69" t="inlineStr">
        <is>
          <t>קבוצה 1</t>
        </is>
      </c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</row>
    <row r="88" ht="20" customHeight="1">
      <c r="A88" s="19" t="inlineStr">
        <is>
          <t>נעמי פונקלשטיין</t>
        </is>
      </c>
      <c r="B88" s="69" t="inlineStr">
        <is>
          <t>קבוצה 1</t>
        </is>
      </c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</row>
    <row r="89" ht="20" customHeight="1">
      <c r="A89" s="19" t="inlineStr">
        <is>
          <t>עליזה בלום</t>
        </is>
      </c>
      <c r="B89" s="69" t="inlineStr">
        <is>
          <t>קבוצה 3</t>
        </is>
      </c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</row>
    <row r="90" ht="20" customHeight="1">
      <c r="A90" s="19" t="inlineStr">
        <is>
          <t>עפרי גזיאל</t>
        </is>
      </c>
      <c r="B90" s="69" t="inlineStr">
        <is>
          <t>קבוצה 3</t>
        </is>
      </c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</row>
    <row r="91" ht="20" customHeight="1">
      <c r="A91" s="19" t="inlineStr">
        <is>
          <t>עשהאל ירושלמי</t>
        </is>
      </c>
      <c r="B91" s="69" t="inlineStr">
        <is>
          <t>קבוצה 2</t>
        </is>
      </c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</row>
    <row r="92" ht="20" customHeight="1">
      <c r="A92" s="19" t="inlineStr">
        <is>
          <t>פרת פולס</t>
        </is>
      </c>
      <c r="B92" s="69" t="inlineStr">
        <is>
          <t>קבוצה 3</t>
        </is>
      </c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</row>
    <row r="93" ht="20" customHeight="1">
      <c r="A93" s="19" t="inlineStr">
        <is>
          <t>רגב שהם</t>
        </is>
      </c>
      <c r="B93" s="69" t="inlineStr">
        <is>
          <t>קבוצה 2</t>
        </is>
      </c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</row>
    <row r="94" ht="20" customHeight="1">
      <c r="A94" s="19" t="inlineStr">
        <is>
          <t>רוני כהן</t>
        </is>
      </c>
      <c r="B94" s="69" t="inlineStr">
        <is>
          <t>קבוצה 1</t>
        </is>
      </c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</row>
    <row r="133"/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'קבוצות'!$A$3:$A$8</formula1>
    </dataValidation>
    <dataValidation sqref="C3:C132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90" customWidth="1" min="4" max="4"/>
    <col width="14" customWidth="1" min="5" max="5"/>
    <col width="12" customWidth="1" min="6" max="6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חבילת אחריות</t>
        </is>
      </c>
      <c r="D2" s="16" t="inlineStr">
        <is>
          <t>חניכים (מחושב מגיליון «חניכים»)</t>
        </is>
      </c>
      <c r="E2" s="16" t="inlineStr">
        <is>
          <t>ערכת צבע</t>
        </is>
      </c>
      <c r="F2" s="16" t="inlineStr">
        <is>
          <t>מס' חניכים</t>
        </is>
      </c>
    </row>
    <row r="3" ht="46" customHeight="1">
      <c r="A3" s="80" t="inlineStr">
        <is>
          <t>קבוצה 1</t>
        </is>
      </c>
      <c r="B3" s="86" t="n"/>
      <c r="C3" s="69" t="inlineStr">
        <is>
          <t>קידוש ומאפים</t>
        </is>
      </c>
      <c r="D3" s="87">
        <f>IF($A3="","",'חניכים'!$F$132&amp;"")</f>
        <v/>
      </c>
      <c r="E3" s="69" t="inlineStr">
        <is>
          <t>ורוד</t>
        </is>
      </c>
      <c r="F3" s="88">
        <f>IF($A3="","",COUNTIF('חניכים'!$B$3:$B$132,$A3))</f>
        <v/>
      </c>
    </row>
    <row r="4" ht="46" customHeight="1">
      <c r="A4" s="80" t="inlineStr">
        <is>
          <t>קבוצה 2</t>
        </is>
      </c>
      <c r="B4" s="86" t="n"/>
      <c r="C4" s="69" t="inlineStr">
        <is>
          <t>ארוחות שבת</t>
        </is>
      </c>
      <c r="D4" s="87">
        <f>IF($A4="","",'חניכים'!$G$132&amp;"")</f>
        <v/>
      </c>
      <c r="E4" s="69" t="inlineStr">
        <is>
          <t>ים</t>
        </is>
      </c>
      <c r="F4" s="88">
        <f>IF($A4="","",COUNTIF('חניכים'!$B$3:$B$132,$A4))</f>
        <v/>
      </c>
    </row>
    <row r="5" ht="46" customHeight="1">
      <c r="A5" s="80" t="inlineStr">
        <is>
          <t>קבוצה 3</t>
        </is>
      </c>
      <c r="B5" s="86" t="n"/>
      <c r="C5" s="69" t="inlineStr">
        <is>
          <t>ארוחות שישי וסעודה שלישית</t>
        </is>
      </c>
      <c r="D5" s="87">
        <f>IF($A5="","",'חניכים'!$H$132&amp;"")</f>
        <v/>
      </c>
      <c r="E5" s="69" t="inlineStr">
        <is>
          <t>ספארי</t>
        </is>
      </c>
      <c r="F5" s="88">
        <f>IF($A5="","",COUNTIF('חניכים'!$B$3:$B$132,$A5))</f>
        <v/>
      </c>
    </row>
    <row r="6" ht="46" customHeight="1">
      <c r="A6" s="80" t="inlineStr">
        <is>
          <t>קבוצה 4</t>
        </is>
      </c>
      <c r="B6" s="86" t="n"/>
      <c r="C6" s="69" t="inlineStr">
        <is>
          <t>טיש ואחריות טכנית</t>
        </is>
      </c>
      <c r="D6" s="87">
        <f>IF($A6="","",'חניכים'!$I$132&amp;"")</f>
        <v/>
      </c>
      <c r="E6" s="69" t="inlineStr">
        <is>
          <t>שדה</t>
        </is>
      </c>
      <c r="F6" s="88">
        <f>IF($A6="","",COUNTIF('חניכים'!$B$3:$B$132,$A6))</f>
        <v/>
      </c>
    </row>
    <row r="7" ht="46" customHeight="1">
      <c r="A7" s="80" t="n"/>
      <c r="B7" s="86" t="n"/>
      <c r="C7" s="69" t="n"/>
      <c r="D7" s="87">
        <f>IF($A7="","",'חניכים'!$J$132&amp;"")</f>
        <v/>
      </c>
      <c r="E7" s="69" t="inlineStr">
        <is>
          <t>סגול</t>
        </is>
      </c>
      <c r="F7" s="88">
        <f>IF($A7="","",COUNTIF('חניכים'!$B$3:$B$132,$A7))</f>
        <v/>
      </c>
    </row>
    <row r="8" ht="46" customHeight="1">
      <c r="A8" s="80" t="n"/>
      <c r="B8" s="86" t="n"/>
      <c r="C8" s="69" t="n"/>
      <c r="D8" s="87">
        <f>IF($A8="","",'חניכים'!$K$132&amp;"")</f>
        <v/>
      </c>
      <c r="E8" s="69" t="inlineStr">
        <is>
          <t>ירוק</t>
        </is>
      </c>
      <c r="F8" s="88">
        <f>IF($A8="","",COUNTIF('חניכים'!$B$3:$B$132,$A8))</f>
        <v/>
      </c>
    </row>
    <row r="10" ht="28" customHeight="1">
      <c r="A10" s="24" t="inlineStr">
        <is>
          <t>שמות הקבוצות והמובילים נקבעים כאן. «חבילת אחריות» היא תחום האחריות של הקבוצה בשבת הזו. רשימת החניכים מחושבת מגיליון «חניכים» — אין מה להקליד בה. ערכת הצבע קובעת את צבע הכרטיסייה.</t>
        </is>
      </c>
    </row>
  </sheetData>
  <mergeCells count="2">
    <mergeCell ref="A1:F1"/>
    <mergeCell ref="A10:F10"/>
  </mergeCells>
  <dataValidations count="1">
    <dataValidation sqref="E3:E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0" customWidth="1" min="4" max="4"/>
    <col width="26" customWidth="1" min="5" max="5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לסעודה שלישית</t>
        </is>
      </c>
      <c r="E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בישול</t>
        </is>
      </c>
      <c r="C15" s="76" t="inlineStr">
        <is>
          <t>שישי</t>
        </is>
      </c>
      <c r="D15" s="68" t="inlineStr">
        <is>
          <t>סלטים לארוחת ערב שבת</t>
        </is>
      </c>
      <c r="E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צהריים שבת</t>
        </is>
      </c>
      <c r="E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 ביצים</t>
        </is>
      </c>
      <c r="E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מטבוחה</t>
        </is>
      </c>
      <c r="E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חיתוך ירקות לסלט</t>
        </is>
      </c>
      <c r="E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שבת</t>
        </is>
      </c>
      <c r="D20" s="68" t="inlineStr">
        <is>
          <t>חיתוך פירות לקידוש</t>
        </is>
      </c>
      <c r="E20" s="76" t="inlineStr">
        <is>
          <t>שישי — הכנות ועבודה</t>
        </is>
      </c>
    </row>
    <row r="21" ht="20" customHeight="1">
      <c r="A21" s="90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76" t="inlineStr">
        <is>
          <t>שישי — ארוחת בוקר</t>
        </is>
      </c>
    </row>
    <row r="22" ht="20" customHeight="1">
      <c r="A22" s="90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76" t="inlineStr">
        <is>
          <t>שישי — ארוחת צהריים</t>
        </is>
      </c>
    </row>
    <row r="23" ht="20" customHeight="1">
      <c r="A23" s="90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הכנסת אוכל מהקייטרינג לתנור חימום — כשעתיים לפני הקידוש</t>
        </is>
      </c>
      <c r="E23" s="76" t="inlineStr">
        <is>
          <t>סעודת שבת</t>
        </is>
      </c>
    </row>
    <row r="24" ht="20" customHeight="1">
      <c r="A24" s="90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הוצאת האוכל מהתנור אחרי הקידוש ולפני הסעודה</t>
        </is>
      </c>
      <c r="E24" s="76" t="inlineStr">
        <is>
          <t>סעודת שבת</t>
        </is>
      </c>
    </row>
    <row r="25" ht="20" customHeight="1">
      <c r="A25" s="90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ארגון סלטים והכנת טחינה לשולחנות</t>
        </is>
      </c>
      <c r="E25" s="76" t="inlineStr">
        <is>
          <t>סעודת שבת</t>
        </is>
      </c>
    </row>
    <row r="26" ht="20" customHeight="1">
      <c r="A26" s="90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שולחנות — כפות הגשה וחלוקת סלטים</t>
        </is>
      </c>
      <c r="E26" s="76" t="inlineStr">
        <is>
          <t>סעודת שבת</t>
        </is>
      </c>
    </row>
    <row r="27" ht="20" customHeight="1">
      <c r="A27" s="90" t="inlineStr">
        <is>
          <t>תורנות ארוחה</t>
        </is>
      </c>
      <c r="B27" s="20" t="inlineStr">
        <is>
          <t>ארוחת ערב שבת</t>
        </is>
      </c>
      <c r="C27" s="76" t="inlineStr">
        <is>
          <t>שישי</t>
        </is>
      </c>
      <c r="D27" s="68" t="inlineStr">
        <is>
          <t>ניקיון מרחב האוכל אחרי הסעודה</t>
        </is>
      </c>
      <c r="E27" s="76" t="inlineStr">
        <is>
          <t>סעודת שבת</t>
        </is>
      </c>
    </row>
    <row r="28" ht="20" customHeight="1">
      <c r="A28" s="90" t="inlineStr">
        <is>
          <t>תורנות ארוחה</t>
        </is>
      </c>
      <c r="B28" s="20" t="inlineStr">
        <is>
          <t>קידוש</t>
        </is>
      </c>
      <c r="C28" s="76" t="inlineStr">
        <is>
          <t>שבת</t>
        </is>
      </c>
      <c r="D28" s="68" t="inlineStr">
        <is>
          <t>חימום האוכל הרלוונטי בלבד לקידוש על הפלטות</t>
        </is>
      </c>
      <c r="E28" s="76" t="inlineStr">
        <is>
          <t>קידוש</t>
        </is>
      </c>
    </row>
    <row r="29" ht="20" customHeight="1">
      <c r="A29" s="90" t="inlineStr">
        <is>
          <t>תורנות ארוחה</t>
        </is>
      </c>
      <c r="B29" s="20" t="inlineStr">
        <is>
          <t>קידוש</t>
        </is>
      </c>
      <c r="C29" s="76" t="inlineStr">
        <is>
          <t>שבת</t>
        </is>
      </c>
      <c r="D29" s="68" t="inlineStr">
        <is>
          <t>הכנסת מאפים לתנור חימום — ללא אלומיניום מעל העוגות</t>
        </is>
      </c>
      <c r="E29" s="76" t="inlineStr">
        <is>
          <t>קידוש</t>
        </is>
      </c>
    </row>
    <row r="30" ht="20" customHeight="1">
      <c r="A30" s="90" t="inlineStr">
        <is>
          <t>תורנות ארוחה</t>
        </is>
      </c>
      <c r="B30" s="20" t="inlineStr">
        <is>
          <t>קידוש</t>
        </is>
      </c>
      <c r="C30" s="76" t="inlineStr">
        <is>
          <t>שבת</t>
        </is>
      </c>
      <c r="D30" s="68" t="inlineStr">
        <is>
          <t>תיבול סלטים לקידוש</t>
        </is>
      </c>
      <c r="E30" s="76" t="inlineStr">
        <is>
          <t>קידוש</t>
        </is>
      </c>
    </row>
    <row r="31" ht="20" customHeight="1">
      <c r="A31" s="90" t="inlineStr">
        <is>
          <t>תורנות ארוחה</t>
        </is>
      </c>
      <c r="B31" s="20" t="inlineStr">
        <is>
          <t>קידוש</t>
        </is>
      </c>
      <c r="C31" s="76" t="inlineStr">
        <is>
          <t>שבת</t>
        </is>
      </c>
      <c r="D31" s="68" t="inlineStr">
        <is>
          <t>עריכת האוכל לקידוש</t>
        </is>
      </c>
      <c r="E31" s="76" t="inlineStr">
        <is>
          <t>קידוש</t>
        </is>
      </c>
    </row>
    <row r="32" ht="20" customHeight="1">
      <c r="A32" s="90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פינת קפה — ניקוי, חלב, קפה וסוכר</t>
        </is>
      </c>
      <c r="E32" s="76" t="inlineStr">
        <is>
          <t>קידוש</t>
        </is>
      </c>
    </row>
    <row r="33" ht="20" customHeight="1">
      <c r="A33" s="90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הוצאת פירות חתוכים ועוגות</t>
        </is>
      </c>
      <c r="E33" s="76" t="inlineStr">
        <is>
          <t>קידוש</t>
        </is>
      </c>
    </row>
    <row r="34" ht="20" customHeight="1">
      <c r="A34" s="90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הוצאת כלים וסידור שולחנות במעגל</t>
        </is>
      </c>
      <c r="E34" s="76" t="inlineStr">
        <is>
          <t>קידוש</t>
        </is>
      </c>
    </row>
    <row r="35" ht="20" customHeight="1">
      <c r="A35" s="90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ניקיון מרחב האוכל אחרי הקידוש</t>
        </is>
      </c>
      <c r="E35" s="76" t="inlineStr">
        <is>
          <t>קידוש</t>
        </is>
      </c>
    </row>
    <row r="36" ht="20" customHeight="1">
      <c r="A36" s="90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קיפול והכנסה למקרר בסיום — לא להשאיר אוכל פתוח</t>
        </is>
      </c>
      <c r="E36" s="76" t="inlineStr">
        <is>
          <t>קידוש</t>
        </is>
      </c>
    </row>
    <row r="37" ht="20" customHeight="1">
      <c r="A37" s="90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הכנסת אוכל מהקייטרינג לתנור חימום — כשעתיים לפני ארוחת הצהריים</t>
        </is>
      </c>
      <c r="E37" s="76" t="inlineStr">
        <is>
          <t>ארוחת צהריים</t>
        </is>
      </c>
    </row>
    <row r="38" ht="20" customHeight="1">
      <c r="A38" s="90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עריכת שולחן לארוחת צהריים אחרי הקידוש</t>
        </is>
      </c>
      <c r="E38" s="76" t="inlineStr">
        <is>
          <t>ארוחת צהריים</t>
        </is>
      </c>
    </row>
    <row r="39" ht="20" customHeight="1">
      <c r="A39" s="90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חלוקת סלטים לשולחנות</t>
        </is>
      </c>
      <c r="E39" s="76" t="inlineStr">
        <is>
          <t>ארוחת צהריים</t>
        </is>
      </c>
    </row>
    <row r="40" ht="20" customHeight="1">
      <c r="A40" s="90" t="inlineStr">
        <is>
          <t>תורנות ארוחה</t>
        </is>
      </c>
      <c r="B40" s="20" t="inlineStr">
        <is>
          <t>ארוחת צהריים שבת</t>
        </is>
      </c>
      <c r="C40" s="76" t="inlineStr">
        <is>
          <t>שבת</t>
        </is>
      </c>
      <c r="D40" s="68" t="inlineStr">
        <is>
          <t>ניקיון מרחב האוכל אחרי ארוחת הצהריים</t>
        </is>
      </c>
      <c r="E40" s="76" t="inlineStr">
        <is>
          <t>ארוחת צהריים</t>
        </is>
      </c>
    </row>
    <row r="41" ht="20" customHeight="1">
      <c r="A41" s="90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הכנסת מאפים לחימום והוצאת האוכל</t>
        </is>
      </c>
      <c r="E41" s="76" t="inlineStr">
        <is>
          <t>סעודה שלישית</t>
        </is>
      </c>
    </row>
    <row r="42" ht="20" customHeight="1">
      <c r="A42" s="90" t="inlineStr">
        <is>
          <t>תורנות ארוחה</t>
        </is>
      </c>
      <c r="B42" s="20" t="inlineStr">
        <is>
          <t>סעודה שלישית</t>
        </is>
      </c>
      <c r="C42" s="76" t="inlineStr">
        <is>
          <t>שבת</t>
        </is>
      </c>
      <c r="D42" s="68" t="inlineStr">
        <is>
          <t>עריכת המרחב וסידור בסיום</t>
        </is>
      </c>
      <c r="E42" s="76" t="inlineStr">
        <is>
          <t>סעודה שלישית</t>
        </is>
      </c>
    </row>
    <row r="43" ht="20" customHeight="1">
      <c r="A43" s="90" t="inlineStr">
        <is>
          <t>תורנות ארוחה</t>
        </is>
      </c>
      <c r="B43" s="20" t="inlineStr">
        <is>
          <t>טיש</t>
        </is>
      </c>
      <c r="C43" s="76" t="inlineStr">
        <is>
          <t>שישי</t>
        </is>
      </c>
      <c r="D43" s="68" t="inlineStr">
        <is>
          <t>סידור שולחנות וכיסאות לטיש</t>
        </is>
      </c>
      <c r="E43" s="76" t="inlineStr">
        <is>
          <t>טיש עם איש צוות</t>
        </is>
      </c>
    </row>
    <row r="44" ht="20" customHeight="1">
      <c r="A44" s="90" t="inlineStr">
        <is>
          <t>תורנות ארוחה</t>
        </is>
      </c>
      <c r="B44" s="20" t="inlineStr">
        <is>
          <t>טיש</t>
        </is>
      </c>
      <c r="C44" s="76" t="inlineStr">
        <is>
          <t>שישי</t>
        </is>
      </c>
      <c r="D44" s="68" t="inlineStr">
        <is>
          <t>הבאת שתייה וסידור כוסות</t>
        </is>
      </c>
      <c r="E44" s="76" t="inlineStr">
        <is>
          <t>טיש עם איש צוות</t>
        </is>
      </c>
    </row>
    <row r="45" ht="20" customHeight="1">
      <c r="A45" s="90" t="inlineStr">
        <is>
          <t>תורנות ארוחה</t>
        </is>
      </c>
      <c r="B45" s="20" t="inlineStr">
        <is>
          <t>טיש</t>
        </is>
      </c>
      <c r="C45" s="76" t="inlineStr">
        <is>
          <t>שישי</t>
        </is>
      </c>
      <c r="D45" s="68" t="inlineStr">
        <is>
          <t>חימום עוגות פרווה והוצאת כיבוד</t>
        </is>
      </c>
      <c r="E45" s="76" t="inlineStr">
        <is>
          <t>טיש עם איש צוות</t>
        </is>
      </c>
    </row>
    <row r="46" ht="20" customHeight="1">
      <c r="A46" s="90" t="inlineStr">
        <is>
          <t>תורנות ארוחה</t>
        </is>
      </c>
      <c r="B46" s="20" t="inlineStr">
        <is>
          <t>טיש</t>
        </is>
      </c>
      <c r="C46" s="76" t="inlineStr">
        <is>
          <t>שישי</t>
        </is>
      </c>
      <c r="D46" s="68" t="inlineStr">
        <is>
          <t>ניקיון מלא בסיום הטיש</t>
        </is>
      </c>
      <c r="E46" s="76" t="inlineStr">
        <is>
          <t>טיש עם איש צוות</t>
        </is>
      </c>
    </row>
    <row r="47" ht="20" customHeight="1">
      <c r="A47" s="91" t="inlineStr">
        <is>
          <t>ניקיון וסידור</t>
        </is>
      </c>
      <c r="B47" s="20" t="inlineStr">
        <is>
          <t>בית מיכאל</t>
        </is>
      </c>
      <c r="C47" s="76" t="inlineStr">
        <is>
          <t>שישי</t>
        </is>
      </c>
      <c r="D47" s="68" t="inlineStr">
        <is>
          <t>הפיכת בית מיכאל לבית כנסת — מחיצה, שורות כיסאות משני הצדדים, סידורים על הכיסאות, הפעלת מזגן</t>
        </is>
      </c>
      <c r="E47" s="76" t="inlineStr">
        <is>
          <t>קבלת שבת וערבית</t>
        </is>
      </c>
    </row>
    <row r="48" ht="20" customHeight="1">
      <c r="A48" s="91" t="inlineStr">
        <is>
          <t>ניקיון וסידור</t>
        </is>
      </c>
      <c r="B48" s="20" t="inlineStr">
        <is>
          <t>בית מיכאל</t>
        </is>
      </c>
      <c r="C48" s="76" t="inlineStr">
        <is>
          <t>שישי</t>
        </is>
      </c>
      <c r="D48" s="68" t="inlineStr">
        <is>
          <t>הבאת ספות וסידור מרחב הטיש</t>
        </is>
      </c>
      <c r="E48" s="76" t="inlineStr">
        <is>
          <t>טיש עם איש צוות</t>
        </is>
      </c>
    </row>
    <row r="49" ht="20" customHeight="1">
      <c r="A49" s="91" t="inlineStr">
        <is>
          <t>ניקיון וסידור</t>
        </is>
      </c>
      <c r="B49" s="20" t="inlineStr">
        <is>
          <t>בית מיכאל</t>
        </is>
      </c>
      <c r="C49" s="76" t="inlineStr">
        <is>
          <t>מוצאי שבת</t>
        </is>
      </c>
      <c r="D49" s="68" t="inlineStr">
        <is>
          <t>טאטוא ושטיפת בית מיכאל</t>
        </is>
      </c>
      <c r="E49" s="76" t="inlineStr">
        <is>
          <t>ניקיונות וארגון הקמפוס</t>
        </is>
      </c>
    </row>
    <row r="50" ht="20" customHeight="1">
      <c r="A50" s="91" t="inlineStr">
        <is>
          <t>ניקיון וסידור</t>
        </is>
      </c>
      <c r="B50" s="20" t="inlineStr">
        <is>
          <t>בית מיכאל</t>
        </is>
      </c>
      <c r="C50" s="76" t="inlineStr">
        <is>
          <t>מוצאי שבת</t>
        </is>
      </c>
      <c r="D50" s="68" t="inlineStr">
        <is>
          <t>החזרת בית המדרש לסידור המקורי</t>
        </is>
      </c>
      <c r="E50" s="76" t="inlineStr">
        <is>
          <t>ניקיונות וארגון הקמפוס</t>
        </is>
      </c>
    </row>
    <row r="51" ht="20" customHeight="1">
      <c r="A51" s="91" t="inlineStr">
        <is>
          <t>ניקיון וסידור</t>
        </is>
      </c>
      <c r="B51" s="20" t="inlineStr">
        <is>
          <t>חדר אוכל</t>
        </is>
      </c>
      <c r="C51" s="76" t="inlineStr">
        <is>
          <t>משתנה</t>
        </is>
      </c>
      <c r="D51" s="68" t="inlineStr">
        <is>
          <t>ניקיון וסידור חדר אוכל</t>
        </is>
      </c>
      <c r="E51" s="76" t="n"/>
    </row>
    <row r="52" ht="20" customHeight="1">
      <c r="A52" s="91" t="inlineStr">
        <is>
          <t>ניקיון וסידור</t>
        </is>
      </c>
      <c r="B52" s="20" t="inlineStr">
        <is>
          <t>חדר אוכל</t>
        </is>
      </c>
      <c r="C52" s="76" t="inlineStr">
        <is>
          <t>משתנה</t>
        </is>
      </c>
      <c r="D52" s="68" t="inlineStr">
        <is>
          <t>שטיפת רצפת חדר האוכל</t>
        </is>
      </c>
      <c r="E52" s="76" t="n"/>
    </row>
    <row r="53" ht="20" customHeight="1">
      <c r="A53" s="91" t="inlineStr">
        <is>
          <t>ניקיון וסידור</t>
        </is>
      </c>
      <c r="B53" s="20" t="inlineStr">
        <is>
          <t>שירותי חדר אוכל</t>
        </is>
      </c>
      <c r="C53" s="76" t="inlineStr">
        <is>
          <t>משתנה</t>
        </is>
      </c>
      <c r="D53" s="68" t="inlineStr">
        <is>
          <t>ניקיון שירותי חדר אוכל</t>
        </is>
      </c>
      <c r="E53" s="76" t="n"/>
    </row>
    <row r="54" ht="20" customHeight="1">
      <c r="A54" s="91" t="inlineStr">
        <is>
          <t>ניקיון וסידור</t>
        </is>
      </c>
      <c r="B54" s="20" t="inlineStr">
        <is>
          <t>שירותים כלליים</t>
        </is>
      </c>
      <c r="C54" s="76" t="inlineStr">
        <is>
          <t>משתנה</t>
        </is>
      </c>
      <c r="D54" s="68" t="inlineStr">
        <is>
          <t>ניקיון שירותים — אקונומיקה ונייר</t>
        </is>
      </c>
      <c r="E54" s="76" t="n"/>
    </row>
    <row r="55" ht="20" customHeight="1">
      <c r="A55" s="91" t="inlineStr">
        <is>
          <t>ניקיון וסידור</t>
        </is>
      </c>
      <c r="B55" s="20" t="inlineStr">
        <is>
          <t>מטבח</t>
        </is>
      </c>
      <c r="C55" s="76" t="inlineStr">
        <is>
          <t>משתנה</t>
        </is>
      </c>
      <c r="D55" s="68" t="inlineStr">
        <is>
          <t>ניקיון מטבח — כולל הכל</t>
        </is>
      </c>
      <c r="E55" s="76" t="n"/>
    </row>
    <row r="56" ht="20" customHeight="1">
      <c r="A56" s="91" t="inlineStr">
        <is>
          <t>ניקיון וסידור</t>
        </is>
      </c>
      <c r="B56" s="20" t="inlineStr">
        <is>
          <t>מטבח</t>
        </is>
      </c>
      <c r="C56" s="76" t="inlineStr">
        <is>
          <t>משתנה</t>
        </is>
      </c>
      <c r="D56" s="68" t="inlineStr">
        <is>
          <t>כיריים וכיורים</t>
        </is>
      </c>
      <c r="E56" s="76" t="n"/>
    </row>
    <row r="57" ht="20" customHeight="1">
      <c r="A57" s="91" t="inlineStr">
        <is>
          <t>ניקיון וסידור</t>
        </is>
      </c>
      <c r="B57" s="20" t="inlineStr">
        <is>
          <t>מטבח</t>
        </is>
      </c>
      <c r="C57" s="76" t="inlineStr">
        <is>
          <t>משתנה</t>
        </is>
      </c>
      <c r="D57" s="68" t="inlineStr">
        <is>
          <t>פינוי כלים מהייבוש וסידור מזווה</t>
        </is>
      </c>
      <c r="E57" s="76" t="n"/>
    </row>
    <row r="58" ht="20" customHeight="1">
      <c r="A58" s="91" t="inlineStr">
        <is>
          <t>ניקיון וסידור</t>
        </is>
      </c>
      <c r="B58" s="20" t="inlineStr">
        <is>
          <t>חדר מקררים</t>
        </is>
      </c>
      <c r="C58" s="76" t="inlineStr">
        <is>
          <t>משתנה</t>
        </is>
      </c>
      <c r="D58" s="68" t="inlineStr">
        <is>
          <t>ניקיון וסידור חדר מקררים</t>
        </is>
      </c>
      <c r="E58" s="76" t="n"/>
    </row>
    <row r="59" ht="20" customHeight="1">
      <c r="A59" s="91" t="inlineStr">
        <is>
          <t>ניקיון וסידור</t>
        </is>
      </c>
      <c r="B59" s="20" t="inlineStr">
        <is>
          <t>קוביה</t>
        </is>
      </c>
      <c r="C59" s="76" t="inlineStr">
        <is>
          <t>משתנה</t>
        </is>
      </c>
      <c r="D59" s="68" t="inlineStr">
        <is>
          <t>ניקיון וסידור הקוביה</t>
        </is>
      </c>
      <c r="E59" s="76" t="n"/>
    </row>
    <row r="60" ht="20" customHeight="1">
      <c r="A60" s="91" t="inlineStr">
        <is>
          <t>ניקיון וסידור</t>
        </is>
      </c>
      <c r="B60" s="20" t="inlineStr">
        <is>
          <t>מרחבי חבורות</t>
        </is>
      </c>
      <c r="C60" s="76" t="inlineStr">
        <is>
          <t>משתנה</t>
        </is>
      </c>
      <c r="D60" s="68" t="inlineStr">
        <is>
          <t>סידור מרחבי החבורות — כיסאות לפי מספר החבורות</t>
        </is>
      </c>
      <c r="E60" s="76" t="inlineStr">
        <is>
          <t>חבורות חניכים</t>
        </is>
      </c>
    </row>
    <row r="61" ht="20" customHeight="1">
      <c r="A61" s="91" t="inlineStr">
        <is>
          <t>ניקיון וסידור</t>
        </is>
      </c>
      <c r="B61" s="20" t="inlineStr">
        <is>
          <t>מרפסת וחצר</t>
        </is>
      </c>
      <c r="C61" s="76" t="inlineStr">
        <is>
          <t>משתנה</t>
        </is>
      </c>
      <c r="D61" s="68" t="inlineStr">
        <is>
          <t>ניקיון וסידור המרפסת והחצר</t>
        </is>
      </c>
      <c r="E61" s="76" t="n"/>
    </row>
    <row r="62" ht="20" customHeight="1">
      <c r="A62" s="91" t="inlineStr">
        <is>
          <t>ניקיון וסידור</t>
        </is>
      </c>
      <c r="B62" s="20" t="inlineStr">
        <is>
          <t>כללי</t>
        </is>
      </c>
      <c r="C62" s="76" t="inlineStr">
        <is>
          <t>מוצאי שבת</t>
        </is>
      </c>
      <c r="D62" s="68" t="inlineStr">
        <is>
          <t>החזרת ספות ורהיטים למקומם</t>
        </is>
      </c>
      <c r="E62" s="76" t="inlineStr">
        <is>
          <t>ניקיונות וארגון הקמפוס</t>
        </is>
      </c>
    </row>
    <row r="63" ht="20" customHeight="1">
      <c r="A63" s="92" t="inlineStr">
        <is>
          <t>אחריות טכנית</t>
        </is>
      </c>
      <c r="B63" s="20" t="inlineStr">
        <is>
          <t>חימום</t>
        </is>
      </c>
      <c r="C63" s="76" t="inlineStr">
        <is>
          <t>שישי</t>
        </is>
      </c>
      <c r="D63" s="68" t="inlineStr">
        <is>
          <t>הכנת פלטות חימום והדלקתן</t>
        </is>
      </c>
      <c r="E63" s="76" t="inlineStr">
        <is>
          <t>שישי — הכנות ועבודה</t>
        </is>
      </c>
    </row>
    <row r="64" ht="20" customHeight="1">
      <c r="A64" s="92" t="inlineStr">
        <is>
          <t>אחריות טכנית</t>
        </is>
      </c>
      <c r="B64" s="20" t="inlineStr">
        <is>
          <t>חימום</t>
        </is>
      </c>
      <c r="C64" s="76" t="inlineStr">
        <is>
          <t>שישי</t>
        </is>
      </c>
      <c r="D64" s="68" t="inlineStr">
        <is>
          <t>הדלקת תנור החימום במטבח</t>
        </is>
      </c>
      <c r="E64" s="76" t="inlineStr">
        <is>
          <t>שישי — הכנות ועבודה</t>
        </is>
      </c>
    </row>
    <row r="65" ht="20" customHeight="1">
      <c r="A65" s="92" t="inlineStr">
        <is>
          <t>אחריות טכנית</t>
        </is>
      </c>
      <c r="B65" s="20" t="inlineStr">
        <is>
          <t>חימום</t>
        </is>
      </c>
      <c r="C65" s="76" t="inlineStr">
        <is>
          <t>שישי</t>
        </is>
      </c>
      <c r="D65" s="68" t="inlineStr">
        <is>
          <t>מילוי והדלקת מיחמים</t>
        </is>
      </c>
      <c r="E65" s="76" t="inlineStr">
        <is>
          <t>שישי — הכנות ועבודה</t>
        </is>
      </c>
    </row>
    <row r="66" ht="20" customHeight="1">
      <c r="A66" s="92" t="inlineStr">
        <is>
          <t>אחריות טכנית</t>
        </is>
      </c>
      <c r="B66" s="20" t="inlineStr">
        <is>
          <t>חימום</t>
        </is>
      </c>
      <c r="C66" s="76" t="inlineStr">
        <is>
          <t>שבת</t>
        </is>
      </c>
      <c r="D66" s="68" t="inlineStr">
        <is>
          <t>לוודא שהאוכל על הפלטות בזמן</t>
        </is>
      </c>
      <c r="E66" s="76" t="inlineStr">
        <is>
          <t>ארוחת צהריים</t>
        </is>
      </c>
    </row>
    <row r="67" ht="20" customHeight="1">
      <c r="A67" s="92" t="inlineStr">
        <is>
          <t>אחריות טכנית</t>
        </is>
      </c>
      <c r="B67" s="20" t="inlineStr">
        <is>
          <t>הבדלה</t>
        </is>
      </c>
      <c r="C67" s="76" t="inlineStr">
        <is>
          <t>שישי</t>
        </is>
      </c>
      <c r="D67" s="68" t="inlineStr">
        <is>
          <t>הכנת ציוד הבדלה — נר, יין, בשמים</t>
        </is>
      </c>
      <c r="E67" s="76" t="inlineStr">
        <is>
          <t>הבדלה</t>
        </is>
      </c>
    </row>
    <row r="68" ht="20" customHeight="1">
      <c r="A68" s="92" t="inlineStr">
        <is>
          <t>אחריות טכנית</t>
        </is>
      </c>
      <c r="B68" s="20" t="inlineStr">
        <is>
          <t>חשמל</t>
        </is>
      </c>
      <c r="C68" s="76" t="inlineStr">
        <is>
          <t>שישי</t>
        </is>
      </c>
      <c r="D68" s="68" t="inlineStr">
        <is>
          <t>הדלקת אורות ומזגנים לשבת וכיוון שעון שבת</t>
        </is>
      </c>
      <c r="E68" s="76" t="inlineStr">
        <is>
          <t>שישי — הכנות ועבודה</t>
        </is>
      </c>
    </row>
    <row r="69" ht="20" customHeight="1">
      <c r="A69" s="92" t="inlineStr">
        <is>
          <t>אחריות טכנית</t>
        </is>
      </c>
      <c r="B69" s="20" t="inlineStr">
        <is>
          <t>עיתון</t>
        </is>
      </c>
      <c r="C69" s="76" t="inlineStr">
        <is>
          <t>שישי</t>
        </is>
      </c>
      <c r="D69" s="68" t="inlineStr">
        <is>
          <t>הכנת עיתון השבת והפצתו</t>
        </is>
      </c>
      <c r="E69" s="76" t="inlineStr">
        <is>
          <t>שישי — הכנות ועבודה</t>
        </is>
      </c>
    </row>
    <row r="70" ht="20" customHeight="1">
      <c r="A70" s="92" t="inlineStr">
        <is>
          <t>אחריות טכנית</t>
        </is>
      </c>
      <c r="B70" s="20" t="inlineStr">
        <is>
          <t>מרחבים</t>
        </is>
      </c>
      <c r="C70" s="76" t="inlineStr">
        <is>
          <t>שישי</t>
        </is>
      </c>
      <c r="D70" s="68" t="inlineStr">
        <is>
          <t>פתיחת המרחבים והכנתם</t>
        </is>
      </c>
      <c r="E70" s="76" t="inlineStr">
        <is>
          <t>שישי — הכנות ועבודה</t>
        </is>
      </c>
    </row>
    <row r="71" ht="20" customHeight="1">
      <c r="A71" s="92" t="inlineStr">
        <is>
          <t>אחריות טכנית</t>
        </is>
      </c>
      <c r="B71" s="20" t="inlineStr">
        <is>
          <t>חשמל</t>
        </is>
      </c>
      <c r="C71" s="76" t="inlineStr">
        <is>
          <t>מוצאי שבת</t>
        </is>
      </c>
      <c r="D71" s="68" t="inlineStr">
        <is>
          <t>כיבוי פלטות, מיחמים ותנור חימום</t>
        </is>
      </c>
      <c r="E71" s="76" t="inlineStr">
        <is>
          <t>ניקיונות וארגון הקמפוס</t>
        </is>
      </c>
    </row>
    <row r="72" ht="20" customHeight="1">
      <c r="A72" s="19" t="n"/>
      <c r="B72" s="20" t="n"/>
      <c r="C72" s="76" t="n"/>
      <c r="D72" s="68" t="n"/>
      <c r="E72" s="76" t="n"/>
    </row>
    <row r="73" ht="20" customHeight="1">
      <c r="A73" s="19" t="n"/>
      <c r="B73" s="20" t="n"/>
      <c r="C73" s="76" t="n"/>
      <c r="D73" s="68" t="n"/>
      <c r="E73" s="76" t="n"/>
    </row>
    <row r="74" ht="20" customHeight="1">
      <c r="A74" s="19" t="n"/>
      <c r="B74" s="20" t="n"/>
      <c r="C74" s="76" t="n"/>
      <c r="D74" s="68" t="n"/>
      <c r="E74" s="76" t="n"/>
    </row>
    <row r="75" ht="20" customHeight="1">
      <c r="A75" s="19" t="n"/>
      <c r="B75" s="20" t="n"/>
      <c r="C75" s="76" t="n"/>
      <c r="D75" s="68" t="n"/>
      <c r="E75" s="76" t="n"/>
    </row>
    <row r="76" ht="20" customHeight="1">
      <c r="A76" s="19" t="n"/>
      <c r="B76" s="20" t="n"/>
      <c r="C76" s="76" t="n"/>
      <c r="D76" s="68" t="n"/>
      <c r="E76" s="76" t="n"/>
    </row>
    <row r="77" ht="20" customHeight="1">
      <c r="A77" s="19" t="n"/>
      <c r="B77" s="20" t="n"/>
      <c r="C77" s="76" t="n"/>
      <c r="D77" s="68" t="n"/>
      <c r="E77" s="76" t="n"/>
    </row>
    <row r="78" ht="20" customHeight="1">
      <c r="A78" s="19" t="n"/>
      <c r="B78" s="20" t="n"/>
      <c r="C78" s="76" t="n"/>
      <c r="D78" s="68" t="n"/>
      <c r="E78" s="76" t="n"/>
    </row>
    <row r="79" ht="20" customHeight="1">
      <c r="A79" s="19" t="n"/>
      <c r="B79" s="20" t="n"/>
      <c r="C79" s="76" t="n"/>
      <c r="D79" s="68" t="n"/>
      <c r="E79" s="76" t="n"/>
    </row>
    <row r="80" ht="20" customHeight="1">
      <c r="A80" s="19" t="n"/>
      <c r="B80" s="20" t="n"/>
      <c r="C80" s="76" t="n"/>
      <c r="D80" s="68" t="n"/>
      <c r="E80" s="76" t="n"/>
    </row>
    <row r="81" ht="20" customHeight="1">
      <c r="A81" s="19" t="n"/>
      <c r="B81" s="20" t="n"/>
      <c r="C81" s="76" t="n"/>
      <c r="D81" s="68" t="n"/>
      <c r="E81" s="76" t="n"/>
    </row>
    <row r="82" ht="20" customHeight="1">
      <c r="A82" s="19" t="n"/>
      <c r="B82" s="20" t="n"/>
      <c r="C82" s="76" t="n"/>
      <c r="D82" s="68" t="n"/>
      <c r="E82" s="76" t="n"/>
    </row>
    <row r="83" ht="20" customHeight="1">
      <c r="A83" s="19" t="n"/>
      <c r="B83" s="20" t="n"/>
      <c r="C83" s="76" t="n"/>
      <c r="D83" s="68" t="n"/>
      <c r="E83" s="76" t="n"/>
    </row>
    <row r="84" ht="20" customHeight="1">
      <c r="A84" s="19" t="n"/>
      <c r="B84" s="20" t="n"/>
      <c r="C84" s="76" t="n"/>
      <c r="D84" s="68" t="n"/>
      <c r="E84" s="76" t="n"/>
    </row>
    <row r="85" ht="20" customHeight="1">
      <c r="A85" s="19" t="n"/>
      <c r="B85" s="20" t="n"/>
      <c r="C85" s="76" t="n"/>
      <c r="D85" s="68" t="n"/>
      <c r="E85" s="76" t="n"/>
    </row>
    <row r="86" ht="20" customHeight="1">
      <c r="A86" s="19" t="n"/>
      <c r="B86" s="20" t="n"/>
      <c r="C86" s="76" t="n"/>
      <c r="D86" s="68" t="n"/>
      <c r="E86" s="76" t="n"/>
    </row>
    <row r="87" ht="20" customHeight="1">
      <c r="A87" s="19" t="n"/>
      <c r="B87" s="20" t="n"/>
      <c r="C87" s="76" t="n"/>
      <c r="D87" s="68" t="n"/>
      <c r="E87" s="76" t="n"/>
    </row>
    <row r="88" ht="20" customHeight="1">
      <c r="A88" s="19" t="n"/>
      <c r="B88" s="20" t="n"/>
      <c r="C88" s="76" t="n"/>
      <c r="D88" s="68" t="n"/>
      <c r="E88" s="76" t="n"/>
    </row>
    <row r="89" ht="20" customHeight="1">
      <c r="A89" s="19" t="n"/>
      <c r="B89" s="20" t="n"/>
      <c r="C89" s="76" t="n"/>
      <c r="D89" s="68" t="n"/>
      <c r="E89" s="76" t="n"/>
    </row>
    <row r="90" ht="20" customHeight="1">
      <c r="A90" s="19" t="n"/>
      <c r="B90" s="20" t="n"/>
      <c r="C90" s="76" t="n"/>
      <c r="D90" s="68" t="n"/>
      <c r="E90" s="76" t="n"/>
    </row>
    <row r="91" ht="20" customHeight="1">
      <c r="A91" s="19" t="n"/>
      <c r="B91" s="20" t="n"/>
      <c r="C91" s="76" t="n"/>
      <c r="D91" s="68" t="n"/>
      <c r="E91" s="76" t="n"/>
    </row>
    <row r="92" ht="20" customHeight="1">
      <c r="A92" s="19" t="n"/>
      <c r="B92" s="20" t="n"/>
      <c r="C92" s="76" t="n"/>
      <c r="D92" s="68" t="n"/>
      <c r="E92" s="76" t="n"/>
    </row>
    <row r="93" ht="20" customHeight="1">
      <c r="A93" s="19" t="n"/>
      <c r="B93" s="20" t="n"/>
      <c r="C93" s="76" t="n"/>
      <c r="D93" s="68" t="n"/>
      <c r="E93" s="76" t="n"/>
    </row>
    <row r="94" ht="20" customHeight="1">
      <c r="A94" s="19" t="n"/>
      <c r="B94" s="20" t="n"/>
      <c r="C94" s="76" t="n"/>
      <c r="D94" s="68" t="n"/>
      <c r="E94" s="76" t="n"/>
    </row>
    <row r="95" ht="20" customHeight="1">
      <c r="A95" s="19" t="n"/>
      <c r="B95" s="20" t="n"/>
      <c r="C95" s="76" t="n"/>
      <c r="D95" s="68" t="n"/>
      <c r="E95" s="76" t="n"/>
    </row>
    <row r="96" ht="20" customHeight="1">
      <c r="A96" s="19" t="n"/>
      <c r="B96" s="20" t="n"/>
      <c r="C96" s="76" t="n"/>
      <c r="D96" s="68" t="n"/>
      <c r="E96" s="76" t="n"/>
    </row>
    <row r="97" ht="20" customHeight="1">
      <c r="A97" s="19" t="n"/>
      <c r="B97" s="20" t="n"/>
      <c r="C97" s="76" t="n"/>
      <c r="D97" s="68" t="n"/>
      <c r="E97" s="76" t="n"/>
    </row>
    <row r="98" ht="20" customHeight="1">
      <c r="A98" s="19" t="n"/>
      <c r="B98" s="20" t="n"/>
      <c r="C98" s="76" t="n"/>
      <c r="D98" s="68" t="n"/>
      <c r="E98" s="76" t="n"/>
    </row>
    <row r="99" ht="20" customHeight="1">
      <c r="A99" s="19" t="n"/>
      <c r="B99" s="20" t="n"/>
      <c r="C99" s="76" t="n"/>
      <c r="D99" s="68" t="n"/>
      <c r="E99" s="76" t="n"/>
    </row>
    <row r="100" ht="20" customHeight="1">
      <c r="A100" s="19" t="n"/>
      <c r="B100" s="20" t="n"/>
      <c r="C100" s="76" t="n"/>
      <c r="D100" s="68" t="n"/>
      <c r="E100" s="76" t="n"/>
    </row>
    <row r="101" ht="20" customHeight="1">
      <c r="A101" s="19" t="n"/>
      <c r="B101" s="20" t="n"/>
      <c r="C101" s="76" t="n"/>
      <c r="D101" s="68" t="n"/>
      <c r="E101" s="76" t="n"/>
    </row>
    <row r="102" ht="20" customHeight="1">
      <c r="A102" s="19" t="n"/>
      <c r="B102" s="20" t="n"/>
      <c r="C102" s="76" t="n"/>
      <c r="D102" s="68" t="n"/>
      <c r="E102" s="76" t="n"/>
    </row>
    <row r="103" ht="20" customHeight="1">
      <c r="A103" s="19" t="n"/>
      <c r="B103" s="20" t="n"/>
      <c r="C103" s="76" t="n"/>
      <c r="D103" s="68" t="n"/>
      <c r="E103" s="76" t="n"/>
    </row>
    <row r="104" ht="20" customHeight="1">
      <c r="A104" s="19" t="n"/>
      <c r="B104" s="20" t="n"/>
      <c r="C104" s="76" t="n"/>
      <c r="D104" s="68" t="n"/>
      <c r="E104" s="76" t="n"/>
    </row>
    <row r="105" ht="20" customHeight="1">
      <c r="A105" s="19" t="n"/>
      <c r="B105" s="20" t="n"/>
      <c r="C105" s="76" t="n"/>
      <c r="D105" s="68" t="n"/>
      <c r="E105" s="76" t="n"/>
    </row>
    <row r="106" ht="20" customHeight="1">
      <c r="A106" s="19" t="n"/>
      <c r="B106" s="20" t="n"/>
      <c r="C106" s="76" t="n"/>
      <c r="D106" s="68" t="n"/>
      <c r="E106" s="76" t="n"/>
    </row>
    <row r="107" ht="20" customHeight="1">
      <c r="A107" s="19" t="n"/>
      <c r="B107" s="20" t="n"/>
      <c r="C107" s="76" t="n"/>
      <c r="D107" s="68" t="n"/>
      <c r="E107" s="76" t="n"/>
    </row>
    <row r="108" ht="20" customHeight="1">
      <c r="A108" s="19" t="n"/>
      <c r="B108" s="20" t="n"/>
      <c r="C108" s="76" t="n"/>
      <c r="D108" s="68" t="n"/>
      <c r="E108" s="76" t="n"/>
    </row>
    <row r="109" ht="20" customHeight="1">
      <c r="A109" s="19" t="n"/>
      <c r="B109" s="20" t="n"/>
      <c r="C109" s="76" t="n"/>
      <c r="D109" s="68" t="n"/>
      <c r="E109" s="76" t="n"/>
    </row>
    <row r="110" ht="20" customHeight="1">
      <c r="A110" s="19" t="n"/>
      <c r="B110" s="20" t="n"/>
      <c r="C110" s="76" t="n"/>
      <c r="D110" s="68" t="n"/>
      <c r="E110" s="76" t="n"/>
    </row>
    <row r="111" ht="20" customHeight="1">
      <c r="A111" s="19" t="n"/>
      <c r="B111" s="20" t="n"/>
      <c r="C111" s="76" t="n"/>
      <c r="D111" s="68" t="n"/>
      <c r="E111" s="76" t="n"/>
    </row>
    <row r="112" ht="20" customHeight="1">
      <c r="A112" s="19" t="n"/>
      <c r="B112" s="20" t="n"/>
      <c r="C112" s="76" t="n"/>
      <c r="D112" s="68" t="n"/>
      <c r="E112" s="76" t="n"/>
    </row>
    <row r="113" ht="20" customHeight="1">
      <c r="A113" s="19" t="n"/>
      <c r="B113" s="20" t="n"/>
      <c r="C113" s="76" t="n"/>
      <c r="D113" s="68" t="n"/>
      <c r="E113" s="76" t="n"/>
    </row>
    <row r="114" ht="20" customHeight="1">
      <c r="A114" s="19" t="n"/>
      <c r="B114" s="20" t="n"/>
      <c r="C114" s="76" t="n"/>
      <c r="D114" s="68" t="n"/>
      <c r="E114" s="76" t="n"/>
    </row>
    <row r="115" ht="20" customHeight="1">
      <c r="A115" s="19" t="n"/>
      <c r="B115" s="20" t="n"/>
      <c r="C115" s="76" t="n"/>
      <c r="D115" s="68" t="n"/>
      <c r="E115" s="76" t="n"/>
    </row>
    <row r="116" ht="20" customHeight="1">
      <c r="A116" s="19" t="n"/>
      <c r="B116" s="20" t="n"/>
      <c r="C116" s="76" t="n"/>
      <c r="D116" s="68" t="n"/>
      <c r="E116" s="76" t="n"/>
    </row>
    <row r="117" ht="20" customHeight="1">
      <c r="A117" s="19" t="n"/>
      <c r="B117" s="20" t="n"/>
      <c r="C117" s="76" t="n"/>
      <c r="D117" s="68" t="n"/>
      <c r="E117" s="76" t="n"/>
    </row>
    <row r="118" ht="20" customHeight="1">
      <c r="A118" s="19" t="n"/>
      <c r="B118" s="20" t="n"/>
      <c r="C118" s="76" t="n"/>
      <c r="D118" s="68" t="n"/>
      <c r="E118" s="76" t="n"/>
    </row>
    <row r="119" ht="20" customHeight="1">
      <c r="A119" s="19" t="n"/>
      <c r="B119" s="20" t="n"/>
      <c r="C119" s="76" t="n"/>
      <c r="D119" s="68" t="n"/>
      <c r="E119" s="76" t="n"/>
    </row>
    <row r="120" ht="20" customHeight="1">
      <c r="A120" s="19" t="n"/>
      <c r="B120" s="20" t="n"/>
      <c r="C120" s="76" t="n"/>
      <c r="D120" s="68" t="n"/>
      <c r="E120" s="76" t="n"/>
    </row>
    <row r="121" ht="20" customHeight="1">
      <c r="A121" s="19" t="n"/>
      <c r="B121" s="20" t="n"/>
      <c r="C121" s="76" t="n"/>
      <c r="D121" s="68" t="n"/>
      <c r="E121" s="76" t="n"/>
    </row>
    <row r="122" ht="20" customHeight="1">
      <c r="A122" s="19" t="n"/>
      <c r="B122" s="20" t="n"/>
      <c r="C122" s="76" t="n"/>
      <c r="D122" s="68" t="n"/>
      <c r="E122" s="76" t="n"/>
    </row>
    <row r="123" ht="20" customHeight="1">
      <c r="A123" s="19" t="n"/>
      <c r="B123" s="20" t="n"/>
      <c r="C123" s="76" t="n"/>
      <c r="D123" s="68" t="n"/>
      <c r="E123" s="76" t="n"/>
    </row>
    <row r="124" ht="20" customHeight="1">
      <c r="A124" s="19" t="n"/>
      <c r="B124" s="20" t="n"/>
      <c r="C124" s="76" t="n"/>
      <c r="D124" s="68" t="n"/>
      <c r="E124" s="76" t="n"/>
    </row>
    <row r="125" ht="20" customHeight="1">
      <c r="A125" s="19" t="n"/>
      <c r="B125" s="20" t="n"/>
      <c r="C125" s="76" t="n"/>
      <c r="D125" s="68" t="n"/>
      <c r="E125" s="76" t="n"/>
    </row>
    <row r="126" ht="20" customHeight="1">
      <c r="A126" s="19" t="n"/>
      <c r="B126" s="20" t="n"/>
      <c r="C126" s="76" t="n"/>
      <c r="D126" s="68" t="n"/>
      <c r="E126" s="76" t="n"/>
    </row>
    <row r="127" ht="20" customHeight="1">
      <c r="A127" s="19" t="n"/>
      <c r="B127" s="20" t="n"/>
      <c r="C127" s="76" t="n"/>
      <c r="D127" s="68" t="n"/>
      <c r="E127" s="76" t="n"/>
    </row>
    <row r="128" ht="20" customHeight="1">
      <c r="A128" s="19" t="n"/>
      <c r="B128" s="20" t="n"/>
      <c r="C128" s="76" t="n"/>
      <c r="D128" s="68" t="n"/>
      <c r="E128" s="76" t="n"/>
    </row>
    <row r="129" ht="20" customHeight="1">
      <c r="A129" s="19" t="n"/>
      <c r="B129" s="20" t="n"/>
      <c r="C129" s="76" t="n"/>
      <c r="D129" s="68" t="n"/>
      <c r="E129" s="76" t="n"/>
    </row>
    <row r="130" ht="20" customHeight="1">
      <c r="A130" s="19" t="n"/>
      <c r="B130" s="20" t="n"/>
      <c r="C130" s="76" t="n"/>
      <c r="D130" s="68" t="n"/>
      <c r="E130" s="76" t="n"/>
    </row>
    <row r="131" ht="20" customHeight="1">
      <c r="A131" s="19" t="n"/>
      <c r="B131" s="20" t="n"/>
      <c r="C131" s="76" t="n"/>
      <c r="D131" s="68" t="n"/>
      <c r="E131" s="76" t="n"/>
    </row>
    <row r="132" ht="20" customHeight="1">
      <c r="A132" s="19" t="n"/>
      <c r="B132" s="20" t="n"/>
      <c r="C132" s="76" t="n"/>
      <c r="D132" s="68" t="n"/>
      <c r="E132" s="76" t="n"/>
    </row>
    <row r="133" ht="20" customHeight="1">
      <c r="A133" s="19" t="n"/>
      <c r="B133" s="20" t="n"/>
      <c r="C133" s="76" t="n"/>
      <c r="D133" s="68" t="n"/>
      <c r="E133" s="76" t="n"/>
    </row>
    <row r="134" ht="20" customHeight="1">
      <c r="A134" s="19" t="n"/>
      <c r="B134" s="20" t="n"/>
      <c r="C134" s="76" t="n"/>
      <c r="D134" s="68" t="n"/>
      <c r="E134" s="76" t="n"/>
    </row>
    <row r="135" ht="20" customHeight="1">
      <c r="A135" s="19" t="n"/>
      <c r="B135" s="20" t="n"/>
      <c r="C135" s="76" t="n"/>
      <c r="D135" s="68" t="n"/>
      <c r="E135" s="76" t="n"/>
    </row>
    <row r="136" ht="20" customHeight="1">
      <c r="A136" s="19" t="n"/>
      <c r="B136" s="20" t="n"/>
      <c r="C136" s="76" t="n"/>
      <c r="D136" s="68" t="n"/>
      <c r="E136" s="76" t="n"/>
    </row>
    <row r="137" ht="20" customHeight="1">
      <c r="A137" s="19" t="n"/>
      <c r="B137" s="20" t="n"/>
      <c r="C137" s="76" t="n"/>
      <c r="D137" s="68" t="n"/>
      <c r="E137" s="76" t="n"/>
    </row>
    <row r="138" ht="20" customHeight="1">
      <c r="A138" s="19" t="n"/>
      <c r="B138" s="20" t="n"/>
      <c r="C138" s="76" t="n"/>
      <c r="D138" s="68" t="n"/>
      <c r="E138" s="76" t="n"/>
    </row>
    <row r="139" ht="20" customHeight="1">
      <c r="A139" s="19" t="n"/>
      <c r="B139" s="20" t="n"/>
      <c r="C139" s="76" t="n"/>
      <c r="D139" s="68" t="n"/>
      <c r="E139" s="76" t="n"/>
    </row>
    <row r="140" ht="20" customHeight="1">
      <c r="A140" s="19" t="n"/>
      <c r="B140" s="20" t="n"/>
      <c r="C140" s="76" t="n"/>
      <c r="D140" s="68" t="n"/>
      <c r="E140" s="76" t="n"/>
    </row>
    <row r="141" ht="20" customHeight="1">
      <c r="A141" s="19" t="n"/>
      <c r="B141" s="20" t="n"/>
      <c r="C141" s="76" t="n"/>
      <c r="D141" s="68" t="n"/>
      <c r="E141" s="76" t="n"/>
    </row>
    <row r="142" ht="20" customHeight="1">
      <c r="A142" s="19" t="n"/>
      <c r="B142" s="20" t="n"/>
      <c r="C142" s="76" t="n"/>
      <c r="D142" s="68" t="n"/>
      <c r="E142" s="76" t="n"/>
    </row>
    <row r="143" ht="20" customHeight="1">
      <c r="A143" s="19" t="n"/>
      <c r="B143" s="20" t="n"/>
      <c r="C143" s="76" t="n"/>
      <c r="D143" s="68" t="n"/>
      <c r="E143" s="76" t="n"/>
    </row>
    <row r="144" ht="20" customHeight="1">
      <c r="A144" s="19" t="n"/>
      <c r="B144" s="20" t="n"/>
      <c r="C144" s="76" t="n"/>
      <c r="D144" s="68" t="n"/>
      <c r="E144" s="76" t="n"/>
    </row>
    <row r="145" ht="20" customHeight="1">
      <c r="A145" s="19" t="n"/>
      <c r="B145" s="20" t="n"/>
      <c r="C145" s="76" t="n"/>
      <c r="D145" s="68" t="n"/>
      <c r="E145" s="76" t="n"/>
    </row>
    <row r="146" ht="20" customHeight="1">
      <c r="A146" s="19" t="n"/>
      <c r="B146" s="20" t="n"/>
      <c r="C146" s="76" t="n"/>
      <c r="D146" s="68" t="n"/>
      <c r="E146" s="76" t="n"/>
    </row>
    <row r="147" ht="20" customHeight="1">
      <c r="A147" s="19" t="n"/>
      <c r="B147" s="20" t="n"/>
      <c r="C147" s="76" t="n"/>
      <c r="D147" s="68" t="n"/>
      <c r="E147" s="76" t="n"/>
    </row>
    <row r="148" ht="20" customHeight="1">
      <c r="A148" s="19" t="n"/>
      <c r="B148" s="20" t="n"/>
      <c r="C148" s="76" t="n"/>
      <c r="D148" s="68" t="n"/>
      <c r="E148" s="76" t="n"/>
    </row>
    <row r="149" ht="20" customHeight="1">
      <c r="A149" s="19" t="n"/>
      <c r="B149" s="20" t="n"/>
      <c r="C149" s="76" t="n"/>
      <c r="D149" s="68" t="n"/>
      <c r="E149" s="76" t="n"/>
    </row>
    <row r="150" ht="20" customHeight="1">
      <c r="A150" s="19" t="n"/>
      <c r="B150" s="20" t="n"/>
      <c r="C150" s="76" t="n"/>
      <c r="D150" s="68" t="n"/>
      <c r="E150" s="76" t="n"/>
    </row>
    <row r="151" ht="20" customHeight="1">
      <c r="A151" s="19" t="n"/>
      <c r="B151" s="20" t="n"/>
      <c r="C151" s="76" t="n"/>
      <c r="D151" s="68" t="n"/>
      <c r="E151" s="76" t="n"/>
    </row>
    <row r="152" ht="20" customHeight="1">
      <c r="A152" s="19" t="n"/>
      <c r="B152" s="20" t="n"/>
      <c r="C152" s="76" t="n"/>
      <c r="D152" s="68" t="n"/>
      <c r="E152" s="76" t="n"/>
    </row>
    <row r="153" ht="20" customHeight="1">
      <c r="A153" s="19" t="n"/>
      <c r="B153" s="20" t="n"/>
      <c r="C153" s="76" t="n"/>
      <c r="D153" s="68" t="n"/>
      <c r="E153" s="76" t="n"/>
    </row>
    <row r="154" ht="20" customHeight="1">
      <c r="A154" s="19" t="n"/>
      <c r="B154" s="20" t="n"/>
      <c r="C154" s="76" t="n"/>
      <c r="D154" s="68" t="n"/>
      <c r="E154" s="76" t="n"/>
    </row>
    <row r="155" ht="20" customHeight="1">
      <c r="A155" s="19" t="n"/>
      <c r="B155" s="20" t="n"/>
      <c r="C155" s="76" t="n"/>
      <c r="D155" s="68" t="n"/>
      <c r="E155" s="76" t="n"/>
    </row>
    <row r="156" ht="20" customHeight="1">
      <c r="A156" s="19" t="n"/>
      <c r="B156" s="20" t="n"/>
      <c r="C156" s="76" t="n"/>
      <c r="D156" s="68" t="n"/>
      <c r="E156" s="76" t="n"/>
    </row>
    <row r="157" ht="20" customHeight="1">
      <c r="A157" s="19" t="n"/>
      <c r="B157" s="20" t="n"/>
      <c r="C157" s="76" t="n"/>
      <c r="D157" s="68" t="n"/>
      <c r="E157" s="76" t="n"/>
    </row>
    <row r="158" ht="20" customHeight="1">
      <c r="A158" s="19" t="n"/>
      <c r="B158" s="20" t="n"/>
      <c r="C158" s="76" t="n"/>
      <c r="D158" s="68" t="n"/>
      <c r="E158" s="76" t="n"/>
    </row>
    <row r="159" ht="20" customHeight="1">
      <c r="A159" s="19" t="n"/>
      <c r="B159" s="20" t="n"/>
      <c r="C159" s="76" t="n"/>
      <c r="D159" s="68" t="n"/>
      <c r="E159" s="76" t="n"/>
    </row>
    <row r="160" ht="20" customHeight="1">
      <c r="A160" s="19" t="n"/>
      <c r="B160" s="20" t="n"/>
      <c r="C160" s="76" t="n"/>
      <c r="D160" s="68" t="n"/>
      <c r="E160" s="76" t="n"/>
    </row>
    <row r="161" ht="20" customHeight="1">
      <c r="A161" s="19" t="n"/>
      <c r="B161" s="20" t="n"/>
      <c r="C161" s="76" t="n"/>
      <c r="D161" s="68" t="n"/>
      <c r="E161" s="76" t="n"/>
    </row>
    <row r="162" ht="20" customHeight="1">
      <c r="A162" s="19" t="n"/>
      <c r="B162" s="20" t="n"/>
      <c r="C162" s="76" t="n"/>
      <c r="D162" s="68" t="n"/>
      <c r="E162" s="76" t="n"/>
    </row>
    <row r="163" ht="20" customHeight="1">
      <c r="A163" s="19" t="n"/>
      <c r="B163" s="20" t="n"/>
      <c r="C163" s="76" t="n"/>
      <c r="D163" s="68" t="n"/>
      <c r="E163" s="76" t="n"/>
    </row>
    <row r="164" ht="20" customHeight="1">
      <c r="A164" s="19" t="n"/>
      <c r="B164" s="20" t="n"/>
      <c r="C164" s="76" t="n"/>
      <c r="D164" s="68" t="n"/>
      <c r="E164" s="76" t="n"/>
    </row>
    <row r="165" ht="20" customHeight="1">
      <c r="A165" s="19" t="n"/>
      <c r="B165" s="20" t="n"/>
      <c r="C165" s="76" t="n"/>
      <c r="D165" s="68" t="n"/>
      <c r="E165" s="76" t="n"/>
    </row>
    <row r="166" ht="20" customHeight="1">
      <c r="A166" s="19" t="n"/>
      <c r="B166" s="20" t="n"/>
      <c r="C166" s="76" t="n"/>
      <c r="D166" s="68" t="n"/>
      <c r="E166" s="76" t="n"/>
    </row>
    <row r="167" ht="20" customHeight="1">
      <c r="A167" s="19" t="n"/>
      <c r="B167" s="20" t="n"/>
      <c r="C167" s="76" t="n"/>
      <c r="D167" s="68" t="n"/>
      <c r="E167" s="76" t="n"/>
    </row>
    <row r="168" ht="20" customHeight="1">
      <c r="A168" s="19" t="n"/>
      <c r="B168" s="20" t="n"/>
      <c r="C168" s="76" t="n"/>
      <c r="D168" s="68" t="n"/>
      <c r="E168" s="76" t="n"/>
    </row>
    <row r="169" ht="20" customHeight="1">
      <c r="A169" s="19" t="n"/>
      <c r="B169" s="20" t="n"/>
      <c r="C169" s="76" t="n"/>
      <c r="D169" s="68" t="n"/>
      <c r="E169" s="76" t="n"/>
    </row>
    <row r="170" ht="20" customHeight="1">
      <c r="A170" s="19" t="n"/>
      <c r="B170" s="20" t="n"/>
      <c r="C170" s="76" t="n"/>
      <c r="D170" s="68" t="n"/>
      <c r="E170" s="76" t="n"/>
    </row>
    <row r="171" ht="20" customHeight="1">
      <c r="A171" s="19" t="n"/>
      <c r="B171" s="20" t="n"/>
      <c r="C171" s="76" t="n"/>
      <c r="D171" s="68" t="n"/>
      <c r="E171" s="76" t="n"/>
    </row>
    <row r="172" ht="20" customHeight="1">
      <c r="A172" s="19" t="n"/>
      <c r="B172" s="20" t="n"/>
      <c r="C172" s="76" t="n"/>
      <c r="D172" s="68" t="n"/>
      <c r="E172" s="76" t="n"/>
    </row>
    <row r="173" ht="20" customHeight="1">
      <c r="A173" s="19" t="n"/>
      <c r="B173" s="20" t="n"/>
      <c r="C173" s="76" t="n"/>
      <c r="D173" s="68" t="n"/>
      <c r="E173" s="76" t="n"/>
    </row>
    <row r="174" ht="20" customHeight="1">
      <c r="A174" s="19" t="n"/>
      <c r="B174" s="20" t="n"/>
      <c r="C174" s="76" t="n"/>
      <c r="D174" s="68" t="n"/>
      <c r="E174" s="76" t="n"/>
    </row>
    <row r="175" ht="20" customHeight="1">
      <c r="A175" s="19" t="n"/>
      <c r="B175" s="20" t="n"/>
      <c r="C175" s="76" t="n"/>
      <c r="D175" s="68" t="n"/>
      <c r="E175" s="76" t="n"/>
    </row>
    <row r="176" ht="20" customHeight="1">
      <c r="A176" s="19" t="n"/>
      <c r="B176" s="20" t="n"/>
      <c r="C176" s="76" t="n"/>
      <c r="D176" s="68" t="n"/>
      <c r="E176" s="76" t="n"/>
    </row>
    <row r="177" ht="20" customHeight="1">
      <c r="A177" s="19" t="n"/>
      <c r="B177" s="20" t="n"/>
      <c r="C177" s="76" t="n"/>
      <c r="D177" s="68" t="n"/>
      <c r="E177" s="76" t="n"/>
    </row>
    <row r="178" ht="20" customHeight="1">
      <c r="A178" s="19" t="n"/>
      <c r="B178" s="20" t="n"/>
      <c r="C178" s="76" t="n"/>
      <c r="D178" s="68" t="n"/>
      <c r="E178" s="76" t="n"/>
    </row>
    <row r="179" ht="20" customHeight="1">
      <c r="A179" s="19" t="n"/>
      <c r="B179" s="20" t="n"/>
      <c r="C179" s="76" t="n"/>
      <c r="D179" s="68" t="n"/>
      <c r="E179" s="76" t="n"/>
    </row>
    <row r="180" ht="20" customHeight="1">
      <c r="A180" s="19" t="n"/>
      <c r="B180" s="20" t="n"/>
      <c r="C180" s="76" t="n"/>
      <c r="D180" s="68" t="n"/>
      <c r="E180" s="76" t="n"/>
    </row>
    <row r="181" ht="20" customHeight="1">
      <c r="A181" s="19" t="n"/>
      <c r="B181" s="20" t="n"/>
      <c r="C181" s="76" t="n"/>
      <c r="D181" s="68" t="n"/>
      <c r="E181" s="76" t="n"/>
    </row>
    <row r="182" ht="20" customHeight="1">
      <c r="A182" s="19" t="n"/>
      <c r="B182" s="20" t="n"/>
      <c r="C182" s="76" t="n"/>
      <c r="D182" s="68" t="n"/>
      <c r="E182" s="76" t="n"/>
    </row>
    <row r="183" ht="20" customHeight="1">
      <c r="A183" s="19" t="n"/>
      <c r="B183" s="20" t="n"/>
      <c r="C183" s="76" t="n"/>
      <c r="D183" s="68" t="n"/>
      <c r="E183" s="76" t="n"/>
    </row>
    <row r="184" ht="20" customHeight="1">
      <c r="A184" s="19" t="n"/>
      <c r="B184" s="20" t="n"/>
      <c r="C184" s="76" t="n"/>
      <c r="D184" s="68" t="n"/>
      <c r="E184" s="76" t="n"/>
    </row>
    <row r="185" ht="20" customHeight="1">
      <c r="A185" s="19" t="n"/>
      <c r="B185" s="20" t="n"/>
      <c r="C185" s="76" t="n"/>
      <c r="D185" s="68" t="n"/>
      <c r="E185" s="76" t="n"/>
    </row>
    <row r="186" ht="20" customHeight="1">
      <c r="A186" s="19" t="n"/>
      <c r="B186" s="20" t="n"/>
      <c r="C186" s="76" t="n"/>
      <c r="D186" s="68" t="n"/>
      <c r="E186" s="76" t="n"/>
    </row>
    <row r="187" ht="20" customHeight="1">
      <c r="A187" s="19" t="n"/>
      <c r="B187" s="20" t="n"/>
      <c r="C187" s="76" t="n"/>
      <c r="D187" s="68" t="n"/>
      <c r="E187" s="76" t="n"/>
    </row>
    <row r="188" ht="20" customHeight="1">
      <c r="A188" s="19" t="n"/>
      <c r="B188" s="20" t="n"/>
      <c r="C188" s="76" t="n"/>
      <c r="D188" s="68" t="n"/>
      <c r="E188" s="76" t="n"/>
    </row>
    <row r="189" ht="20" customHeight="1">
      <c r="A189" s="19" t="n"/>
      <c r="B189" s="20" t="n"/>
      <c r="C189" s="76" t="n"/>
      <c r="D189" s="68" t="n"/>
      <c r="E189" s="76" t="n"/>
    </row>
    <row r="190" ht="20" customHeight="1">
      <c r="A190" s="19" t="n"/>
      <c r="B190" s="20" t="n"/>
      <c r="C190" s="76" t="n"/>
      <c r="D190" s="68" t="n"/>
      <c r="E190" s="76" t="n"/>
    </row>
    <row r="191" ht="20" customHeight="1">
      <c r="A191" s="19" t="n"/>
      <c r="B191" s="20" t="n"/>
      <c r="C191" s="76" t="n"/>
      <c r="D191" s="68" t="n"/>
      <c r="E191" s="76" t="n"/>
    </row>
    <row r="192" ht="20" customHeight="1">
      <c r="A192" s="19" t="n"/>
      <c r="B192" s="20" t="n"/>
      <c r="C192" s="76" t="n"/>
      <c r="D192" s="68" t="n"/>
      <c r="E192" s="76" t="n"/>
    </row>
    <row r="193" ht="20" customHeight="1">
      <c r="A193" s="19" t="n"/>
      <c r="B193" s="20" t="n"/>
      <c r="C193" s="76" t="n"/>
      <c r="D193" s="68" t="n"/>
      <c r="E193" s="76" t="n"/>
    </row>
    <row r="194" ht="20" customHeight="1">
      <c r="A194" s="19" t="n"/>
      <c r="B194" s="20" t="n"/>
      <c r="C194" s="76" t="n"/>
      <c r="D194" s="68" t="n"/>
      <c r="E194" s="76" t="n"/>
    </row>
    <row r="195" ht="20" customHeight="1">
      <c r="A195" s="19" t="n"/>
      <c r="B195" s="20" t="n"/>
      <c r="C195" s="76" t="n"/>
      <c r="D195" s="68" t="n"/>
      <c r="E195" s="76" t="n"/>
    </row>
    <row r="196" ht="20" customHeight="1">
      <c r="A196" s="19" t="n"/>
      <c r="B196" s="20" t="n"/>
      <c r="C196" s="76" t="n"/>
      <c r="D196" s="68" t="n"/>
      <c r="E196" s="76" t="n"/>
    </row>
    <row r="197" ht="20" customHeight="1">
      <c r="A197" s="19" t="n"/>
      <c r="B197" s="20" t="n"/>
      <c r="C197" s="76" t="n"/>
      <c r="D197" s="68" t="n"/>
      <c r="E197" s="76" t="n"/>
    </row>
    <row r="198" ht="20" customHeight="1">
      <c r="A198" s="19" t="n"/>
      <c r="B198" s="20" t="n"/>
      <c r="C198" s="76" t="n"/>
      <c r="D198" s="68" t="n"/>
      <c r="E198" s="76" t="n"/>
    </row>
    <row r="199" ht="20" customHeight="1">
      <c r="A199" s="19" t="n"/>
      <c r="B199" s="20" t="n"/>
      <c r="C199" s="76" t="n"/>
      <c r="D199" s="68" t="n"/>
      <c r="E199" s="76" t="n"/>
    </row>
    <row r="200" ht="20" customHeight="1">
      <c r="A200" s="19" t="n"/>
      <c r="B200" s="20" t="n"/>
      <c r="C200" s="76" t="n"/>
      <c r="D200" s="68" t="n"/>
      <c r="E200" s="76" t="n"/>
    </row>
    <row r="201" ht="20" customHeight="1">
      <c r="A201" s="19" t="n"/>
      <c r="B201" s="20" t="n"/>
      <c r="C201" s="76" t="n"/>
      <c r="D201" s="68" t="n"/>
      <c r="E201" s="76" t="n"/>
    </row>
    <row r="202" ht="20" customHeight="1">
      <c r="A202" s="19" t="n"/>
      <c r="B202" s="20" t="n"/>
      <c r="C202" s="76" t="n"/>
      <c r="D202" s="68" t="n"/>
      <c r="E202" s="76" t="n"/>
    </row>
    <row r="203" ht="20" customHeight="1">
      <c r="A203" s="19" t="n"/>
      <c r="B203" s="20" t="n"/>
      <c r="C203" s="76" t="n"/>
      <c r="D203" s="68" t="n"/>
      <c r="E203" s="76" t="n"/>
    </row>
    <row r="204" ht="20" customHeight="1">
      <c r="A204" s="19" t="n"/>
      <c r="B204" s="20" t="n"/>
      <c r="C204" s="76" t="n"/>
      <c r="D204" s="68" t="n"/>
      <c r="E204" s="76" t="n"/>
    </row>
    <row r="205" ht="20" customHeight="1">
      <c r="A205" s="19" t="n"/>
      <c r="B205" s="20" t="n"/>
      <c r="C205" s="76" t="n"/>
      <c r="D205" s="68" t="n"/>
      <c r="E205" s="76" t="n"/>
    </row>
    <row r="206" ht="20" customHeight="1">
      <c r="A206" s="19" t="n"/>
      <c r="B206" s="20" t="n"/>
      <c r="C206" s="76" t="n"/>
      <c r="D206" s="68" t="n"/>
      <c r="E206" s="76" t="n"/>
    </row>
    <row r="207" ht="20" customHeight="1">
      <c r="A207" s="19" t="n"/>
      <c r="B207" s="20" t="n"/>
      <c r="C207" s="76" t="n"/>
      <c r="D207" s="68" t="n"/>
      <c r="E207" s="76" t="n"/>
    </row>
    <row r="208" ht="20" customHeight="1">
      <c r="A208" s="19" t="n"/>
      <c r="B208" s="20" t="n"/>
      <c r="C208" s="76" t="n"/>
      <c r="D208" s="68" t="n"/>
      <c r="E208" s="76" t="n"/>
    </row>
    <row r="209" ht="20" customHeight="1">
      <c r="A209" s="19" t="n"/>
      <c r="B209" s="20" t="n"/>
      <c r="C209" s="76" t="n"/>
      <c r="D209" s="68" t="n"/>
      <c r="E209" s="76" t="n"/>
    </row>
    <row r="210" ht="20" customHeight="1">
      <c r="A210" s="19" t="n"/>
      <c r="B210" s="20" t="n"/>
      <c r="C210" s="76" t="n"/>
      <c r="D210" s="68" t="n"/>
      <c r="E210" s="76" t="n"/>
    </row>
    <row r="211" ht="20" customHeight="1">
      <c r="A211" s="19" t="n"/>
      <c r="B211" s="20" t="n"/>
      <c r="C211" s="76" t="n"/>
      <c r="D211" s="68" t="n"/>
      <c r="E211" s="76" t="n"/>
    </row>
    <row r="212" ht="20" customHeight="1">
      <c r="A212" s="19" t="n"/>
      <c r="B212" s="20" t="n"/>
      <c r="C212" s="76" t="n"/>
      <c r="D212" s="68" t="n"/>
      <c r="E212" s="76" t="n"/>
    </row>
    <row r="213" ht="20" customHeight="1">
      <c r="A213" s="19" t="n"/>
      <c r="B213" s="20" t="n"/>
      <c r="C213" s="76" t="n"/>
      <c r="D213" s="68" t="n"/>
      <c r="E213" s="76" t="n"/>
    </row>
    <row r="214" ht="20" customHeight="1">
      <c r="A214" s="19" t="n"/>
      <c r="B214" s="20" t="n"/>
      <c r="C214" s="76" t="n"/>
      <c r="D214" s="68" t="n"/>
      <c r="E214" s="76" t="n"/>
    </row>
    <row r="215" ht="20" customHeight="1">
      <c r="A215" s="19" t="n"/>
      <c r="B215" s="20" t="n"/>
      <c r="C215" s="76" t="n"/>
      <c r="D215" s="68" t="n"/>
      <c r="E215" s="76" t="n"/>
    </row>
    <row r="216" ht="20" customHeight="1">
      <c r="A216" s="19" t="n"/>
      <c r="B216" s="20" t="n"/>
      <c r="C216" s="76" t="n"/>
      <c r="D216" s="68" t="n"/>
      <c r="E216" s="76" t="n"/>
    </row>
    <row r="217" ht="20" customHeight="1">
      <c r="A217" s="19" t="n"/>
      <c r="B217" s="20" t="n"/>
      <c r="C217" s="76" t="n"/>
      <c r="D217" s="68" t="n"/>
      <c r="E217" s="76" t="n"/>
    </row>
    <row r="218" ht="20" customHeight="1">
      <c r="A218" s="19" t="n"/>
      <c r="B218" s="20" t="n"/>
      <c r="C218" s="76" t="n"/>
      <c r="D218" s="68" t="n"/>
      <c r="E218" s="76" t="n"/>
    </row>
    <row r="219" ht="20" customHeight="1">
      <c r="A219" s="19" t="n"/>
      <c r="B219" s="20" t="n"/>
      <c r="C219" s="76" t="n"/>
      <c r="D219" s="68" t="n"/>
      <c r="E219" s="76" t="n"/>
    </row>
    <row r="220" ht="20" customHeight="1">
      <c r="A220" s="19" t="n"/>
      <c r="B220" s="20" t="n"/>
      <c r="C220" s="76" t="n"/>
      <c r="D220" s="68" t="n"/>
      <c r="E220" s="76" t="n"/>
    </row>
    <row r="221" ht="20" customHeight="1">
      <c r="A221" s="19" t="n"/>
      <c r="B221" s="20" t="n"/>
      <c r="C221" s="76" t="n"/>
      <c r="D221" s="68" t="n"/>
      <c r="E221" s="76" t="n"/>
    </row>
    <row r="222" ht="20" customHeight="1">
      <c r="A222" s="19" t="n"/>
      <c r="B222" s="20" t="n"/>
      <c r="C222" s="76" t="n"/>
      <c r="D222" s="68" t="n"/>
      <c r="E222" s="76" t="n"/>
    </row>
    <row r="223" ht="20" customHeight="1">
      <c r="A223" s="19" t="n"/>
      <c r="B223" s="20" t="n"/>
      <c r="C223" s="76" t="n"/>
      <c r="D223" s="68" t="n"/>
      <c r="E223" s="76" t="n"/>
    </row>
    <row r="224" ht="20" customHeight="1">
      <c r="A224" s="19" t="n"/>
      <c r="B224" s="20" t="n"/>
      <c r="C224" s="76" t="n"/>
      <c r="D224" s="68" t="n"/>
      <c r="E224" s="76" t="n"/>
    </row>
    <row r="225" ht="20" customHeight="1">
      <c r="A225" s="19" t="n"/>
      <c r="B225" s="20" t="n"/>
      <c r="C225" s="76" t="n"/>
      <c r="D225" s="68" t="n"/>
      <c r="E225" s="76" t="n"/>
    </row>
    <row r="226" ht="20" customHeight="1">
      <c r="A226" s="19" t="n"/>
      <c r="B226" s="20" t="n"/>
      <c r="C226" s="76" t="n"/>
      <c r="D226" s="68" t="n"/>
      <c r="E226" s="76" t="n"/>
    </row>
    <row r="227" ht="20" customHeight="1">
      <c r="A227" s="19" t="n"/>
      <c r="B227" s="20" t="n"/>
      <c r="C227" s="76" t="n"/>
      <c r="D227" s="68" t="n"/>
      <c r="E227" s="76" t="n"/>
    </row>
    <row r="228" ht="20" customHeight="1">
      <c r="A228" s="19" t="n"/>
      <c r="B228" s="20" t="n"/>
      <c r="C228" s="76" t="n"/>
      <c r="D228" s="68" t="n"/>
      <c r="E228" s="76" t="n"/>
    </row>
    <row r="229" ht="20" customHeight="1">
      <c r="A229" s="19" t="n"/>
      <c r="B229" s="20" t="n"/>
      <c r="C229" s="76" t="n"/>
      <c r="D229" s="68" t="n"/>
      <c r="E229" s="76" t="n"/>
    </row>
    <row r="230" ht="20" customHeight="1">
      <c r="A230" s="19" t="n"/>
      <c r="B230" s="20" t="n"/>
      <c r="C230" s="76" t="n"/>
      <c r="D230" s="68" t="n"/>
      <c r="E230" s="76" t="n"/>
    </row>
    <row r="231" ht="20" customHeight="1">
      <c r="A231" s="19" t="n"/>
      <c r="B231" s="20" t="n"/>
      <c r="C231" s="76" t="n"/>
      <c r="D231" s="68" t="n"/>
      <c r="E231" s="76" t="n"/>
    </row>
    <row r="232" ht="20" customHeight="1">
      <c r="A232" s="19" t="n"/>
      <c r="B232" s="20" t="n"/>
      <c r="C232" s="76" t="n"/>
      <c r="D232" s="68" t="n"/>
      <c r="E232" s="76" t="n"/>
    </row>
    <row r="233" ht="20" customHeight="1">
      <c r="A233" s="19" t="n"/>
      <c r="B233" s="20" t="n"/>
      <c r="C233" s="76" t="n"/>
      <c r="D233" s="68" t="n"/>
      <c r="E233" s="76" t="n"/>
    </row>
    <row r="234" ht="20" customHeight="1">
      <c r="A234" s="19" t="n"/>
      <c r="B234" s="20" t="n"/>
      <c r="C234" s="76" t="n"/>
      <c r="D234" s="68" t="n"/>
      <c r="E234" s="76" t="n"/>
    </row>
    <row r="235" ht="20" customHeight="1">
      <c r="A235" s="19" t="n"/>
      <c r="B235" s="20" t="n"/>
      <c r="C235" s="76" t="n"/>
      <c r="D235" s="68" t="n"/>
      <c r="E235" s="76" t="n"/>
    </row>
    <row r="236" ht="20" customHeight="1">
      <c r="A236" s="19" t="n"/>
      <c r="B236" s="20" t="n"/>
      <c r="C236" s="76" t="n"/>
      <c r="D236" s="68" t="n"/>
      <c r="E236" s="76" t="n"/>
    </row>
    <row r="237" ht="20" customHeight="1">
      <c r="A237" s="19" t="n"/>
      <c r="B237" s="20" t="n"/>
      <c r="C237" s="76" t="n"/>
      <c r="D237" s="68" t="n"/>
      <c r="E237" s="76" t="n"/>
    </row>
    <row r="238" ht="20" customHeight="1">
      <c r="A238" s="19" t="n"/>
      <c r="B238" s="20" t="n"/>
      <c r="C238" s="76" t="n"/>
      <c r="D238" s="68" t="n"/>
      <c r="E238" s="76" t="n"/>
    </row>
    <row r="239" ht="20" customHeight="1">
      <c r="A239" s="19" t="n"/>
      <c r="B239" s="20" t="n"/>
      <c r="C239" s="76" t="n"/>
      <c r="D239" s="68" t="n"/>
      <c r="E239" s="76" t="n"/>
    </row>
    <row r="240" ht="20" customHeight="1">
      <c r="A240" s="19" t="n"/>
      <c r="B240" s="20" t="n"/>
      <c r="C240" s="76" t="n"/>
      <c r="D240" s="68" t="n"/>
      <c r="E240" s="76" t="n"/>
    </row>
    <row r="241" ht="20" customHeight="1">
      <c r="A241" s="19" t="n"/>
      <c r="B241" s="20" t="n"/>
      <c r="C241" s="76" t="n"/>
      <c r="D241" s="68" t="n"/>
      <c r="E241" s="76" t="n"/>
    </row>
    <row r="242" ht="20" customHeight="1">
      <c r="A242" s="19" t="n"/>
      <c r="B242" s="20" t="n"/>
      <c r="C242" s="76" t="n"/>
      <c r="D242" s="68" t="n"/>
      <c r="E242" s="76" t="n"/>
    </row>
    <row r="243" ht="20" customHeight="1">
      <c r="A243" s="19" t="n"/>
      <c r="B243" s="20" t="n"/>
      <c r="C243" s="76" t="n"/>
      <c r="D243" s="68" t="n"/>
      <c r="E243" s="76" t="n"/>
    </row>
    <row r="244" ht="20" customHeight="1">
      <c r="A244" s="19" t="n"/>
      <c r="B244" s="20" t="n"/>
      <c r="C244" s="76" t="n"/>
      <c r="D244" s="68" t="n"/>
      <c r="E244" s="76" t="n"/>
    </row>
    <row r="245" ht="20" customHeight="1">
      <c r="A245" s="19" t="n"/>
      <c r="B245" s="20" t="n"/>
      <c r="C245" s="76" t="n"/>
      <c r="D245" s="68" t="n"/>
      <c r="E245" s="76" t="n"/>
    </row>
    <row r="246" ht="20" customHeight="1">
      <c r="A246" s="19" t="n"/>
      <c r="B246" s="20" t="n"/>
      <c r="C246" s="76" t="n"/>
      <c r="D246" s="68" t="n"/>
      <c r="E246" s="76" t="n"/>
    </row>
    <row r="247" ht="20" customHeight="1">
      <c r="A247" s="19" t="n"/>
      <c r="B247" s="20" t="n"/>
      <c r="C247" s="76" t="n"/>
      <c r="D247" s="68" t="n"/>
      <c r="E247" s="76" t="n"/>
    </row>
    <row r="248" ht="20" customHeight="1">
      <c r="A248" s="19" t="n"/>
      <c r="B248" s="20" t="n"/>
      <c r="C248" s="76" t="n"/>
      <c r="D248" s="68" t="n"/>
      <c r="E248" s="76" t="n"/>
    </row>
    <row r="249" ht="20" customHeight="1">
      <c r="A249" s="19" t="n"/>
      <c r="B249" s="20" t="n"/>
      <c r="C249" s="76" t="n"/>
      <c r="D249" s="68" t="n"/>
      <c r="E249" s="76" t="n"/>
    </row>
    <row r="250" ht="20" customHeight="1">
      <c r="A250" s="19" t="n"/>
      <c r="B250" s="20" t="n"/>
      <c r="C250" s="76" t="n"/>
      <c r="D250" s="68" t="n"/>
      <c r="E250" s="76" t="n"/>
    </row>
    <row r="251" ht="20" customHeight="1">
      <c r="A251" s="19" t="n"/>
      <c r="B251" s="20" t="n"/>
      <c r="C251" s="76" t="n"/>
      <c r="D251" s="68" t="n"/>
      <c r="E251" s="76" t="n"/>
    </row>
    <row r="252" ht="20" customHeight="1">
      <c r="A252" s="19" t="n"/>
      <c r="B252" s="20" t="n"/>
      <c r="C252" s="76" t="n"/>
      <c r="D252" s="68" t="n"/>
      <c r="E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עמודת «עוגן» היא ברירת המחדל לשיוך המשימה בלו"ז הצל.</t>
        </is>
      </c>
    </row>
  </sheetData>
  <mergeCells count="2">
    <mergeCell ref="A1:E1"/>
    <mergeCell ref="A254:D254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E3:E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3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4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5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4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4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4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4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4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4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4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4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4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4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4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4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4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4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4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4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4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4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4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4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4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4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4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4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4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4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4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4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4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4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4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4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4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4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4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4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4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4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4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4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4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4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4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4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4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4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4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4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4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4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4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2026-09-03T19:46:56Z</dcterms:created>
  <dcterms:modified xsi:type="dcterms:W3CDTF">2026-09-03T19:51:11Z</dcterms:modified>
</cp:coreProperties>
</file>