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לוח בקרה" sheetId="1" state="visible" r:id="rId1"/>
    <sheet name="לוז" sheetId="2" state="visible" r:id="rId2"/>
    <sheet name="משימות" sheetId="3" state="visible" r:id="rId3"/>
    <sheet name="קבוצות" sheetId="4" state="visible" r:id="rId4"/>
    <sheet name="חניכים" sheetId="5" state="visible" r:id="rId5"/>
    <sheet name="היסטוריה" sheetId="6" state="visible" r:id="rId6"/>
    <sheet name="מתכונים" sheetId="7" state="visible" r:id="rId7"/>
    <sheet name="קייטרינג" sheetId="8" state="visible" r:id="rId8"/>
    <sheet name="זמנים" sheetId="9" state="visible" r:id="rId9"/>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14">
    <font>
      <name val="Calibri"/>
      <family val="2"/>
      <color theme="1"/>
      <sz val="11"/>
      <scheme val="minor"/>
    </font>
    <font>
      <name val="Arial"/>
      <b val="1"/>
      <color rgb="002E5C8A"/>
      <sz val="20"/>
    </font>
    <font>
      <name val="Arial"/>
      <i val="1"/>
      <color rgb="006B7280"/>
      <sz val="10"/>
    </font>
    <font>
      <name val="Arial"/>
      <b val="1"/>
      <color rgb="001F2430"/>
      <sz val="11"/>
    </font>
    <font>
      <name val="Arial"/>
      <b val="1"/>
      <color rgb="001F2430"/>
      <sz val="12"/>
    </font>
    <font>
      <name val="Arial"/>
      <b val="1"/>
      <color rgb="00FFFFFF"/>
      <sz val="11"/>
    </font>
    <font>
      <name val="Arial"/>
      <b val="1"/>
      <color rgb="002E5C8A"/>
      <sz val="13"/>
    </font>
    <font>
      <name val="Arial"/>
      <b val="1"/>
      <color rgb="002E5C8A"/>
      <sz val="11"/>
    </font>
    <font>
      <name val="Arial"/>
      <color rgb="001F2430"/>
      <sz val="11"/>
    </font>
    <font>
      <name val="Arial"/>
      <b val="1"/>
      <color rgb="002E5C8A"/>
      <sz val="12"/>
    </font>
    <font>
      <name val="Arial"/>
      <color rgb="006B7280"/>
      <sz val="10"/>
    </font>
    <font>
      <name val="Arial"/>
      <b val="1"/>
      <color rgb="002E5C8A"/>
      <sz val="18"/>
    </font>
    <font>
      <name val="Arial"/>
      <color rgb="001F2430"/>
      <sz val="10"/>
    </font>
    <font>
      <name val="Arial"/>
      <b val="1"/>
      <color rgb="002E5C8A"/>
      <sz val="16"/>
    </font>
  </fonts>
  <fills count="10">
    <fill>
      <patternFill/>
    </fill>
    <fill>
      <patternFill patternType="gray125"/>
    </fill>
    <fill>
      <patternFill patternType="solid">
        <fgColor rgb="00EDF1F6"/>
      </patternFill>
    </fill>
    <fill>
      <patternFill patternType="solid">
        <fgColor rgb="00EEF3F8"/>
      </patternFill>
    </fill>
    <fill>
      <patternFill patternType="solid">
        <fgColor rgb="002E5C8A"/>
      </patternFill>
    </fill>
    <fill>
      <patternFill patternType="solid">
        <fgColor rgb="00FFF9E3"/>
      </patternFill>
    </fill>
    <fill>
      <patternFill patternType="solid">
        <fgColor rgb="00E3F4F1"/>
      </patternFill>
    </fill>
    <fill>
      <patternFill patternType="solid">
        <fgColor rgb="00E8F0F8"/>
      </patternFill>
    </fill>
    <fill>
      <patternFill patternType="solid">
        <fgColor rgb="00F3EDE3"/>
      </patternFill>
    </fill>
    <fill>
      <patternFill patternType="solid">
        <fgColor rgb="00EDEAF5"/>
      </patternFill>
    </fill>
  </fills>
  <borders count="5">
    <border>
      <left/>
      <right/>
      <top/>
      <bottom/>
      <diagonal/>
    </border>
    <border>
      <left style="thin">
        <color rgb="00C9CFD8"/>
      </left>
      <right style="thin">
        <color rgb="00C9CFD8"/>
      </right>
      <top style="thin">
        <color rgb="00C9CFD8"/>
      </top>
      <bottom style="thin">
        <color rgb="00C9CFD8"/>
      </bottom>
    </border>
    <border>
      <left/>
      <right/>
      <top style="thin">
        <color rgb="00C9CFD8"/>
      </top>
      <bottom/>
      <diagonal/>
    </border>
    <border>
      <left/>
      <right style="thin">
        <color rgb="00C9CFD8"/>
      </right>
      <top style="thin">
        <color rgb="00C9CFD8"/>
      </top>
      <bottom/>
      <diagonal/>
    </border>
    <border>
      <left/>
      <right style="thin">
        <color rgb="00C9CFD8"/>
      </right>
      <top style="thin">
        <color rgb="00C9CFD8"/>
      </top>
      <bottom style="thin">
        <color rgb="00C9CFD8"/>
      </bottom>
      <diagonal/>
    </border>
  </borders>
  <cellStyleXfs count="1">
    <xf numFmtId="0" fontId="0" fillId="0" borderId="0"/>
  </cellStyleXfs>
  <cellXfs count="61">
    <xf numFmtId="0" fontId="0" fillId="0" borderId="0" pivotButton="0" quotePrefix="0" xfId="0"/>
    <xf numFmtId="0" fontId="1" fillId="0" borderId="0" applyAlignment="1" pivotButton="0" quotePrefix="0" xfId="0">
      <alignment horizontal="right" vertical="center" readingOrder="2"/>
    </xf>
    <xf numFmtId="0" fontId="2" fillId="0" borderId="0" applyAlignment="1" pivotButton="0" quotePrefix="0" xfId="0">
      <alignment horizontal="right" vertical="center" readingOrder="2"/>
    </xf>
    <xf numFmtId="0" fontId="3" fillId="2" borderId="1" applyAlignment="1" pivotButton="0" quotePrefix="0" xfId="0">
      <alignment horizontal="right" vertical="center" readingOrder="2"/>
    </xf>
    <xf numFmtId="164" fontId="4" fillId="3" borderId="1" applyAlignment="1" pivotButton="0" quotePrefix="0" xfId="0">
      <alignment horizontal="center" vertical="center" readingOrder="2"/>
    </xf>
    <xf numFmtId="0" fontId="6" fillId="0" borderId="0" applyAlignment="1" pivotButton="0" quotePrefix="0" xfId="0">
      <alignment horizontal="right" vertical="center" readingOrder="2"/>
    </xf>
    <xf numFmtId="165" fontId="4" fillId="3" borderId="1" applyAlignment="1" pivotButton="0" quotePrefix="0" xfId="0">
      <alignment horizontal="center" vertical="center" readingOrder="2"/>
    </xf>
    <xf numFmtId="0" fontId="7" fillId="0" borderId="0" applyAlignment="1" pivotButton="0" quotePrefix="0" xfId="0">
      <alignment horizontal="center" vertical="top" readingOrder="2"/>
    </xf>
    <xf numFmtId="0" fontId="8" fillId="0" borderId="0" applyAlignment="1" pivotButton="0" quotePrefix="0" xfId="0">
      <alignment horizontal="right" vertical="top" wrapText="1" readingOrder="2"/>
    </xf>
    <xf numFmtId="0" fontId="5" fillId="4" borderId="1" applyAlignment="1" pivotButton="0" quotePrefix="0" xfId="0">
      <alignment horizontal="center" vertical="center" wrapText="1" readingOrder="2"/>
    </xf>
    <xf numFmtId="0" fontId="0" fillId="0" borderId="4" pivotButton="0" quotePrefix="0" xfId="0"/>
    <xf numFmtId="0" fontId="4" fillId="3" borderId="1" applyAlignment="1" pivotButton="0" quotePrefix="0" xfId="0">
      <alignment horizontal="center" vertical="center" readingOrder="2"/>
    </xf>
    <xf numFmtId="0" fontId="2" fillId="0" borderId="1" applyAlignment="1" pivotButton="0" quotePrefix="0" xfId="0">
      <alignment horizontal="right" vertical="center" readingOrder="2"/>
    </xf>
    <xf numFmtId="164" fontId="4" fillId="5" borderId="1" applyAlignment="1" pivotButton="0" quotePrefix="0" xfId="0">
      <alignment horizontal="center" vertical="center" readingOrder="2"/>
    </xf>
    <xf numFmtId="0" fontId="8" fillId="3" borderId="1" applyAlignment="1" pivotButton="0" quotePrefix="0" xfId="0">
      <alignment horizontal="right" vertical="center" readingOrder="2"/>
    </xf>
    <xf numFmtId="165" fontId="9" fillId="3" borderId="1" applyAlignment="1" pivotButton="0" quotePrefix="0" xfId="0">
      <alignment horizontal="center" vertical="center" readingOrder="2"/>
    </xf>
    <xf numFmtId="0" fontId="3" fillId="6" borderId="1" applyAlignment="1" pivotButton="0" quotePrefix="0" xfId="0">
      <alignment horizontal="right" vertical="center" readingOrder="2"/>
    </xf>
    <xf numFmtId="0" fontId="3" fillId="7" borderId="1" applyAlignment="1" pivotButton="0" quotePrefix="0" xfId="0">
      <alignment horizontal="center" vertical="center" readingOrder="2"/>
    </xf>
    <xf numFmtId="165" fontId="4" fillId="5" borderId="1" applyAlignment="1" pivotButton="0" quotePrefix="0" xfId="0">
      <alignment horizontal="center" vertical="center" readingOrder="2"/>
    </xf>
    <xf numFmtId="0" fontId="3" fillId="5" borderId="1" applyAlignment="1" pivotButton="0" quotePrefix="0" xfId="0">
      <alignment horizontal="right" vertical="center" readingOrder="2"/>
    </xf>
    <xf numFmtId="0" fontId="8" fillId="5" borderId="1" applyAlignment="1" pivotButton="0" quotePrefix="0" xfId="0">
      <alignment horizontal="right" vertical="center" readingOrder="2"/>
    </xf>
    <xf numFmtId="0" fontId="8" fillId="5" borderId="1" applyAlignment="1" pivotButton="0" quotePrefix="0" xfId="0">
      <alignment horizontal="right" vertical="top" wrapText="1" readingOrder="2"/>
    </xf>
    <xf numFmtId="165" fontId="10" fillId="3" borderId="1" applyAlignment="1" pivotButton="0" quotePrefix="0" xfId="0">
      <alignment horizontal="center" vertical="center" readingOrder="2"/>
    </xf>
    <xf numFmtId="0" fontId="8" fillId="3" borderId="1" applyAlignment="1" pivotButton="0" quotePrefix="0" xfId="0">
      <alignment horizontal="center" vertical="center" readingOrder="2"/>
    </xf>
    <xf numFmtId="0" fontId="3" fillId="8"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2" fillId="0" borderId="0" applyAlignment="1" pivotButton="0" quotePrefix="0" xfId="0">
      <alignment horizontal="right" vertical="center" wrapText="1" readingOrder="2"/>
    </xf>
    <xf numFmtId="0" fontId="11" fillId="0" borderId="0" applyAlignment="1" pivotButton="0" quotePrefix="0" xfId="0">
      <alignment horizontal="right" vertical="center" readingOrder="2"/>
    </xf>
    <xf numFmtId="0" fontId="8" fillId="5" borderId="1" applyAlignment="1" pivotButton="0" quotePrefix="0" xfId="0">
      <alignment horizontal="center" vertical="center" readingOrder="2"/>
    </xf>
    <xf numFmtId="0" fontId="8" fillId="7" borderId="1" applyAlignment="1" pivotButton="0" quotePrefix="0" xfId="0">
      <alignment horizontal="center" vertical="center" readingOrder="2"/>
    </xf>
    <xf numFmtId="165" fontId="3" fillId="5" borderId="1" applyAlignment="1" pivotButton="0" quotePrefix="0" xfId="0">
      <alignment horizontal="center" vertical="center" readingOrder="2"/>
    </xf>
    <xf numFmtId="0" fontId="8" fillId="6" borderId="1" applyAlignment="1" pivotButton="0" quotePrefix="0" xfId="0">
      <alignment horizontal="right" vertical="top" wrapText="1" readingOrder="2"/>
    </xf>
    <xf numFmtId="0" fontId="8" fillId="8" borderId="1" applyAlignment="1" pivotButton="0" quotePrefix="0" xfId="0">
      <alignment horizontal="center" vertical="center" readingOrder="2"/>
    </xf>
    <xf numFmtId="0" fontId="8" fillId="9" borderId="1" applyAlignment="1" pivotButton="0" quotePrefix="0" xfId="0">
      <alignment horizontal="center" vertical="center" readingOrder="2"/>
    </xf>
    <xf numFmtId="0" fontId="8" fillId="6" borderId="1" applyAlignment="1" pivotButton="0" quotePrefix="0" xfId="0">
      <alignment horizontal="right" vertical="center" readingOrder="2"/>
    </xf>
    <xf numFmtId="0" fontId="8" fillId="6" borderId="1" applyAlignment="1" pivotButton="0" quotePrefix="0" xfId="0">
      <alignment horizontal="center" vertical="center" readingOrder="2"/>
    </xf>
    <xf numFmtId="164" fontId="12" fillId="0" borderId="0" applyAlignment="1" pivotButton="0" quotePrefix="0" xfId="0">
      <alignment horizontal="center" vertical="center" readingOrder="2"/>
    </xf>
    <xf numFmtId="0" fontId="12" fillId="0" borderId="0" applyAlignment="1" pivotButton="0" quotePrefix="0" xfId="0">
      <alignment horizontal="right" vertical="center" readingOrder="2"/>
    </xf>
    <xf numFmtId="0" fontId="12" fillId="0" borderId="0" applyAlignment="1" pivotButton="0" quotePrefix="0" xfId="0">
      <alignment horizontal="center" vertical="center" readingOrder="2"/>
    </xf>
    <xf numFmtId="0" fontId="13" fillId="0" borderId="0" applyAlignment="1" pivotButton="0" quotePrefix="0" xfId="0">
      <alignment horizontal="right" vertical="center" readingOrder="2"/>
    </xf>
    <xf numFmtId="164" fontId="8" fillId="0" borderId="1" applyAlignment="1" pivotButton="0" quotePrefix="0" xfId="0">
      <alignment horizontal="center" vertical="center" readingOrder="2"/>
    </xf>
    <xf numFmtId="0" fontId="8" fillId="0" borderId="1" applyAlignment="1" pivotButton="0" quotePrefix="0" xfId="0">
      <alignment horizontal="right" vertical="center" readingOrder="2"/>
    </xf>
    <xf numFmtId="165" fontId="8" fillId="5" borderId="1" applyAlignment="1" pivotButton="0" quotePrefix="0" xfId="0">
      <alignment horizontal="center" vertical="center" readingOrder="2"/>
    </xf>
    <xf numFmtId="0" fontId="8" fillId="0" borderId="1" applyAlignment="1" pivotButton="0" quotePrefix="0" xfId="0">
      <alignment horizontal="center" vertical="center" readingOrder="2"/>
    </xf>
    <xf numFmtId="0" fontId="2" fillId="0" borderId="0" applyAlignment="1" pivotButton="0" quotePrefix="0" xfId="0">
      <alignment horizontal="right" vertical="top" wrapText="1" readingOrder="2"/>
    </xf>
    <xf numFmtId="0" fontId="3" fillId="7" borderId="1" applyAlignment="1" pivotButton="0" quotePrefix="0" xfId="0">
      <alignment horizontal="center" vertical="center" readingOrder="2"/>
    </xf>
    <xf numFmtId="165" fontId="4" fillId="5" borderId="1" applyAlignment="1" pivotButton="0" quotePrefix="0" xfId="0">
      <alignment horizontal="center" vertical="center" readingOrder="2"/>
    </xf>
    <xf numFmtId="0" fontId="3" fillId="5" borderId="1" applyAlignment="1" pivotButton="0" quotePrefix="0" xfId="0">
      <alignment horizontal="right" vertical="center" readingOrder="2"/>
    </xf>
    <xf numFmtId="0" fontId="8" fillId="5" borderId="1" applyAlignment="1" pivotButton="0" quotePrefix="0" xfId="0">
      <alignment horizontal="right" vertical="center" readingOrder="2"/>
    </xf>
    <xf numFmtId="165" fontId="10" fillId="3" borderId="1" applyAlignment="1" pivotButton="0" quotePrefix="0" xfId="0">
      <alignment horizontal="center" vertical="center" readingOrder="2"/>
    </xf>
    <xf numFmtId="0" fontId="8" fillId="3" borderId="1" applyAlignment="1" pivotButton="0" quotePrefix="0" xfId="0">
      <alignment horizontal="center" vertical="center" readingOrder="2"/>
    </xf>
    <xf numFmtId="0" fontId="3" fillId="8"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8" fillId="5" borderId="1" applyAlignment="1" pivotButton="0" quotePrefix="0" xfId="0">
      <alignment horizontal="center" vertical="center" readingOrder="2"/>
    </xf>
    <xf numFmtId="0" fontId="8" fillId="7" borderId="1" applyAlignment="1" pivotButton="0" quotePrefix="0" xfId="0">
      <alignment horizontal="center" vertical="center" readingOrder="2"/>
    </xf>
    <xf numFmtId="165" fontId="3" fillId="5" borderId="1" applyAlignment="1" pivotButton="0" quotePrefix="0" xfId="0">
      <alignment horizontal="center" vertical="center" readingOrder="2"/>
    </xf>
    <xf numFmtId="0" fontId="8" fillId="9" borderId="1" applyAlignment="1" pivotButton="0" quotePrefix="0" xfId="0">
      <alignment horizontal="center" vertical="center" readingOrder="2"/>
    </xf>
    <xf numFmtId="0" fontId="8" fillId="8" borderId="1" applyAlignment="1" pivotButton="0" quotePrefix="0" xfId="0">
      <alignment horizontal="center" vertical="center" readingOrder="2"/>
    </xf>
    <xf numFmtId="164" fontId="12" fillId="0" borderId="0" applyAlignment="1" pivotButton="0" quotePrefix="0" xfId="0">
      <alignment horizontal="center" vertical="center" readingOrder="2"/>
    </xf>
    <xf numFmtId="0" fontId="12" fillId="0" borderId="0" applyAlignment="1" pivotButton="0" quotePrefix="0" xfId="0">
      <alignment horizontal="right" vertical="center" readingOrder="2"/>
    </xf>
    <xf numFmtId="0" fontId="12" fillId="0" borderId="0" applyAlignment="1" pivotButton="0" quotePrefix="0" xfId="0">
      <alignment horizontal="center" vertical="center"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AA5B1"/>
    <outlinePr summaryBelow="1" summaryRight="1"/>
    <pageSetUpPr fitToPage="1"/>
  </sheetPr>
  <dimension ref="A1:E16"/>
  <sheetViews>
    <sheetView showGridLines="0" rightToLeft="1" workbookViewId="0">
      <selection activeCell="A1" sqref="A1"/>
    </sheetView>
  </sheetViews>
  <sheetFormatPr baseColWidth="8" defaultRowHeight="15"/>
  <cols>
    <col width="26" customWidth="1" min="1" max="1"/>
    <col width="14" customWidth="1" min="2" max="2"/>
    <col width="44" customWidth="1" min="3" max="3"/>
    <col width="4" customWidth="1" min="4" max="4"/>
    <col width="70" customWidth="1" min="5" max="5"/>
  </cols>
  <sheetData>
    <row r="1" ht="40" customHeight="1">
      <c r="A1" s="1" t="inlineStr">
        <is>
          <t>הכנת שבת — מדרשת עין פרת</t>
        </is>
      </c>
    </row>
    <row r="2">
      <c r="A2" s="2" t="inlineStr">
        <is>
          <t>צהוב = ממלאים · טורקיז = הסקריפט כותב · אפור = מחושב</t>
        </is>
      </c>
    </row>
    <row r="4" ht="22" customHeight="1">
      <c r="A4" s="3" t="inlineStr">
        <is>
          <t>שבת</t>
        </is>
      </c>
      <c r="B4" s="4">
        <f>IF('לוז'!B3="","— בחר תאריך ב«לוז» —",'לוז'!B3)</f>
        <v/>
      </c>
      <c r="E4" s="5" t="inlineStr">
        <is>
          <t>סדר העבודה</t>
        </is>
      </c>
    </row>
    <row r="5" ht="34" customHeight="1">
      <c r="A5" s="3" t="inlineStr">
        <is>
          <t>כניסת שבת</t>
        </is>
      </c>
      <c r="B5" s="6">
        <f>'לוז'!B4</f>
        <v/>
      </c>
      <c r="D5" s="7" t="inlineStr">
        <is>
          <t>1</t>
        </is>
      </c>
      <c r="E5" s="8" t="inlineStr">
        <is>
          <t>«לוז» — בוחרים תאריך, מתקנים שעות ומקומות. «הצעה» מתעדכנת לבד; «שעה» היא מה שנשלח.</t>
        </is>
      </c>
    </row>
    <row r="6" ht="34" customHeight="1">
      <c r="A6" s="3" t="inlineStr">
        <is>
          <t>צאת שבת</t>
        </is>
      </c>
      <c r="B6" s="6">
        <f>'לוז'!D4</f>
        <v/>
      </c>
      <c r="D6" s="7" t="inlineStr">
        <is>
          <t>2</t>
        </is>
      </c>
      <c r="E6" s="8" t="inlineStr">
        <is>
          <t>«משימות» — לכל משימה: שלב, יום, שעה, קבוצה, כמה אנשים, מתכון (לצוות הכנה) ועוגן בלו"ז.</t>
        </is>
      </c>
    </row>
    <row r="7" ht="34" customHeight="1">
      <c r="D7" s="7" t="inlineStr">
        <is>
          <t>3</t>
        </is>
      </c>
      <c r="E7" s="8" t="inlineStr">
        <is>
          <t>python3 tools/assign_groups.py &lt;תאריך&gt; — ממלא «שמות», «קבוצות», «חניכים» ו«היסטוריה».</t>
        </is>
      </c>
    </row>
    <row r="8" ht="34" customHeight="1">
      <c r="A8" s="9" t="inlineStr">
        <is>
          <t>מצב ההכנה</t>
        </is>
      </c>
      <c r="B8" s="10" t="n"/>
      <c r="C8" s="9" t="inlineStr">
        <is>
          <t>הערה</t>
        </is>
      </c>
      <c r="D8" s="7" t="inlineStr">
        <is>
          <t>4</t>
        </is>
      </c>
      <c r="E8" s="8" t="inlineStr">
        <is>
          <t>python3 tools/export_pdf.py &lt;תאריך&gt; — לו"ז שבת, מי בכל תורנות, ודף לכל תורנות. ערכת בשיטס? הורד כ-xlsx והרץ שוב.</t>
        </is>
      </c>
    </row>
    <row r="9" ht="22" customHeight="1">
      <c r="A9" s="3" t="inlineStr">
        <is>
          <t>נוכחים השבת</t>
        </is>
      </c>
      <c r="B9" s="11">
        <f>COUNTIF('חניכים'!$D$3:$D$132,"כן")+COUNTIF('חניכים'!$D$3:$D$132,"לא")</f>
        <v/>
      </c>
      <c r="C9" s="12" t="inlineStr">
        <is>
          <t>מתוך רשימת הנוכחות</t>
        </is>
      </c>
    </row>
    <row r="10" ht="22" customHeight="1">
      <c r="A10" s="3" t="inlineStr">
        <is>
          <t>זמינים לתורנות</t>
        </is>
      </c>
      <c r="B10" s="11">
        <f>COUNTIF('חניכים'!$D$3:$D$132,"כן")</f>
        <v/>
      </c>
      <c r="C10" s="12" t="n"/>
    </row>
    <row r="11" ht="22" customHeight="1">
      <c r="A11" s="3" t="inlineStr">
        <is>
          <t>בתורנות</t>
        </is>
      </c>
      <c r="B11" s="11">
        <f>COUNTA('חניכים'!$E$3:$E$132)</f>
        <v/>
      </c>
      <c r="C11" s="12" t="inlineStr">
        <is>
          <t>חניכים עם קבוצה אחת לפחות</t>
        </is>
      </c>
      <c r="E11" s="5" t="inlineStr">
        <is>
          <t>איך זה עובד</t>
        </is>
      </c>
    </row>
    <row r="12" ht="34" customHeight="1">
      <c r="A12" s="3" t="inlineStr">
        <is>
          <t>זמינים בלי תורנות</t>
        </is>
      </c>
      <c r="B12" s="11">
        <f>COUNTIFS('חניכים'!$D$3:$D$132,"כן",'חניכים'!$E$3:$E$132,"")</f>
        <v/>
      </c>
      <c r="C12" s="12" t="n"/>
      <c r="D12" s="7" t="inlineStr">
        <is>
          <t>•</t>
        </is>
      </c>
      <c r="E12" s="8" t="inlineStr">
        <is>
          <t>שלבים: הכנות שישי (בוקר) · תורנות שישי (צהריים–אחה"צ) · תורנות שבת (ערב ושבת). חניך יכול להיות בקבוצה אחת בכל שלב.</t>
        </is>
      </c>
    </row>
    <row r="13" ht="34" customHeight="1">
      <c r="A13" s="3" t="inlineStr">
        <is>
          <t>משימות</t>
        </is>
      </c>
      <c r="B13" s="11">
        <f>COUNTA('משימות'!$E$3:$E$122)</f>
        <v/>
      </c>
      <c r="C13" s="12" t="n"/>
      <c r="D13" s="7" t="inlineStr">
        <is>
          <t>•</t>
        </is>
      </c>
      <c r="E13" s="8" t="inlineStr">
        <is>
          <t>גודל קבוצה = שיא האנשים שנדרשים בו-זמנית במשימות שלה. משימה בלי שעה = כל הקבוצה. משימה בלי קבוצה = הודעה לכולם בלו"ז שבת, ליד האירוע שלה.</t>
        </is>
      </c>
    </row>
    <row r="14" ht="34" customHeight="1">
      <c r="A14" s="3" t="inlineStr">
        <is>
          <t>משימות בלי שמות</t>
        </is>
      </c>
      <c r="B14" s="11">
        <f>COUNTA('משימות'!$E$3:$E$122)-COUNTA('משימות'!$G$3:$G$122)</f>
        <v/>
      </c>
      <c r="C14" s="12" t="inlineStr">
        <is>
          <t>להריץ שיבוץ, או להשלים ידנית</t>
        </is>
      </c>
      <c r="D14" s="7" t="inlineStr">
        <is>
          <t>•</t>
        </is>
      </c>
      <c r="E14" s="8" t="inlineStr">
        <is>
          <t>עוגן = האירוע בלו"ז שהמשימה קשורה אליו — ממנו השעה היחסית, ומשימה בלי שעה מוצגת בשעת האירוע. הרשימה הנגללת נלקחת מעמודת «אירוע» ב«לוז».</t>
        </is>
      </c>
    </row>
    <row r="15" ht="34" customHeight="1">
      <c r="A15" s="3" t="inlineStr">
        <is>
          <t>משימות בלי עוגן</t>
        </is>
      </c>
      <c r="B15" s="11">
        <f>COUNTA('משימות'!$E$3:$E$122)-COUNTA('משימות'!$I$3:$I$122)</f>
        <v/>
      </c>
      <c r="C15" s="12" t="inlineStr">
        <is>
          <t>בלי שעה ובלי עוגן — בדף התורנות כתוב «ללא שעה»</t>
        </is>
      </c>
      <c r="D15" s="7" t="inlineStr">
        <is>
          <t>•</t>
        </is>
      </c>
      <c r="E15" s="8" t="inlineStr">
        <is>
          <t>«ניקוד» יושב ב«קבוצות» (1 טיש וקידוש, 2 ארוחות שבת, 3 הכנות שישי) ונצבר ל«חניכים» ול«היסטוריה» — מי שצבר פחות משובץ קודם.</t>
        </is>
      </c>
    </row>
    <row r="16" ht="34" customHeight="1">
      <c r="A16" s="3" t="inlineStr">
        <is>
          <t>קבוצות עבודה</t>
        </is>
      </c>
      <c r="B16" s="11">
        <f>COUNTA('קבוצות'!$A$3:$A$32)</f>
        <v/>
      </c>
      <c r="C16" s="12" t="inlineStr">
        <is>
          <t>פלייר לכל אחת</t>
        </is>
      </c>
      <c r="D16" s="7" t="inlineStr">
        <is>
          <t>•</t>
        </is>
      </c>
      <c r="E16" s="8" t="inlineStr">
        <is>
          <t>מצרכים על הפלייר: ב«משימות» בוחרים מנה בעמודת «מתכון» (כמה מנות — מופרדות ב-;), ורשימת המצרכים מ«מתכונים» מודפסת בפלייר של הקבוצה.</t>
        </is>
      </c>
    </row>
  </sheetData>
  <mergeCells count="3">
    <mergeCell ref="A2:E2"/>
    <mergeCell ref="A8:B8"/>
    <mergeCell ref="A1:E1"/>
  </mergeCells>
  <pageMargins left="0.75" right="0.75" top="1" bottom="1" header="0.5" footer="0.5"/>
  <pageSetup paperSize="9" fitToHeight="0" fitToWidth="1"/>
</worksheet>
</file>

<file path=xl/worksheets/sheet2.xml><?xml version="1.0" encoding="utf-8"?>
<worksheet xmlns="http://schemas.openxmlformats.org/spreadsheetml/2006/main">
  <sheetPr>
    <tabColor rgb="00E8A33D"/>
    <outlinePr summaryBelow="1" summaryRight="1"/>
    <pageSetUpPr fitToPage="1"/>
  </sheetPr>
  <dimension ref="A1:G38"/>
  <sheetViews>
    <sheetView showGridLines="0" rightToLeft="1" workbookViewId="0">
      <pane ySplit="6" topLeftCell="A7" activePane="bottomLeft" state="frozen"/>
      <selection pane="bottomLeft" activeCell="A1" sqref="A1"/>
    </sheetView>
  </sheetViews>
  <sheetFormatPr baseColWidth="8" defaultRowHeight="15"/>
  <cols>
    <col width="12" customWidth="1" min="1" max="1"/>
    <col width="11" customWidth="1" min="2" max="2"/>
    <col width="30" customWidth="1" min="3" max="3"/>
    <col width="18" customWidth="1" min="4" max="4"/>
    <col width="32" customWidth="1" min="5" max="5"/>
    <col width="11" customWidth="1" min="6" max="6"/>
    <col width="10" customWidth="1" min="7" max="7"/>
  </cols>
  <sheetData>
    <row r="1" ht="40" customHeight="1">
      <c r="A1" s="1" t="inlineStr">
        <is>
          <t>לו"ז השבת</t>
        </is>
      </c>
    </row>
    <row r="3" ht="22" customHeight="1">
      <c r="A3" s="3" t="inlineStr">
        <is>
          <t>תאריך השבת</t>
        </is>
      </c>
      <c r="B3" s="13" t="n">
        <v>46325</v>
      </c>
      <c r="C3" s="3" t="inlineStr">
        <is>
          <t>פרשה</t>
        </is>
      </c>
      <c r="D3" s="14">
        <f>IFERROR(VLOOKUP($B$3,'זמנים'!$A$3:$D$400,2,FALSE),"")</f>
        <v/>
      </c>
      <c r="E3" s="2" t="inlineStr">
        <is>
          <t>בחר תאריך מהרשימה — כניסה, צאה ופרשה נטענות מ«זמנים»</t>
        </is>
      </c>
    </row>
    <row r="4" ht="22" customHeight="1">
      <c r="A4" s="3" t="inlineStr">
        <is>
          <t>כניסת שבת</t>
        </is>
      </c>
      <c r="B4" s="15">
        <f>IFERROR(VLOOKUP($B$3,'זמנים'!$A$3:$D$400,3,FALSE),"")</f>
        <v/>
      </c>
      <c r="C4" s="3" t="inlineStr">
        <is>
          <t>צאת שבת</t>
        </is>
      </c>
      <c r="D4" s="15">
        <f>IFERROR(VLOOKUP($B$3,'זמנים'!$A$3:$D$400,4,FALSE),"")</f>
        <v/>
      </c>
      <c r="E4" s="3" t="inlineStr">
        <is>
          <t>שם השבת</t>
        </is>
      </c>
      <c r="F4" s="16" t="n"/>
    </row>
    <row r="6" ht="24" customHeight="1">
      <c r="A6" s="9" t="inlineStr">
        <is>
          <t>יום</t>
        </is>
      </c>
      <c r="B6" s="9" t="inlineStr">
        <is>
          <t>שעה</t>
        </is>
      </c>
      <c r="C6" s="9" t="inlineStr">
        <is>
          <t>אירוע</t>
        </is>
      </c>
      <c r="D6" s="9" t="inlineStr">
        <is>
          <t>מקום</t>
        </is>
      </c>
      <c r="E6" s="9" t="inlineStr">
        <is>
          <t>הערה</t>
        </is>
      </c>
      <c r="F6" s="9" t="inlineStr">
        <is>
          <t>הצעה</t>
        </is>
      </c>
      <c r="G6" s="9" t="inlineStr">
        <is>
          <t>משימות</t>
        </is>
      </c>
    </row>
    <row r="7" ht="22" customHeight="1">
      <c r="A7" s="45" t="inlineStr">
        <is>
          <t>שישי</t>
        </is>
      </c>
      <c r="B7" s="46" t="n">
        <v>0.3333333333333333</v>
      </c>
      <c r="C7" s="47" t="inlineStr">
        <is>
          <t>תחילת עבודה</t>
        </is>
      </c>
      <c r="D7" s="48" t="n"/>
      <c r="E7" s="21" t="inlineStr">
        <is>
          <t>הפרשת חלה 8:00</t>
        </is>
      </c>
      <c r="F7" s="49" t="n">
        <v>0.3333333333333333</v>
      </c>
      <c r="G7" s="50">
        <f>IF(C7="","",COUNTIF('משימות'!$I$3:$I$122,C7))</f>
        <v/>
      </c>
    </row>
    <row r="8" ht="22" customHeight="1">
      <c r="A8" s="45" t="inlineStr">
        <is>
          <t>שישי</t>
        </is>
      </c>
      <c r="B8" s="46" t="n">
        <v>0.5</v>
      </c>
      <c r="C8" s="47" t="inlineStr">
        <is>
          <t>ארוחת צהריים</t>
        </is>
      </c>
      <c r="D8" s="48" t="n"/>
      <c r="E8" s="21" t="n"/>
      <c r="F8" s="49" t="n">
        <v>0.5</v>
      </c>
      <c r="G8" s="50">
        <f>IF(C8="","",COUNTIF('משימות'!$I$3:$I$122,C8))</f>
        <v/>
      </c>
    </row>
    <row r="9" ht="22" customHeight="1">
      <c r="A9" s="45" t="inlineStr">
        <is>
          <t>שישי</t>
        </is>
      </c>
      <c r="B9" s="46" t="n">
        <v>0.6631944444444444</v>
      </c>
      <c r="C9" s="47" t="inlineStr">
        <is>
          <t>קבלת שבת ישראלית</t>
        </is>
      </c>
      <c r="D9" s="48" t="inlineStr">
        <is>
          <t>המצפה (בגשם: חדר האוכל)</t>
        </is>
      </c>
      <c r="E9" s="21" t="n"/>
      <c r="F9" s="49">
        <f>IF($B$4="","",ROUND(($B$4-TIME(0,30,0))*288,0)/288)</f>
        <v/>
      </c>
      <c r="G9" s="50">
        <f>IF(C9="","",COUNTIF('משימות'!$I$3:$I$122,C9))</f>
        <v/>
      </c>
    </row>
    <row r="10" ht="22" customHeight="1">
      <c r="A10" s="45" t="inlineStr">
        <is>
          <t>שישי</t>
        </is>
      </c>
      <c r="B10" s="46" t="n">
        <v>0.6826388888888889</v>
      </c>
      <c r="C10" s="47" t="inlineStr">
        <is>
          <t>הדלקת נרות</t>
        </is>
      </c>
      <c r="D10" s="48" t="n"/>
      <c r="E10" s="21" t="n"/>
      <c r="F10" s="49">
        <f>IF($B$4="","",$B$4)</f>
        <v/>
      </c>
      <c r="G10" s="50">
        <f>IF(C10="","",COUNTIF('משימות'!$I$3:$I$122,C10))</f>
        <v/>
      </c>
    </row>
    <row r="11" ht="22" customHeight="1">
      <c r="A11" s="45" t="inlineStr">
        <is>
          <t>שישי</t>
        </is>
      </c>
      <c r="B11" s="46" t="n">
        <v>0.6909722222222222</v>
      </c>
      <c r="C11" s="47" t="inlineStr">
        <is>
          <t>קבלת שבת וערבית</t>
        </is>
      </c>
      <c r="D11" s="48" t="inlineStr">
        <is>
          <t>בית מיכאל</t>
        </is>
      </c>
      <c r="E11" s="21" t="n"/>
      <c r="F11" s="49">
        <f>IF($B$4="","",ROUND(($B$4+TIME(0,10,0))*288,0)/288)</f>
        <v/>
      </c>
      <c r="G11" s="50">
        <f>IF(C11="","",COUNTIF('משימות'!$I$3:$I$122,C11))</f>
        <v/>
      </c>
    </row>
    <row r="12" ht="22" customHeight="1">
      <c r="A12" s="45" t="inlineStr">
        <is>
          <t>שישי</t>
        </is>
      </c>
      <c r="B12" s="46" t="n">
        <v>0.7916666666666666</v>
      </c>
      <c r="C12" s="47" t="inlineStr">
        <is>
          <t>סעודת שבת</t>
        </is>
      </c>
      <c r="D12" s="48" t="inlineStr">
        <is>
          <t>חדר אוכל</t>
        </is>
      </c>
      <c r="E12" s="21" t="n"/>
      <c r="F12" s="49">
        <f>IF($B$4="","",MAX(TIME(19,0,0),ROUNDUP(ROUND(($B$4+TIME(1,45,0))*1440,0)/15,0)*15/1440))</f>
        <v/>
      </c>
      <c r="G12" s="50">
        <f>IF(C12="","",COUNTIF('משימות'!$I$3:$I$122,C12))</f>
        <v/>
      </c>
    </row>
    <row r="13" ht="22" customHeight="1">
      <c r="A13" s="45" t="inlineStr">
        <is>
          <t>שישי</t>
        </is>
      </c>
      <c r="B13" s="46" t="n">
        <v>0.8541666666666666</v>
      </c>
      <c r="C13" s="47" t="inlineStr">
        <is>
          <t>טיש</t>
        </is>
      </c>
      <c r="D13" s="48" t="inlineStr">
        <is>
          <t>חדר אוכל</t>
        </is>
      </c>
      <c r="E13" s="21" t="inlineStr">
        <is>
          <t>מעביר/ה: הילה</t>
        </is>
      </c>
      <c r="F13" s="49">
        <f>IF($F$12="","",ROUND(($F$12+TIME(1,30,0))*288,0)/288)</f>
        <v/>
      </c>
      <c r="G13" s="50">
        <f>IF(C13="","",COUNTIF('משימות'!$I$3:$I$122,C13))</f>
        <v/>
      </c>
    </row>
    <row r="14" ht="22" customHeight="1">
      <c r="A14" s="45" t="inlineStr">
        <is>
          <t>שישי</t>
        </is>
      </c>
      <c r="B14" s="46" t="n">
        <v>0.90625</v>
      </c>
      <c r="C14" s="47" t="inlineStr">
        <is>
          <t>ערב חברה</t>
        </is>
      </c>
      <c r="D14" s="48" t="inlineStr">
        <is>
          <t>חדר אוכל</t>
        </is>
      </c>
      <c r="E14" s="21" t="inlineStr">
        <is>
          <t>משחק, ולהביא משחקי קופסא לחדר האוכל</t>
        </is>
      </c>
      <c r="F14" s="49">
        <f>IF($F$13="","",ROUND(($F$13+TIME(1,15,0))*288,0)/288)</f>
        <v/>
      </c>
      <c r="G14" s="50">
        <f>IF(C14="","",COUNTIF('משימות'!$I$3:$I$122,C14))</f>
        <v/>
      </c>
    </row>
    <row r="15" ht="22" customHeight="1">
      <c r="A15" s="51" t="inlineStr">
        <is>
          <t>שבת</t>
        </is>
      </c>
      <c r="B15" s="46" t="n">
        <v>0.4583333333333333</v>
      </c>
      <c r="C15" s="47" t="inlineStr">
        <is>
          <t>קידוש</t>
        </is>
      </c>
      <c r="D15" s="48" t="inlineStr">
        <is>
          <t>חדר אוכל</t>
        </is>
      </c>
      <c r="E15" s="21" t="n"/>
      <c r="F15" s="49" t="n">
        <v>0.4583333333333333</v>
      </c>
      <c r="G15" s="50">
        <f>IF(C15="","",COUNTIF('משימות'!$I$3:$I$122,C15))</f>
        <v/>
      </c>
    </row>
    <row r="16" ht="22" customHeight="1">
      <c r="A16" s="51" t="inlineStr">
        <is>
          <t>שבת</t>
        </is>
      </c>
      <c r="B16" s="46" t="n">
        <v>0.4895833333333333</v>
      </c>
      <c r="C16" s="47" t="inlineStr">
        <is>
          <t>חבורות</t>
        </is>
      </c>
      <c r="D16" s="48" t="n"/>
      <c r="E16" s="21" t="n"/>
      <c r="F16" s="49" t="n">
        <v>0.4895833333333333</v>
      </c>
      <c r="G16" s="50">
        <f>IF(C16="","",COUNTIF('משימות'!$I$3:$I$122,C16))</f>
        <v/>
      </c>
    </row>
    <row r="17" ht="22" customHeight="1">
      <c r="A17" s="51" t="inlineStr">
        <is>
          <t>שבת</t>
        </is>
      </c>
      <c r="B17" s="46" t="n">
        <v>0.5520833333333334</v>
      </c>
      <c r="C17" s="47" t="inlineStr">
        <is>
          <t>ארוחת צהריים</t>
        </is>
      </c>
      <c r="D17" s="48" t="inlineStr">
        <is>
          <t>חדר אוכל</t>
        </is>
      </c>
      <c r="E17" s="21" t="n"/>
      <c r="F17" s="49" t="n">
        <v>0.5520833333333334</v>
      </c>
      <c r="G17" s="50">
        <f>IF(C17="","",COUNTIF('משימות'!$I$3:$I$122,C17))</f>
        <v/>
      </c>
    </row>
    <row r="18" ht="22" customHeight="1">
      <c r="A18" s="51" t="inlineStr">
        <is>
          <t>שבת</t>
        </is>
      </c>
      <c r="B18" s="46" t="n">
        <v>0.6458333333333334</v>
      </c>
      <c r="C18" s="47" t="inlineStr">
        <is>
          <t>שיעור של אורי</t>
        </is>
      </c>
      <c r="D18" s="48" t="inlineStr">
        <is>
          <t>בית המדרש</t>
        </is>
      </c>
      <c r="E18" s="21" t="n"/>
      <c r="F18" s="49" t="n">
        <v>0.6458333333333334</v>
      </c>
      <c r="G18" s="50">
        <f>IF(C18="","",COUNTIF('משימות'!$I$3:$I$122,C18))</f>
        <v/>
      </c>
    </row>
    <row r="19" ht="22" customHeight="1">
      <c r="A19" s="51" t="inlineStr">
        <is>
          <t>שבת</t>
        </is>
      </c>
      <c r="B19" s="46" t="n">
        <v>0.6875</v>
      </c>
      <c r="C19" s="47" t="inlineStr">
        <is>
          <t>סעודה שלישית</t>
        </is>
      </c>
      <c r="D19" s="48" t="inlineStr">
        <is>
          <t>חדר אוכל</t>
        </is>
      </c>
      <c r="E19" s="21" t="inlineStr">
        <is>
          <t>דבר תורה, עוגות, ושירה · מעבירים: תמר</t>
        </is>
      </c>
      <c r="F19" s="49" t="n">
        <v>0.6875</v>
      </c>
      <c r="G19" s="50">
        <f>IF(C19="","",COUNTIF('משימות'!$I$3:$I$122,C19))</f>
        <v/>
      </c>
    </row>
    <row r="20" ht="22" customHeight="1">
      <c r="A20" s="51" t="inlineStr">
        <is>
          <t>שבת</t>
        </is>
      </c>
      <c r="B20" s="46" t="n">
        <v>0.7277777777777777</v>
      </c>
      <c r="C20" s="47" t="inlineStr">
        <is>
          <t>הבדלה</t>
        </is>
      </c>
      <c r="D20" s="48" t="n"/>
      <c r="E20" s="21" t="n"/>
      <c r="F20" s="49">
        <f>IF($D$4="","",$D$4)</f>
        <v/>
      </c>
      <c r="G20" s="50">
        <f>IF(C20="","",COUNTIF('משימות'!$I$3:$I$122,C20))</f>
        <v/>
      </c>
    </row>
    <row r="21" ht="22" customHeight="1">
      <c r="A21" s="51" t="inlineStr">
        <is>
          <t>שבת</t>
        </is>
      </c>
      <c r="B21" s="46" t="n">
        <v>0.75</v>
      </c>
      <c r="C21" s="47" t="inlineStr">
        <is>
          <t>ניקיונות מוצ"ש</t>
        </is>
      </c>
      <c r="D21" s="48" t="inlineStr">
        <is>
          <t>בית המדרש וחדר האוכל</t>
        </is>
      </c>
      <c r="E21" s="21" t="n"/>
      <c r="F21" s="49">
        <f>IF($D$4="","",ROUNDUP(ROUND(($D$4+TIME(0,20,0))*1440,0)/15,0)*15/1440)</f>
        <v/>
      </c>
      <c r="G21" s="50">
        <f>IF(C21="","",COUNTIF('משימות'!$I$3:$I$122,C21))</f>
        <v/>
      </c>
    </row>
    <row r="22" ht="22" customHeight="1">
      <c r="A22" s="51" t="inlineStr">
        <is>
          <t>שבת</t>
        </is>
      </c>
      <c r="B22" s="46" t="n">
        <v>0.8020833333333334</v>
      </c>
      <c r="C22" s="47" t="inlineStr">
        <is>
          <t>ארוחת ערב מוצ"ש</t>
        </is>
      </c>
      <c r="D22" s="48" t="inlineStr">
        <is>
          <t>חדר אוכל</t>
        </is>
      </c>
      <c r="E22" s="21" t="n"/>
      <c r="F22" s="49">
        <f>IF($F$21="","",ROUND(($F$21+TIME(1,15,0))*288,0)/288)</f>
        <v/>
      </c>
      <c r="G22" s="50">
        <f>IF(C22="","",COUNTIF('משימות'!$I$3:$I$122,C22))</f>
        <v/>
      </c>
    </row>
    <row r="23" ht="22" customHeight="1">
      <c r="A23" s="51" t="inlineStr">
        <is>
          <t>שבת</t>
        </is>
      </c>
      <c r="B23" s="46" t="n">
        <v>0.8229166666666666</v>
      </c>
      <c r="C23" s="47" t="inlineStr">
        <is>
          <t>כריכה לכריכה בתנ"ך עם אבישי</t>
        </is>
      </c>
      <c r="D23" s="48" t="inlineStr">
        <is>
          <t>ספריית שבייד</t>
        </is>
      </c>
      <c r="E23" s="21" t="inlineStr">
        <is>
          <t>הושע 2 (ז–יד)</t>
        </is>
      </c>
      <c r="F23" s="49">
        <f>IF($F$22="","",ROUND(($F$22+TIME(0,30,0))*288,0)/288)</f>
        <v/>
      </c>
      <c r="G23" s="50">
        <f>IF(C23="","",COUNTIF('משימות'!$I$3:$I$122,C23))</f>
        <v/>
      </c>
    </row>
    <row r="24" ht="22" customHeight="1">
      <c r="A24" s="52" t="n"/>
      <c r="B24" s="46" t="n"/>
      <c r="C24" s="47" t="n"/>
      <c r="D24" s="48" t="n"/>
      <c r="E24" s="21" t="n"/>
      <c r="F24" s="49" t="n"/>
      <c r="G24" s="50">
        <f>IF(C24="","",COUNTIF('משימות'!$I$3:$I$122,C24))</f>
        <v/>
      </c>
    </row>
    <row r="25" ht="22" customHeight="1">
      <c r="A25" s="52" t="n"/>
      <c r="B25" s="46" t="n"/>
      <c r="C25" s="47" t="n"/>
      <c r="D25" s="48" t="n"/>
      <c r="E25" s="21" t="n"/>
      <c r="F25" s="49" t="n"/>
      <c r="G25" s="50">
        <f>IF(C25="","",COUNTIF('משימות'!$I$3:$I$122,C25))</f>
        <v/>
      </c>
    </row>
    <row r="26" ht="22" customHeight="1">
      <c r="A26" s="52" t="n"/>
      <c r="B26" s="46" t="n"/>
      <c r="C26" s="47" t="n"/>
      <c r="D26" s="48" t="n"/>
      <c r="E26" s="21" t="n"/>
      <c r="F26" s="49" t="n"/>
      <c r="G26" s="50">
        <f>IF(C26="","",COUNTIF('משימות'!$I$3:$I$122,C26))</f>
        <v/>
      </c>
    </row>
    <row r="27" ht="22" customHeight="1">
      <c r="A27" s="52" t="n"/>
      <c r="B27" s="46" t="n"/>
      <c r="C27" s="47" t="n"/>
      <c r="D27" s="48" t="n"/>
      <c r="E27" s="21" t="n"/>
      <c r="F27" s="49" t="n"/>
      <c r="G27" s="50">
        <f>IF(C27="","",COUNTIF('משימות'!$I$3:$I$122,C27))</f>
        <v/>
      </c>
    </row>
    <row r="28" ht="22" customHeight="1">
      <c r="A28" s="52" t="n"/>
      <c r="B28" s="46" t="n"/>
      <c r="C28" s="47" t="n"/>
      <c r="D28" s="48" t="n"/>
      <c r="E28" s="21" t="n"/>
      <c r="F28" s="49" t="n"/>
      <c r="G28" s="50">
        <f>IF(C28="","",COUNTIF('משימות'!$I$3:$I$122,C28))</f>
        <v/>
      </c>
    </row>
    <row r="29" ht="22" customHeight="1">
      <c r="A29" s="52" t="n"/>
      <c r="B29" s="46" t="n"/>
      <c r="C29" s="47" t="n"/>
      <c r="D29" s="48" t="n"/>
      <c r="E29" s="21" t="n"/>
      <c r="F29" s="49" t="n"/>
      <c r="G29" s="50">
        <f>IF(C29="","",COUNTIF('משימות'!$I$3:$I$122,C29))</f>
        <v/>
      </c>
    </row>
    <row r="30" ht="22" customHeight="1">
      <c r="A30" s="52" t="n"/>
      <c r="B30" s="46" t="n"/>
      <c r="C30" s="47" t="n"/>
      <c r="D30" s="48" t="n"/>
      <c r="E30" s="21" t="n"/>
      <c r="F30" s="49" t="n"/>
      <c r="G30" s="50">
        <f>IF(C30="","",COUNTIF('משימות'!$I$3:$I$122,C30))</f>
        <v/>
      </c>
    </row>
    <row r="31" ht="22" customHeight="1">
      <c r="A31" s="52" t="n"/>
      <c r="B31" s="46" t="n"/>
      <c r="C31" s="47" t="n"/>
      <c r="D31" s="48" t="n"/>
      <c r="E31" s="21" t="n"/>
      <c r="F31" s="49" t="n"/>
      <c r="G31" s="50">
        <f>IF(C31="","",COUNTIF('משימות'!$I$3:$I$122,C31))</f>
        <v/>
      </c>
    </row>
    <row r="32" ht="22" customHeight="1">
      <c r="A32" s="52" t="n"/>
      <c r="B32" s="46" t="n"/>
      <c r="C32" s="47" t="n"/>
      <c r="D32" s="48" t="n"/>
      <c r="E32" s="21" t="n"/>
      <c r="F32" s="49" t="n"/>
      <c r="G32" s="50">
        <f>IF(C32="","",COUNTIF('משימות'!$I$3:$I$122,C32))</f>
        <v/>
      </c>
    </row>
    <row r="33" ht="22" customHeight="1">
      <c r="A33" s="52" t="n"/>
      <c r="B33" s="46" t="n"/>
      <c r="C33" s="47" t="n"/>
      <c r="D33" s="48" t="n"/>
      <c r="E33" s="21" t="n"/>
      <c r="F33" s="49" t="n"/>
      <c r="G33" s="50">
        <f>IF(C33="","",COUNTIF('משימות'!$I$3:$I$122,C33))</f>
        <v/>
      </c>
    </row>
    <row r="34" ht="22" customHeight="1">
      <c r="A34" s="52" t="n"/>
      <c r="B34" s="46" t="n"/>
      <c r="C34" s="47" t="n"/>
      <c r="D34" s="48" t="n"/>
      <c r="E34" s="21" t="n"/>
      <c r="F34" s="49" t="n"/>
      <c r="G34" s="50">
        <f>IF(C34="","",COUNTIF('משימות'!$I$3:$I$122,C34))</f>
        <v/>
      </c>
    </row>
    <row r="35" ht="22" customHeight="1">
      <c r="A35" s="52" t="n"/>
      <c r="B35" s="46" t="n"/>
      <c r="C35" s="47" t="n"/>
      <c r="D35" s="48" t="n"/>
      <c r="E35" s="21" t="n"/>
      <c r="F35" s="49" t="n"/>
      <c r="G35" s="50">
        <f>IF(C35="","",COUNTIF('משימות'!$I$3:$I$122,C35))</f>
        <v/>
      </c>
    </row>
    <row r="36" ht="22" customHeight="1">
      <c r="A36" s="52" t="n"/>
      <c r="B36" s="46" t="n"/>
      <c r="C36" s="47" t="n"/>
      <c r="D36" s="48" t="n"/>
      <c r="E36" s="21" t="n"/>
      <c r="F36" s="49" t="n"/>
      <c r="G36" s="50">
        <f>IF(C36="","",COUNTIF('משימות'!$I$3:$I$122,C36))</f>
        <v/>
      </c>
    </row>
    <row r="38" ht="28" customHeight="1">
      <c r="A38" s="26" t="inlineStr">
        <is>
          <t>«שעה» היא הלו"ז שנשלח בפועל — עורכים בה חופשי. «הצעה» מחושבת מכניסת/צאת השבת (הכללים ב-data/schedule_template.csv). «משימות» = כמה משימות מעוגנות לאירוע.</t>
        </is>
      </c>
    </row>
  </sheetData>
  <mergeCells count="2">
    <mergeCell ref="A38:G38"/>
    <mergeCell ref="A1:G1"/>
  </mergeCells>
  <dataValidations count="2">
    <dataValidation sqref="B3" showDropDown="0" showInputMessage="0" showErrorMessage="1" allowBlank="1" type="list">
      <formula1>'זמנים'!$A$3:$A$400</formula1>
    </dataValidation>
    <dataValidation sqref="A7:A36" showDropDown="0" showInputMessage="0" showErrorMessage="0" allowBlank="1" type="list">
      <formula1>"חמישי,שישי,שבת,מוצאי שבת"</formula1>
    </dataValidation>
  </dataValidations>
  <pageMargins left="0.75" right="0.75" top="1" bottom="1" header="0.5" footer="0.5"/>
  <pageSetup paperSize="9" fitToHeight="0" fitToWidth="1"/>
</worksheet>
</file>

<file path=xl/worksheets/sheet3.xml><?xml version="1.0" encoding="utf-8"?>
<worksheet xmlns="http://schemas.openxmlformats.org/spreadsheetml/2006/main">
  <sheetPr>
    <tabColor rgb="00E8A33D"/>
    <outlinePr summaryBelow="1" summaryRight="1"/>
    <pageSetUpPr fitToPage="1"/>
  </sheetPr>
  <dimension ref="A1:J124"/>
  <sheetViews>
    <sheetView showGridLines="0" rightToLeft="1" workbookViewId="0">
      <pane ySplit="2" topLeftCell="A3" activePane="bottomLeft" state="frozen"/>
      <selection pane="bottomLeft" activeCell="A1" sqref="A1"/>
    </sheetView>
  </sheetViews>
  <sheetFormatPr baseColWidth="8" defaultRowHeight="15"/>
  <cols>
    <col width="13" customWidth="1" min="1" max="1"/>
    <col width="10" customWidth="1" min="2" max="2"/>
    <col width="8" customWidth="1" min="3" max="3"/>
    <col width="26" customWidth="1" min="4" max="4"/>
    <col width="50" customWidth="1" min="5" max="5"/>
    <col width="7" customWidth="1" min="6" max="6"/>
    <col width="42" customWidth="1" min="7" max="7"/>
    <col width="16" customWidth="1" min="8" max="8"/>
    <col width="18" customWidth="1" min="9" max="9"/>
    <col width="22" customWidth="1" min="10" max="10"/>
  </cols>
  <sheetData>
    <row r="1" ht="36" customHeight="1">
      <c r="A1" s="27" t="inlineStr">
        <is>
          <t>משימות השבת — מי עושה מה ומתי</t>
        </is>
      </c>
    </row>
    <row r="2" ht="24" customHeight="1">
      <c r="A2" s="9" t="inlineStr">
        <is>
          <t>שלב</t>
        </is>
      </c>
      <c r="B2" s="9" t="inlineStr">
        <is>
          <t>יום</t>
        </is>
      </c>
      <c r="C2" s="9" t="inlineStr">
        <is>
          <t>שעה</t>
        </is>
      </c>
      <c r="D2" s="9" t="inlineStr">
        <is>
          <t>קבוצה</t>
        </is>
      </c>
      <c r="E2" s="9" t="inlineStr">
        <is>
          <t>משימה</t>
        </is>
      </c>
      <c r="F2" s="9" t="inlineStr">
        <is>
          <t>אנשים</t>
        </is>
      </c>
      <c r="G2" s="9" t="inlineStr">
        <is>
          <t>שמות</t>
        </is>
      </c>
      <c r="H2" s="9" t="inlineStr">
        <is>
          <t>מתכון</t>
        </is>
      </c>
      <c r="I2" s="9" t="inlineStr">
        <is>
          <t>עוגן בלו"ז</t>
        </is>
      </c>
      <c r="J2" s="9" t="inlineStr">
        <is>
          <t>הערה</t>
        </is>
      </c>
    </row>
    <row r="3" ht="30" customHeight="1">
      <c r="A3" s="53" t="inlineStr">
        <is>
          <t>הכנות שישי</t>
        </is>
      </c>
      <c r="B3" s="54" t="inlineStr">
        <is>
          <t>שישי</t>
        </is>
      </c>
      <c r="C3" s="55" t="n">
        <v>0.2916666666666667</v>
      </c>
      <c r="D3" s="48" t="inlineStr">
        <is>
          <t>חלות</t>
        </is>
      </c>
      <c r="E3" s="21" t="inlineStr">
        <is>
          <t>חלות — 10 ק"ג קמח</t>
        </is>
      </c>
      <c r="F3" s="53" t="n">
        <v>3</v>
      </c>
      <c r="G3" s="31" t="inlineStr">
        <is>
          <t>פנחס אליהו גלוסקין, ליעם גבע, אריאלה מרכוס</t>
        </is>
      </c>
      <c r="H3" s="48" t="inlineStr">
        <is>
          <t>חלות</t>
        </is>
      </c>
      <c r="I3" s="48" t="inlineStr">
        <is>
          <t>תחילת עבודה</t>
        </is>
      </c>
      <c r="J3" s="21" t="inlineStr">
        <is>
          <t>לעטוף בנייר אלומיניום, לרשום שנה ב', ולשלוח למעיין כמה עוגות יצאו
מקום אחסון בסיום: שולחן מיועד בחדר אוכל</t>
        </is>
      </c>
    </row>
    <row r="4" ht="30" customHeight="1">
      <c r="A4" s="53" t="inlineStr">
        <is>
          <t>הכנות שישי</t>
        </is>
      </c>
      <c r="B4" s="54" t="inlineStr">
        <is>
          <t>שישי</t>
        </is>
      </c>
      <c r="C4" s="55" t="n">
        <v>0.3645833333333333</v>
      </c>
      <c r="D4" s="48" t="inlineStr">
        <is>
          <t>בראוניז ללא גלוטן</t>
        </is>
      </c>
      <c r="E4" s="21" t="inlineStr">
        <is>
          <t>בראוניז ללא גלוטן — כ-600 גרם שוקולד</t>
        </is>
      </c>
      <c r="F4" s="53" t="n">
        <v>0</v>
      </c>
      <c r="G4" s="31" t="n"/>
      <c r="H4" s="48" t="inlineStr">
        <is>
          <t>בראוניז ללא גלוטן</t>
        </is>
      </c>
      <c r="I4" s="48" t="inlineStr">
        <is>
          <t>תחילת עבודה</t>
        </is>
      </c>
      <c r="J4" s="21" t="inlineStr">
        <is>
          <t>לעטוף בנייר אלומיניום ולרשום שנה ב (ולל"ג), ולשלוח למעיין כמה עוגיות יצאו
מקום אחסון בסיום: מקרר</t>
        </is>
      </c>
    </row>
    <row r="5" ht="30" customHeight="1">
      <c r="A5" s="53" t="inlineStr">
        <is>
          <t>הכנות שישי</t>
        </is>
      </c>
      <c r="B5" s="54" t="inlineStr">
        <is>
          <t>שישי</t>
        </is>
      </c>
      <c r="C5" s="55" t="n">
        <v>0.3333333333333333</v>
      </c>
      <c r="D5" s="48" t="inlineStr">
        <is>
          <t>עוגת שוקולד</t>
        </is>
      </c>
      <c r="E5" s="21" t="inlineStr">
        <is>
          <t>עוגת שוקולד — 12 עוגות אינגליש קייק</t>
        </is>
      </c>
      <c r="F5" s="53" t="n">
        <v>2</v>
      </c>
      <c r="G5" s="31" t="inlineStr">
        <is>
          <t>יותם ספיר, ניצן גמלא</t>
        </is>
      </c>
      <c r="H5" s="48" t="inlineStr">
        <is>
          <t>עוגת שוקולד</t>
        </is>
      </c>
      <c r="I5" s="48" t="inlineStr">
        <is>
          <t>תחילת עבודה</t>
        </is>
      </c>
      <c r="J5" s="21" t="inlineStr">
        <is>
          <t>לעטוף בנייר אלומיניום ולרשום שנה ב, ולשלוח למעיין כמה עוגות יצאו
מקום אחסון בסיום: שולחן מיועד בחדר אוכל</t>
        </is>
      </c>
    </row>
    <row r="6" ht="30" customHeight="1">
      <c r="A6" s="53" t="inlineStr">
        <is>
          <t>הכנות שישי</t>
        </is>
      </c>
      <c r="B6" s="54" t="inlineStr">
        <is>
          <t>שישי</t>
        </is>
      </c>
      <c r="C6" s="55" t="n">
        <v>0.3333333333333333</v>
      </c>
      <c r="D6" s="48" t="inlineStr">
        <is>
          <t>עוגת שמרים</t>
        </is>
      </c>
      <c r="E6" s="21" t="inlineStr">
        <is>
          <t>עוגת שמרים — 12 עוגות אינגליש קייק</t>
        </is>
      </c>
      <c r="F6" s="53" t="n">
        <v>3</v>
      </c>
      <c r="G6" s="31" t="inlineStr">
        <is>
          <t>הלל פינגולד, ליבי בוכריס, מעיין רחל דינר</t>
        </is>
      </c>
      <c r="H6" s="48" t="inlineStr">
        <is>
          <t>עוגת שמרים</t>
        </is>
      </c>
      <c r="I6" s="48" t="inlineStr">
        <is>
          <t>תחילת עבודה</t>
        </is>
      </c>
      <c r="J6" s="21" t="inlineStr">
        <is>
          <t>לעטוף בנייר אלומיניום ולרשום שנה ב, ולשלוח למעיין כמה עוגות יצאו
מקום אחסון בסיום: שולחן מיועד בחדר אוכל</t>
        </is>
      </c>
    </row>
    <row r="7" ht="30" customHeight="1">
      <c r="A7" s="53" t="inlineStr">
        <is>
          <t>הכנות שישי</t>
        </is>
      </c>
      <c r="B7" s="54" t="inlineStr">
        <is>
          <t>שישי</t>
        </is>
      </c>
      <c r="C7" s="55" t="n">
        <v>0.3333333333333333</v>
      </c>
      <c r="D7" s="48" t="inlineStr">
        <is>
          <t>מטבוחה</t>
        </is>
      </c>
      <c r="E7" s="21" t="inlineStr">
        <is>
          <t>מטבוחה — 100 עגבניות</t>
        </is>
      </c>
      <c r="F7" s="53" t="n">
        <v>4</v>
      </c>
      <c r="G7" s="31" t="inlineStr">
        <is>
          <t>טליה קור, נועם ישראל קומפאס, של״ו רובינשטיין, הילי אלפסי</t>
        </is>
      </c>
      <c r="H7" s="48" t="inlineStr">
        <is>
          <t>מטבוחה</t>
        </is>
      </c>
      <c r="I7" s="48" t="inlineStr">
        <is>
          <t>תחילת עבודה</t>
        </is>
      </c>
      <c r="J7" s="21" t="inlineStr">
        <is>
          <t>לעטוף בנייר אלומיניום ולרשום שנה ב
מקום אחסון בסיום: מקרר</t>
        </is>
      </c>
    </row>
    <row r="8" ht="30" customHeight="1">
      <c r="A8" s="53" t="inlineStr">
        <is>
          <t>הכנות שישי</t>
        </is>
      </c>
      <c r="B8" s="54" t="inlineStr">
        <is>
          <t>שישי</t>
        </is>
      </c>
      <c r="C8" s="55" t="n">
        <v>0.3645833333333333</v>
      </c>
      <c r="D8" s="48" t="inlineStr">
        <is>
          <t>סלט חצילים</t>
        </is>
      </c>
      <c r="E8" s="21" t="inlineStr">
        <is>
          <t>סלט חצילים — 10 חצילים</t>
        </is>
      </c>
      <c r="F8" s="53" t="n">
        <v>0</v>
      </c>
      <c r="G8" s="31" t="n"/>
      <c r="H8" s="48" t="inlineStr">
        <is>
          <t>סלט חצילים</t>
        </is>
      </c>
      <c r="I8" s="48" t="inlineStr">
        <is>
          <t>תחילת עבודה</t>
        </is>
      </c>
      <c r="J8" s="21" t="inlineStr">
        <is>
          <t>לעטוף בנייר אלומיניום ולרשום שנה ב
מקום אחסון בסיום: במקרר</t>
        </is>
      </c>
    </row>
    <row r="9" ht="30" customHeight="1">
      <c r="A9" s="53" t="inlineStr">
        <is>
          <t>הכנות שישי</t>
        </is>
      </c>
      <c r="B9" s="54" t="inlineStr">
        <is>
          <t>שישי</t>
        </is>
      </c>
      <c r="C9" s="55" t="n">
        <v>0.3333333333333333</v>
      </c>
      <c r="D9" s="48" t="inlineStr">
        <is>
          <t>עוגיות שוקולד צ'יפס</t>
        </is>
      </c>
      <c r="E9" s="21" t="inlineStr">
        <is>
          <t>עוגיות שוקולד צ'יפס — 80 עוגיות</t>
        </is>
      </c>
      <c r="F9" s="53" t="n">
        <v>2</v>
      </c>
      <c r="G9" s="31" t="inlineStr">
        <is>
          <t>הדר עמדי, שי- לי וולגמוט</t>
        </is>
      </c>
      <c r="H9" s="48" t="inlineStr">
        <is>
          <t>עוגיות שוקולד צ'יפס</t>
        </is>
      </c>
      <c r="I9" s="48" t="inlineStr">
        <is>
          <t>תחילת עבודה</t>
        </is>
      </c>
      <c r="J9" s="21" t="inlineStr">
        <is>
          <t>לעטוף בנייר אלומיניום ולרשום שנה ב, ולשלוח למעיין כמה עוגיות יצאו
מקום אחסון בסיום: שולחן מיועד בחדר אוכל</t>
        </is>
      </c>
    </row>
    <row r="10" ht="30" customHeight="1">
      <c r="A10" s="53" t="inlineStr">
        <is>
          <t>הכנות שישי</t>
        </is>
      </c>
      <c r="B10" s="54" t="inlineStr">
        <is>
          <t>שישי</t>
        </is>
      </c>
      <c r="C10" s="55" t="n">
        <v>0.3333333333333333</v>
      </c>
      <c r="D10" s="48" t="inlineStr">
        <is>
          <t>ארוחת צהריים שישי</t>
        </is>
      </c>
      <c r="E10" s="21" t="inlineStr">
        <is>
          <t>ארוחת צהריים שישי — שקשוקה ולחם</t>
        </is>
      </c>
      <c r="F10" s="53" t="n">
        <v>4</v>
      </c>
      <c r="G10" s="31" t="inlineStr">
        <is>
          <t>הילה עזרא, רותם דרור, שחר מרקוביץ' גליק, רוני פרנקל</t>
        </is>
      </c>
      <c r="H10" s="48" t="inlineStr">
        <is>
          <t>שקשוקה ולחם</t>
        </is>
      </c>
      <c r="I10" s="48" t="inlineStr">
        <is>
          <t>תחילת עבודה</t>
        </is>
      </c>
      <c r="J10" s="21" t="n"/>
    </row>
    <row r="11" ht="90" customHeight="1">
      <c r="A11" s="53" t="inlineStr">
        <is>
          <t>תורנות מוצ"ש</t>
        </is>
      </c>
      <c r="B11" s="56" t="inlineStr">
        <is>
          <t>מוצאי שבת</t>
        </is>
      </c>
      <c r="C11" s="55" t="n"/>
      <c r="D11" s="48" t="inlineStr">
        <is>
          <t>ניקיון חדר האוכל במוצ"ש</t>
        </is>
      </c>
      <c r="E11" s="21" t="inlineStr">
        <is>
          <t>שטיפת הגסטרונומים
שטיפת הרצפה
ניקוי המטבח
ניקוי חדר המקררים
זריקת הפחים
פינוי התנורים</t>
        </is>
      </c>
      <c r="F11" s="53" t="n">
        <v>15</v>
      </c>
      <c r="G11" s="31" t="inlineStr">
        <is>
          <t>שירה ספונוב, אביה וייל, יואב אוחנה, זואי כהן, משה אוברשטיין, עמית סיילס, אלה גוטליב, מאיה פקטר, שילת פילפל, שחר קרן</t>
        </is>
      </c>
      <c r="H11" s="48" t="n"/>
      <c r="I11" s="48" t="inlineStr">
        <is>
          <t>ניקיונות מוצ"ש</t>
        </is>
      </c>
      <c r="J11" s="21" t="n"/>
    </row>
    <row r="12" ht="30" customHeight="1">
      <c r="A12" s="53" t="inlineStr">
        <is>
          <t>תורנות מוצ"ש</t>
        </is>
      </c>
      <c r="B12" s="56" t="inlineStr">
        <is>
          <t>מוצאי שבת</t>
        </is>
      </c>
      <c r="C12" s="55" t="n"/>
      <c r="D12" s="48" t="inlineStr">
        <is>
          <t>ארוחת ערב מוצ"ש</t>
        </is>
      </c>
      <c r="E12" s="21" t="inlineStr">
        <is>
          <t>הכנת ארוחת ערב: פסטה ברוטב עגבניות</t>
        </is>
      </c>
      <c r="F12" s="53" t="n">
        <v>5</v>
      </c>
      <c r="G12" s="31" t="inlineStr">
        <is>
          <t>אלה מאיר, עמית שי אברהם, ינון לוי, איתמר אסנהיים, ירדן בן שחר</t>
        </is>
      </c>
      <c r="H12" s="48" t="inlineStr">
        <is>
          <t>פסטה ברוטב עגבניות</t>
        </is>
      </c>
      <c r="I12" s="48" t="inlineStr">
        <is>
          <t>ניקיונות מוצ"ש</t>
        </is>
      </c>
      <c r="J12" s="21" t="n"/>
    </row>
    <row r="13" ht="30" customHeight="1">
      <c r="A13" s="53" t="inlineStr">
        <is>
          <t>הכנות שישי</t>
        </is>
      </c>
      <c r="B13" s="54" t="inlineStr">
        <is>
          <t>שישי</t>
        </is>
      </c>
      <c r="C13" s="55" t="n">
        <v>0.5</v>
      </c>
      <c r="D13" s="48" t="inlineStr">
        <is>
          <t>ארוחת צהריים שישי</t>
        </is>
      </c>
      <c r="E13" s="21" t="inlineStr">
        <is>
          <t>הגשת ארוחת הצהריים</t>
        </is>
      </c>
      <c r="F13" s="53" t="n">
        <v>2</v>
      </c>
      <c r="G13" s="31" t="inlineStr">
        <is>
          <t>הילה עזרא, רותם דרור</t>
        </is>
      </c>
      <c r="H13" s="48" t="n"/>
      <c r="I13" s="48" t="inlineStr">
        <is>
          <t>ארוחת צהריים</t>
        </is>
      </c>
      <c r="J13" s="21" t="n"/>
    </row>
    <row r="14" ht="30" customHeight="1">
      <c r="A14" s="53" t="inlineStr">
        <is>
          <t>הכנות שישי</t>
        </is>
      </c>
      <c r="B14" s="54" t="inlineStr">
        <is>
          <t>שישי</t>
        </is>
      </c>
      <c r="C14" s="55" t="n">
        <v>0.5416666666666666</v>
      </c>
      <c r="D14" s="48" t="inlineStr">
        <is>
          <t>ארוחת צהריים שישי</t>
        </is>
      </c>
      <c r="E14" s="21" t="inlineStr">
        <is>
          <t>קיפול הארוחה, שטיפת כלים</t>
        </is>
      </c>
      <c r="F14" s="53" t="n">
        <v>2</v>
      </c>
      <c r="G14" s="31" t="inlineStr">
        <is>
          <t>שחר מרקוביץ' גליק, רוני פרנקל</t>
        </is>
      </c>
      <c r="H14" s="48" t="n"/>
      <c r="I14" s="48" t="inlineStr">
        <is>
          <t>ארוחת צהריים</t>
        </is>
      </c>
      <c r="J14" s="21" t="n"/>
    </row>
    <row r="15" ht="120" customHeight="1">
      <c r="A15" s="53" t="inlineStr">
        <is>
          <t>תורנות שישי</t>
        </is>
      </c>
      <c r="B15" s="54" t="inlineStr">
        <is>
          <t>שישי</t>
        </is>
      </c>
      <c r="C15" s="55" t="n">
        <v>0.3333333333333333</v>
      </c>
      <c r="D15" s="48" t="inlineStr">
        <is>
          <t>בית מדרש</t>
        </is>
      </c>
      <c r="E15" s="21" t="inlineStr">
        <is>
          <t>סידור בית המדרש:
טאטוא ושטיפת הרצפה
תליית המחיצה
סידור השולחנות בשורות של 4 שולחנות בכל צד של המחיצה — 6 שורות של שולחנות עם כסאות
מאחוריהם — כסאות לעזרת ישראל
שאר השולחנות — לערום בקצה בית המדרש (מרימים, לא גוררים)
הנחת סידורים על הכסאות
העמדת 2 מיחמים</t>
        </is>
      </c>
      <c r="F15" s="53" t="n">
        <v>12</v>
      </c>
      <c r="G15" s="31" t="inlineStr">
        <is>
          <t>כליל בלאוקופף, נגה שוהם, עופר בביוף, אוריה תעשה, סהר שירון, ארבל פרנקו, ניתאי שלום, נבו בלוך, חיים שמאי, אחיה נחמני, שירה ספונוב, אביה וייל</t>
        </is>
      </c>
      <c r="H15" s="48" t="n"/>
      <c r="I15" s="48" t="inlineStr">
        <is>
          <t>תחילת עבודה</t>
        </is>
      </c>
      <c r="J15" s="21" t="n"/>
    </row>
    <row r="16" ht="30" customHeight="1">
      <c r="A16" s="53" t="inlineStr">
        <is>
          <t>תורנות שישי</t>
        </is>
      </c>
      <c r="B16" s="54" t="inlineStr">
        <is>
          <t>שישי</t>
        </is>
      </c>
      <c r="C16" s="55" t="n">
        <v>0.3645833333333333</v>
      </c>
      <c r="D16" s="48" t="inlineStr">
        <is>
          <t>בית מדרש</t>
        </is>
      </c>
      <c r="E16" s="21" t="inlineStr">
        <is>
          <t>עזרה בהכנת חלות</t>
        </is>
      </c>
      <c r="F16" s="53" t="n">
        <v>5</v>
      </c>
      <c r="G16" s="31" t="inlineStr">
        <is>
          <t>כליל בלאוקופף, נגה שוהם, עופר בביוף, אוריה תעשה, סהר שירון</t>
        </is>
      </c>
      <c r="H16" s="48" t="n"/>
      <c r="I16" s="48" t="inlineStr">
        <is>
          <t>תחילת עבודה</t>
        </is>
      </c>
      <c r="J16" s="21" t="n"/>
    </row>
    <row r="17" ht="30" customHeight="1">
      <c r="A17" s="53" t="inlineStr">
        <is>
          <t>תורנות שישי</t>
        </is>
      </c>
      <c r="B17" s="54" t="inlineStr">
        <is>
          <t>שישי</t>
        </is>
      </c>
      <c r="C17" s="55" t="n">
        <v>0.3645833333333333</v>
      </c>
      <c r="D17" s="48" t="inlineStr">
        <is>
          <t>בית מדרש</t>
        </is>
      </c>
      <c r="E17" s="21" t="inlineStr">
        <is>
          <t>עזרה בהכנת בראוניז ללא גלוטן</t>
        </is>
      </c>
      <c r="F17" s="53" t="n">
        <v>2</v>
      </c>
      <c r="G17" s="31" t="inlineStr">
        <is>
          <t>ארבל פרנקו, ניתאי שלום</t>
        </is>
      </c>
      <c r="H17" s="48" t="n"/>
      <c r="I17" s="48" t="inlineStr">
        <is>
          <t>תחילת עבודה</t>
        </is>
      </c>
      <c r="J17" s="21" t="n"/>
    </row>
    <row r="18" ht="30" customHeight="1">
      <c r="A18" s="53" t="inlineStr">
        <is>
          <t>תורנות שישי</t>
        </is>
      </c>
      <c r="B18" s="54" t="inlineStr">
        <is>
          <t>שישי</t>
        </is>
      </c>
      <c r="C18" s="55" t="n">
        <v>0.3645833333333333</v>
      </c>
      <c r="D18" s="48" t="inlineStr">
        <is>
          <t>בית מדרש</t>
        </is>
      </c>
      <c r="E18" s="21" t="inlineStr">
        <is>
          <t>עזרה בהכנת עוגת שמרים</t>
        </is>
      </c>
      <c r="F18" s="53" t="n">
        <v>3</v>
      </c>
      <c r="G18" s="31" t="inlineStr">
        <is>
          <t>נבו בלוך, חיים שמאי, אחיה נחמני</t>
        </is>
      </c>
      <c r="H18" s="48" t="n"/>
      <c r="I18" s="48" t="inlineStr">
        <is>
          <t>תחילת עבודה</t>
        </is>
      </c>
      <c r="J18" s="21" t="n"/>
    </row>
    <row r="19" ht="30" customHeight="1">
      <c r="A19" s="53" t="inlineStr">
        <is>
          <t>תורנות שישי</t>
        </is>
      </c>
      <c r="B19" s="54" t="inlineStr">
        <is>
          <t>שישי</t>
        </is>
      </c>
      <c r="C19" s="55" t="n">
        <v>0.3645833333333333</v>
      </c>
      <c r="D19" s="48" t="inlineStr">
        <is>
          <t>בית מדרש</t>
        </is>
      </c>
      <c r="E19" s="21" t="inlineStr">
        <is>
          <t>עזרה בהכנת סלט חצילים</t>
        </is>
      </c>
      <c r="F19" s="53" t="n">
        <v>2</v>
      </c>
      <c r="G19" s="31" t="inlineStr">
        <is>
          <t>שירה ספונוב, אביה וייל</t>
        </is>
      </c>
      <c r="H19" s="48" t="n"/>
      <c r="I19" s="48" t="inlineStr">
        <is>
          <t>תחילת עבודה</t>
        </is>
      </c>
      <c r="J19" s="21" t="n"/>
    </row>
    <row r="20" ht="75" customHeight="1">
      <c r="A20" s="53" t="inlineStr">
        <is>
          <t>תורנות שישי</t>
        </is>
      </c>
      <c r="B20" s="54" t="inlineStr">
        <is>
          <t>שישי</t>
        </is>
      </c>
      <c r="C20" s="55" t="n">
        <v>0.5833333333333334</v>
      </c>
      <c r="D20" s="48" t="inlineStr">
        <is>
          <t>ניקיון חדר האוכל בשישי</t>
        </is>
      </c>
      <c r="E20" s="21" t="inlineStr">
        <is>
          <t>ניקיון חדר האוכל:
שטיפת הרצפה
ניקוי המטבח
ניקוי חדר המקררים
זריקת הפחים</t>
        </is>
      </c>
      <c r="F20" s="53" t="n">
        <v>12</v>
      </c>
      <c r="G20" s="31" t="inlineStr">
        <is>
          <t>יערה ריס, זואי כהן, אלה גוטליב, שילת פילפל, אלה מאיר, ינון לוי, עמית סיילס, מאיה פקטר, שחר קרן, איתמר אסנהיים, עמית שי אברהם, ירדן בן שחר</t>
        </is>
      </c>
      <c r="H20" s="48" t="n"/>
      <c r="I20" s="48" t="inlineStr">
        <is>
          <t>ארוחת צהריים</t>
        </is>
      </c>
      <c r="J20" s="21" t="n"/>
    </row>
    <row r="21" ht="30" customHeight="1">
      <c r="A21" s="53" t="inlineStr">
        <is>
          <t>תורנות שבת</t>
        </is>
      </c>
      <c r="B21" s="54" t="inlineStr">
        <is>
          <t>שישי</t>
        </is>
      </c>
      <c r="C21" s="55" t="n">
        <v>0.5833333333333334</v>
      </c>
      <c r="D21" s="48" t="inlineStr">
        <is>
          <t>גסטרונומים</t>
        </is>
      </c>
      <c r="E21" s="21" t="inlineStr">
        <is>
          <t>פריקת האוכל למקרר — אוכל ארוחת צהריים שבת: כתף בקר בציר ירקות שורש, אורז לבן, שעועית ירוקה מוקפצת, תפו"א ובטטה, מוקפץ (טבעוני)</t>
        </is>
      </c>
      <c r="F21" s="53" t="n">
        <v>2</v>
      </c>
      <c r="G21" s="31" t="inlineStr">
        <is>
          <t>ניתאי שלום, שי- לי וולגמוט</t>
        </is>
      </c>
      <c r="H21" s="48" t="n"/>
      <c r="I21" s="48" t="inlineStr">
        <is>
          <t>הדלקת נרות</t>
        </is>
      </c>
      <c r="J21" s="21" t="n"/>
    </row>
    <row r="22" ht="30" customHeight="1">
      <c r="A22" s="53" t="inlineStr">
        <is>
          <t>תורנות שבת</t>
        </is>
      </c>
      <c r="B22" s="54" t="inlineStr">
        <is>
          <t>שישי</t>
        </is>
      </c>
      <c r="C22" s="55" t="n">
        <v>0.6423611111111112</v>
      </c>
      <c r="D22" s="48" t="inlineStr">
        <is>
          <t>גסטרונומים</t>
        </is>
      </c>
      <c r="E22" s="21" t="inlineStr">
        <is>
          <t>הכנסת הגסטרונומים של ארוחת הערב מהמקרר לתנור החימום: כרעיים בגריל, קוסקוס, לקט קוסקוס, פלאפל ממולא (טבעוני)
חיבור המיחמים בפינת הקפה</t>
        </is>
      </c>
      <c r="F22" s="53" t="n">
        <v>2</v>
      </c>
      <c r="G22" s="31" t="inlineStr">
        <is>
          <t>ניתאי שלום, שי- לי וולגמוט</t>
        </is>
      </c>
      <c r="H22" s="48" t="n"/>
      <c r="I22" s="48" t="inlineStr">
        <is>
          <t>הדלקת נרות</t>
        </is>
      </c>
      <c r="J22" s="21" t="n"/>
    </row>
    <row r="23" ht="30" customHeight="1">
      <c r="A23" s="53" t="inlineStr">
        <is>
          <t>תורנות שבת</t>
        </is>
      </c>
      <c r="B23" s="54" t="inlineStr">
        <is>
          <t>שישי</t>
        </is>
      </c>
      <c r="C23" s="55" t="n">
        <v>0.7916666666666666</v>
      </c>
      <c r="D23" s="48" t="inlineStr">
        <is>
          <t>גסטרונומים</t>
        </is>
      </c>
      <c r="E23" s="21" t="inlineStr">
        <is>
          <t>הוצאת הגסטרונומים של ארוחת הערב מתנור החימום לשולחן ההגשה</t>
        </is>
      </c>
      <c r="F23" s="53" t="n">
        <v>2</v>
      </c>
      <c r="G23" s="31" t="inlineStr">
        <is>
          <t>ניתאי שלום, שי- לי וולגמוט</t>
        </is>
      </c>
      <c r="H23" s="48" t="n"/>
      <c r="I23" s="48" t="inlineStr">
        <is>
          <t>סעודת שבת</t>
        </is>
      </c>
      <c r="J23" s="21" t="n"/>
    </row>
    <row r="24" ht="30" customHeight="1">
      <c r="A24" s="53" t="inlineStr">
        <is>
          <t>תורנות שבת</t>
        </is>
      </c>
      <c r="B24" s="57" t="inlineStr">
        <is>
          <t>שבת</t>
        </is>
      </c>
      <c r="C24" s="55" t="n">
        <v>0.4583333333333333</v>
      </c>
      <c r="D24" s="48" t="inlineStr">
        <is>
          <t>גסטרונומים</t>
        </is>
      </c>
      <c r="E24" s="21" t="inlineStr">
        <is>
          <t>הכנסת האוכל של ארוחת הצהריים לתנור החימום: כתף בקר בציר ירקות שורש, אורז לבן, שעועית ירוקה מוקפצת, תפו"א ובטטה, מוקפץ (טבעוני)</t>
        </is>
      </c>
      <c r="F24" s="53" t="n">
        <v>2</v>
      </c>
      <c r="G24" s="31" t="inlineStr">
        <is>
          <t>ניתאי שלום, שי- לי וולגמוט</t>
        </is>
      </c>
      <c r="H24" s="48" t="n"/>
      <c r="I24" s="48" t="inlineStr">
        <is>
          <t>קידוש</t>
        </is>
      </c>
      <c r="J24" s="21" t="n"/>
    </row>
    <row r="25" ht="30" customHeight="1">
      <c r="A25" s="53" t="inlineStr">
        <is>
          <t>תורנות שבת</t>
        </is>
      </c>
      <c r="B25" s="57" t="inlineStr">
        <is>
          <t>שבת</t>
        </is>
      </c>
      <c r="C25" s="55" t="n">
        <v>0.5520833333333334</v>
      </c>
      <c r="D25" s="48" t="inlineStr">
        <is>
          <t>גסטרונומים</t>
        </is>
      </c>
      <c r="E25" s="21" t="inlineStr">
        <is>
          <t>הוצאת הגסטרונומים של ארוחת הצהריים מתנור החימום לשולחן ההגשה</t>
        </is>
      </c>
      <c r="F25" s="53" t="n">
        <v>2</v>
      </c>
      <c r="G25" s="31" t="inlineStr">
        <is>
          <t>ניתאי שלום, שי- לי וולגמוט</t>
        </is>
      </c>
      <c r="H25" s="48" t="n"/>
      <c r="I25" s="48" t="inlineStr">
        <is>
          <t>ארוחת צהריים</t>
        </is>
      </c>
      <c r="J25" s="21" t="n"/>
    </row>
    <row r="26" ht="30" customHeight="1">
      <c r="A26" s="53" t="inlineStr">
        <is>
          <t>תורנות שבת</t>
        </is>
      </c>
      <c r="B26" s="54" t="inlineStr">
        <is>
          <t>שישי</t>
        </is>
      </c>
      <c r="C26" s="55" t="n">
        <v>0.7604166666666666</v>
      </c>
      <c r="D26" s="48" t="inlineStr">
        <is>
          <t>ארוחת ערב</t>
        </is>
      </c>
      <c r="E26" s="21" t="inlineStr">
        <is>
          <t>הכנת סלט כרוב מרענן, סלט טחינה ביתית</t>
        </is>
      </c>
      <c r="F26" s="53" t="n">
        <v>3</v>
      </c>
      <c r="G26" s="31" t="inlineStr">
        <is>
          <t>רוני כהן, יונתן לירז, יואב אוחנה</t>
        </is>
      </c>
      <c r="H26" s="48" t="inlineStr">
        <is>
          <t>סלט כרוב מרענן;סלט טחינה ביתית</t>
        </is>
      </c>
      <c r="I26" s="48" t="inlineStr">
        <is>
          <t>סעודת שבת</t>
        </is>
      </c>
      <c r="J26" s="21" t="n"/>
    </row>
    <row r="27" ht="60" customHeight="1">
      <c r="A27" s="53" t="inlineStr">
        <is>
          <t>תורנות שבת</t>
        </is>
      </c>
      <c r="B27" s="54" t="inlineStr">
        <is>
          <t>שישי</t>
        </is>
      </c>
      <c r="C27" s="55" t="n">
        <v>0.7708333333333334</v>
      </c>
      <c r="D27" s="48" t="inlineStr">
        <is>
          <t>ארוחת ערב</t>
        </is>
      </c>
      <c r="E27" s="21" t="inlineStr">
        <is>
          <t>עריכת השולחן:
סלטי קייטרינג: סלק מבושל, כרוב בתחמיץ, בטטה צ'ילי, ירקות מוחמצים, חומוס
חצי מהמטבוחה, חצי מהסלט חצילים וחצי מהחלות
צלחות וסכו"ם</t>
        </is>
      </c>
      <c r="F27" s="53" t="n">
        <v>4</v>
      </c>
      <c r="G27" s="31" t="inlineStr">
        <is>
          <t>יובל יצחק, רוני כהן, יונתן לירז, יואב אוחנה</t>
        </is>
      </c>
      <c r="H27" s="48" t="n"/>
      <c r="I27" s="48" t="inlineStr">
        <is>
          <t>סעודת שבת</t>
        </is>
      </c>
      <c r="J27" s="21" t="n"/>
    </row>
    <row r="28" ht="90" customHeight="1">
      <c r="A28" s="53" t="inlineStr">
        <is>
          <t>תורנות שבת</t>
        </is>
      </c>
      <c r="B28" s="54" t="inlineStr">
        <is>
          <t>שישי</t>
        </is>
      </c>
      <c r="C28" s="55" t="n">
        <v>0.8333333333333334</v>
      </c>
      <c r="D28" s="48" t="inlineStr">
        <is>
          <t>פינוי ארוחת ערב</t>
        </is>
      </c>
      <c r="E28" s="21" t="inlineStr">
        <is>
          <t>פינוי הארוחה:
האוכל שנשאר — למקרר
צלחות וסכו"ם
ניגוב השולחנות
ניקוי הפחים
טאטוא</t>
        </is>
      </c>
      <c r="F28" s="53" t="n">
        <v>7</v>
      </c>
      <c r="G28" s="31" t="inlineStr">
        <is>
          <t>משה אוברשטיין, כליל בלאוקופף, רותם דרור, של״ו רובינשטיין, ארבל פרנקו, נבו בלוך, אוריה תעשה</t>
        </is>
      </c>
      <c r="H28" s="48" t="n"/>
      <c r="I28" s="48" t="inlineStr">
        <is>
          <t>טיש</t>
        </is>
      </c>
      <c r="J28" s="21" t="n"/>
    </row>
    <row r="29" ht="30" customHeight="1">
      <c r="A29" s="53" t="inlineStr">
        <is>
          <t>תורנות שבת</t>
        </is>
      </c>
      <c r="B29" s="54" t="inlineStr">
        <is>
          <t>שישי</t>
        </is>
      </c>
      <c r="C29" s="55" t="n"/>
      <c r="D29" s="48" t="inlineStr">
        <is>
          <t>פינוי ארוחת ערב</t>
        </is>
      </c>
      <c r="E29" s="21" t="inlineStr">
        <is>
          <t>שטיפת הגסטרונומים בסיום הטיש</t>
        </is>
      </c>
      <c r="F29" s="53" t="n"/>
      <c r="G29" s="31" t="inlineStr">
        <is>
          <t>משה אוברשטיין, כליל בלאוקופף, רותם דרור, של״ו רובינשטיין, ארבל פרנקו, נבו בלוך, אוריה תעשה</t>
        </is>
      </c>
      <c r="H29" s="48" t="n"/>
      <c r="I29" s="48" t="inlineStr">
        <is>
          <t>טיש</t>
        </is>
      </c>
      <c r="J29" s="21" t="n"/>
    </row>
    <row r="30" ht="60" customHeight="1">
      <c r="A30" s="53" t="inlineStr">
        <is>
          <t>תורנות שבת</t>
        </is>
      </c>
      <c r="B30" s="54" t="inlineStr">
        <is>
          <t>שישי</t>
        </is>
      </c>
      <c r="C30" s="55" t="n">
        <v>0.8333333333333334</v>
      </c>
      <c r="D30" s="48" t="inlineStr">
        <is>
          <t>טיש</t>
        </is>
      </c>
      <c r="E30" s="21" t="inlineStr">
        <is>
          <t>חימום 3 פסי עוגת שוקולד, 3 פסי עוגת שמרים — הכל פרווה
חיתוך 10 תפוחים
סידור המרחב: שולחנות בקוביה במרכז, כיסאות במעגל מסביב
פריסת שולחן במרכז: העוגות, גרעינים, חצי מהענבים ו-10 התפוחים</t>
        </is>
      </c>
      <c r="F30" s="53" t="n">
        <v>3</v>
      </c>
      <c r="G30" s="31" t="inlineStr">
        <is>
          <t>עופר בביוף, טליה קור, תמר פרידמן</t>
        </is>
      </c>
      <c r="H30" s="48" t="n"/>
      <c r="I30" s="48" t="inlineStr">
        <is>
          <t>טיש</t>
        </is>
      </c>
      <c r="J30" s="21" t="n"/>
    </row>
    <row r="31" ht="30" customHeight="1">
      <c r="A31" s="53" t="inlineStr">
        <is>
          <t>תורנות שבת</t>
        </is>
      </c>
      <c r="B31" s="54" t="inlineStr">
        <is>
          <t>שישי</t>
        </is>
      </c>
      <c r="C31" s="55" t="n">
        <v>0.8958333333333334</v>
      </c>
      <c r="D31" s="48" t="inlineStr">
        <is>
          <t>טיש</t>
        </is>
      </c>
      <c r="E31" s="21" t="inlineStr">
        <is>
          <t>טאטוא חדר האוכל וניקוי השולחנות לפני ערב החברה</t>
        </is>
      </c>
      <c r="F31" s="53" t="n"/>
      <c r="G31" s="31" t="inlineStr">
        <is>
          <t>עופר בביוף, טליה קור, תמר פרידמן</t>
        </is>
      </c>
      <c r="H31" s="48" t="n"/>
      <c r="I31" s="48" t="inlineStr">
        <is>
          <t>ערב חברה</t>
        </is>
      </c>
      <c r="J31" s="21" t="n"/>
    </row>
    <row r="32" ht="75" customHeight="1">
      <c r="A32" s="53" t="inlineStr">
        <is>
          <t>תורנות שבת</t>
        </is>
      </c>
      <c r="B32" s="57" t="inlineStr">
        <is>
          <t>שבת</t>
        </is>
      </c>
      <c r="C32" s="55" t="n">
        <v>0.4375</v>
      </c>
      <c r="D32" s="48" t="inlineStr">
        <is>
          <t>קידוש</t>
        </is>
      </c>
      <c r="E32" s="21" t="inlineStr">
        <is>
          <t>סידור וניקיון פינת הקפה — להוציא חלב, למלא קפה וסוכר
חימום העוגות
הוצאת 5 פסי עוגת שוקולד, 5 פסי עוגת שמרים
הוצאת חלב, קורנפלקס וחצי מהענבים
טאטוא הרצפה, סידור כיסאות וארגון המרחב</t>
        </is>
      </c>
      <c r="F32" s="53" t="n">
        <v>3</v>
      </c>
      <c r="G32" s="31" t="inlineStr">
        <is>
          <t>פנחס אליהו גלוסקין, אריאלה מרכוס, ליעם גבע</t>
        </is>
      </c>
      <c r="H32" s="48" t="n"/>
      <c r="I32" s="48" t="inlineStr">
        <is>
          <t>קידוש</t>
        </is>
      </c>
      <c r="J32" s="21" t="n"/>
    </row>
    <row r="33" ht="60" customHeight="1">
      <c r="A33" s="53" t="inlineStr">
        <is>
          <t>תורנות שבת</t>
        </is>
      </c>
      <c r="B33" s="57" t="inlineStr">
        <is>
          <t>שבת</t>
        </is>
      </c>
      <c r="C33" s="55" t="n">
        <v>0.5208333333333334</v>
      </c>
      <c r="D33" s="48" t="inlineStr">
        <is>
          <t>ארוחת צהריים שבת</t>
        </is>
      </c>
      <c r="E33" s="21" t="inlineStr">
        <is>
          <t>עריכת השולחן:
הכנת סלט כרוב מרענן, סלט טחינה ביתית
הוצאת חצי מהמטבוחה, חצי מהסלט חצילים וחצי מהחלות
סלטי קייטרינג: סלק מבושל, כרוב בתחמיץ, בטטה צ'ילי, ירקות מוחמצים, חומוס</t>
        </is>
      </c>
      <c r="F33" s="53" t="n">
        <v>2</v>
      </c>
      <c r="G33" s="31" t="inlineStr">
        <is>
          <t>יותם ספיר, הלל פינגולד</t>
        </is>
      </c>
      <c r="H33" s="48" t="inlineStr">
        <is>
          <t>סלט כרוב מרענן;סלט טחינה ביתית</t>
        </is>
      </c>
      <c r="I33" s="48" t="inlineStr">
        <is>
          <t>ארוחת צהריים</t>
        </is>
      </c>
      <c r="J33" s="21" t="n"/>
    </row>
    <row r="34" ht="30" customHeight="1">
      <c r="A34" s="53" t="inlineStr">
        <is>
          <t>תורנות שבת</t>
        </is>
      </c>
      <c r="B34" s="57" t="inlineStr">
        <is>
          <t>שבת</t>
        </is>
      </c>
      <c r="C34" s="55" t="n">
        <v>0.5208333333333334</v>
      </c>
      <c r="D34" s="48" t="inlineStr">
        <is>
          <t>ארוחת צהריים שבת</t>
        </is>
      </c>
      <c r="E34" s="21" t="inlineStr">
        <is>
          <t>כפות הגשה, צלחות וסכו"ם
סידור שולחנות וכיסאות</t>
        </is>
      </c>
      <c r="F34" s="53" t="n">
        <v>2</v>
      </c>
      <c r="G34" s="31" t="inlineStr">
        <is>
          <t>ליבי בוכריס, ניצן גמלא</t>
        </is>
      </c>
      <c r="H34" s="48" t="n"/>
      <c r="I34" s="48" t="inlineStr">
        <is>
          <t>ארוחת צהריים</t>
        </is>
      </c>
      <c r="J34" s="21" t="n"/>
    </row>
    <row r="35" ht="90" customHeight="1">
      <c r="A35" s="53" t="inlineStr">
        <is>
          <t>תורנות שבת</t>
        </is>
      </c>
      <c r="B35" s="57" t="inlineStr">
        <is>
          <t>שבת</t>
        </is>
      </c>
      <c r="C35" s="55" t="n">
        <v>0.5833333333333334</v>
      </c>
      <c r="D35" s="48" t="inlineStr">
        <is>
          <t>פינוי ארוחת צהריים וסעודה שלישית</t>
        </is>
      </c>
      <c r="E35" s="21" t="inlineStr">
        <is>
          <t>פינוי השולחנות:
האוכל שנשאר — למקרר
צלחות וסכו"ם
ניקוי השולחנות
ניקוי הפחים
טאטוא</t>
        </is>
      </c>
      <c r="F35" s="53" t="n">
        <v>5</v>
      </c>
      <c r="G35" s="31" t="inlineStr">
        <is>
          <t>מעיין רחל דינר, נועם ישראל קומפאס, הילי אלפסי, הילה עזרא, נגה שוהם</t>
        </is>
      </c>
      <c r="H35" s="48" t="n"/>
      <c r="I35" s="48" t="inlineStr">
        <is>
          <t>ארוחת צהריים</t>
        </is>
      </c>
      <c r="J35" s="21" t="n"/>
    </row>
    <row r="36" ht="30" customHeight="1">
      <c r="A36" s="53" t="inlineStr">
        <is>
          <t>תורנות שבת</t>
        </is>
      </c>
      <c r="B36" s="57" t="inlineStr">
        <is>
          <t>שבת</t>
        </is>
      </c>
      <c r="C36" s="55" t="n"/>
      <c r="D36" s="48" t="inlineStr">
        <is>
          <t>פינוי ארוחת צהריים וסעודה שלישית</t>
        </is>
      </c>
      <c r="E36" s="21" t="inlineStr">
        <is>
          <t>שטיפת הגסטרונומים בסיום הארוחה</t>
        </is>
      </c>
      <c r="F36" s="53" t="n"/>
      <c r="G36" s="31" t="inlineStr">
        <is>
          <t>מעיין רחל דינר, נועם ישראל קומפאס, הילי אלפסי, הילה עזרא, נגה שוהם</t>
        </is>
      </c>
      <c r="H36" s="48" t="n"/>
      <c r="I36" s="48" t="inlineStr">
        <is>
          <t>ארוחת צהריים</t>
        </is>
      </c>
      <c r="J36" s="21" t="n"/>
    </row>
    <row r="37" ht="30" customHeight="1">
      <c r="A37" s="53" t="inlineStr">
        <is>
          <t>תורנות שבת</t>
        </is>
      </c>
      <c r="B37" s="57" t="inlineStr">
        <is>
          <t>שבת</t>
        </is>
      </c>
      <c r="C37" s="55" t="n">
        <v>0.6770833333333334</v>
      </c>
      <c r="D37" s="48" t="inlineStr">
        <is>
          <t>פינוי ארוחת צהריים וסעודה שלישית</t>
        </is>
      </c>
      <c r="E37" s="21" t="inlineStr">
        <is>
          <t>הוצאת 4 פסי עוגת שוקולד, 4 פסי עוגת שמרים לסעודה שלישית</t>
        </is>
      </c>
      <c r="F37" s="53" t="n">
        <v>2</v>
      </c>
      <c r="G37" s="31" t="inlineStr">
        <is>
          <t>מעיין רחל דינר, נועם ישראל קומפאס</t>
        </is>
      </c>
      <c r="H37" s="48" t="n"/>
      <c r="I37" s="48" t="inlineStr">
        <is>
          <t>סעודה שלישית</t>
        </is>
      </c>
      <c r="J37" s="21" t="n"/>
    </row>
    <row r="38" ht="45" customHeight="1">
      <c r="A38" s="53" t="inlineStr">
        <is>
          <t>תורנות מוצ"ש</t>
        </is>
      </c>
      <c r="B38" s="56" t="inlineStr">
        <is>
          <t>מוצאי שבת</t>
        </is>
      </c>
      <c r="C38" s="55" t="n"/>
      <c r="D38" s="48" t="inlineStr">
        <is>
          <t>ניקיון בית המדרש במוצ"ש</t>
        </is>
      </c>
      <c r="E38" s="21" t="inlineStr">
        <is>
          <t>להחזיר את בית המדרש לקדמותו — כמו לפני שבת:
השולחנות, הכסאות, המחיצה והסידורים
קיפול המיחמים, שטיפתם והחזרתם למקום</t>
        </is>
      </c>
      <c r="F38" s="53" t="n">
        <v>10</v>
      </c>
      <c r="G38" s="31" t="inlineStr">
        <is>
          <t>יונתן לירז, הדר עמדי, סהר שירון, רוני פרנקל, שחר מרקוביץ' גליק, תמר פרידמן, יובל יצחק, אחיה נחמני, חיים שמאי, יערה ריס</t>
        </is>
      </c>
      <c r="H38" s="48" t="n"/>
      <c r="I38" s="48" t="inlineStr">
        <is>
          <t>ניקיונות מוצ"ש</t>
        </is>
      </c>
      <c r="J38" s="21" t="n"/>
    </row>
    <row r="39" ht="18" customHeight="1">
      <c r="A39" s="53" t="n"/>
      <c r="B39" s="53" t="n"/>
      <c r="C39" s="55" t="n"/>
      <c r="D39" s="48" t="n"/>
      <c r="E39" s="21" t="n"/>
      <c r="F39" s="53" t="n"/>
      <c r="G39" s="31" t="n"/>
      <c r="H39" s="48" t="n"/>
      <c r="I39" s="48" t="n"/>
      <c r="J39" s="21" t="n"/>
    </row>
    <row r="40" ht="18" customHeight="1">
      <c r="A40" s="53" t="n"/>
      <c r="B40" s="53" t="n"/>
      <c r="C40" s="55" t="n"/>
      <c r="D40" s="48" t="n"/>
      <c r="E40" s="21" t="n"/>
      <c r="F40" s="53" t="n"/>
      <c r="G40" s="31" t="n"/>
      <c r="H40" s="48" t="n"/>
      <c r="I40" s="48" t="n"/>
      <c r="J40" s="21" t="n"/>
    </row>
    <row r="41" ht="18" customHeight="1">
      <c r="A41" s="53" t="n"/>
      <c r="B41" s="53" t="n"/>
      <c r="C41" s="55" t="n"/>
      <c r="D41" s="48" t="n"/>
      <c r="E41" s="21" t="n"/>
      <c r="F41" s="53" t="n"/>
      <c r="G41" s="31" t="n"/>
      <c r="H41" s="48" t="n"/>
      <c r="I41" s="48" t="n"/>
      <c r="J41" s="21" t="n"/>
    </row>
    <row r="42" ht="18" customHeight="1">
      <c r="A42" s="53" t="n"/>
      <c r="B42" s="53" t="n"/>
      <c r="C42" s="55" t="n"/>
      <c r="D42" s="48" t="n"/>
      <c r="E42" s="21" t="n"/>
      <c r="F42" s="53" t="n"/>
      <c r="G42" s="31" t="n"/>
      <c r="H42" s="48" t="n"/>
      <c r="I42" s="48" t="n"/>
      <c r="J42" s="21" t="n"/>
    </row>
    <row r="43" ht="18" customHeight="1">
      <c r="A43" s="53" t="n"/>
      <c r="B43" s="53" t="n"/>
      <c r="C43" s="55" t="n"/>
      <c r="D43" s="48" t="n"/>
      <c r="E43" s="21" t="n"/>
      <c r="F43" s="53" t="n"/>
      <c r="G43" s="31" t="n"/>
      <c r="H43" s="48" t="n"/>
      <c r="I43" s="48" t="n"/>
      <c r="J43" s="21" t="n"/>
    </row>
    <row r="44" ht="18" customHeight="1">
      <c r="A44" s="53" t="n"/>
      <c r="B44" s="53" t="n"/>
      <c r="C44" s="55" t="n"/>
      <c r="D44" s="48" t="n"/>
      <c r="E44" s="21" t="n"/>
      <c r="F44" s="53" t="n"/>
      <c r="G44" s="31" t="n"/>
      <c r="H44" s="48" t="n"/>
      <c r="I44" s="48" t="n"/>
      <c r="J44" s="21" t="n"/>
    </row>
    <row r="45" ht="18" customHeight="1">
      <c r="A45" s="53" t="n"/>
      <c r="B45" s="53" t="n"/>
      <c r="C45" s="55" t="n"/>
      <c r="D45" s="48" t="n"/>
      <c r="E45" s="21" t="n"/>
      <c r="F45" s="53" t="n"/>
      <c r="G45" s="31" t="n"/>
      <c r="H45" s="48" t="n"/>
      <c r="I45" s="48" t="n"/>
      <c r="J45" s="21" t="n"/>
    </row>
    <row r="46" ht="18" customHeight="1">
      <c r="A46" s="53" t="n"/>
      <c r="B46" s="53" t="n"/>
      <c r="C46" s="55" t="n"/>
      <c r="D46" s="48" t="n"/>
      <c r="E46" s="21" t="n"/>
      <c r="F46" s="53" t="n"/>
      <c r="G46" s="31" t="n"/>
      <c r="H46" s="48" t="n"/>
      <c r="I46" s="48" t="n"/>
      <c r="J46" s="21" t="n"/>
    </row>
    <row r="47" ht="18" customHeight="1">
      <c r="A47" s="53" t="n"/>
      <c r="B47" s="53" t="n"/>
      <c r="C47" s="55" t="n"/>
      <c r="D47" s="48" t="n"/>
      <c r="E47" s="21" t="n"/>
      <c r="F47" s="53" t="n"/>
      <c r="G47" s="31" t="n"/>
      <c r="H47" s="48" t="n"/>
      <c r="I47" s="48" t="n"/>
      <c r="J47" s="21" t="n"/>
    </row>
    <row r="48" ht="18" customHeight="1">
      <c r="A48" s="53" t="n"/>
      <c r="B48" s="53" t="n"/>
      <c r="C48" s="55" t="n"/>
      <c r="D48" s="48" t="n"/>
      <c r="E48" s="21" t="n"/>
      <c r="F48" s="53" t="n"/>
      <c r="G48" s="31" t="n"/>
      <c r="H48" s="48" t="n"/>
      <c r="I48" s="48" t="n"/>
      <c r="J48" s="21" t="n"/>
    </row>
    <row r="49" ht="18" customHeight="1">
      <c r="A49" s="53" t="n"/>
      <c r="B49" s="53" t="n"/>
      <c r="C49" s="55" t="n"/>
      <c r="D49" s="48" t="n"/>
      <c r="E49" s="21" t="n"/>
      <c r="F49" s="53" t="n"/>
      <c r="G49" s="31" t="n"/>
      <c r="H49" s="48" t="n"/>
      <c r="I49" s="48" t="n"/>
      <c r="J49" s="21" t="n"/>
    </row>
    <row r="50" ht="18" customHeight="1">
      <c r="A50" s="53" t="n"/>
      <c r="B50" s="53" t="n"/>
      <c r="C50" s="55" t="n"/>
      <c r="D50" s="48" t="n"/>
      <c r="E50" s="21" t="n"/>
      <c r="F50" s="53" t="n"/>
      <c r="G50" s="31" t="n"/>
      <c r="H50" s="48" t="n"/>
      <c r="I50" s="48" t="n"/>
      <c r="J50" s="21" t="n"/>
    </row>
    <row r="51" ht="18" customHeight="1">
      <c r="A51" s="53" t="n"/>
      <c r="B51" s="53" t="n"/>
      <c r="C51" s="55" t="n"/>
      <c r="D51" s="48" t="n"/>
      <c r="E51" s="21" t="n"/>
      <c r="F51" s="53" t="n"/>
      <c r="G51" s="31" t="n"/>
      <c r="H51" s="48" t="n"/>
      <c r="I51" s="48" t="n"/>
      <c r="J51" s="21" t="n"/>
    </row>
    <row r="52" ht="18" customHeight="1">
      <c r="A52" s="53" t="n"/>
      <c r="B52" s="53" t="n"/>
      <c r="C52" s="55" t="n"/>
      <c r="D52" s="48" t="n"/>
      <c r="E52" s="21" t="n"/>
      <c r="F52" s="53" t="n"/>
      <c r="G52" s="31" t="n"/>
      <c r="H52" s="48" t="n"/>
      <c r="I52" s="48" t="n"/>
      <c r="J52" s="21" t="n"/>
    </row>
    <row r="53" ht="18" customHeight="1">
      <c r="A53" s="53" t="n"/>
      <c r="B53" s="53" t="n"/>
      <c r="C53" s="55" t="n"/>
      <c r="D53" s="48" t="n"/>
      <c r="E53" s="21" t="n"/>
      <c r="F53" s="53" t="n"/>
      <c r="G53" s="31" t="n"/>
      <c r="H53" s="48" t="n"/>
      <c r="I53" s="48" t="n"/>
      <c r="J53" s="21" t="n"/>
    </row>
    <row r="54" ht="18" customHeight="1">
      <c r="A54" s="53" t="n"/>
      <c r="B54" s="53" t="n"/>
      <c r="C54" s="55" t="n"/>
      <c r="D54" s="48" t="n"/>
      <c r="E54" s="21" t="n"/>
      <c r="F54" s="53" t="n"/>
      <c r="G54" s="31" t="n"/>
      <c r="H54" s="48" t="n"/>
      <c r="I54" s="48" t="n"/>
      <c r="J54" s="21" t="n"/>
    </row>
    <row r="55" ht="18" customHeight="1">
      <c r="A55" s="53" t="n"/>
      <c r="B55" s="53" t="n"/>
      <c r="C55" s="55" t="n"/>
      <c r="D55" s="48" t="n"/>
      <c r="E55" s="21" t="n"/>
      <c r="F55" s="53" t="n"/>
      <c r="G55" s="31" t="n"/>
      <c r="H55" s="48" t="n"/>
      <c r="I55" s="48" t="n"/>
      <c r="J55" s="21" t="n"/>
    </row>
    <row r="56" ht="18" customHeight="1">
      <c r="A56" s="53" t="n"/>
      <c r="B56" s="53" t="n"/>
      <c r="C56" s="55" t="n"/>
      <c r="D56" s="48" t="n"/>
      <c r="E56" s="21" t="n"/>
      <c r="F56" s="53" t="n"/>
      <c r="G56" s="31" t="n"/>
      <c r="H56" s="48" t="n"/>
      <c r="I56" s="48" t="n"/>
      <c r="J56" s="21" t="n"/>
    </row>
    <row r="57" ht="18" customHeight="1">
      <c r="A57" s="53" t="n"/>
      <c r="B57" s="53" t="n"/>
      <c r="C57" s="55" t="n"/>
      <c r="D57" s="48" t="n"/>
      <c r="E57" s="21" t="n"/>
      <c r="F57" s="53" t="n"/>
      <c r="G57" s="31" t="n"/>
      <c r="H57" s="48" t="n"/>
      <c r="I57" s="48" t="n"/>
      <c r="J57" s="21" t="n"/>
    </row>
    <row r="58" ht="18" customHeight="1">
      <c r="A58" s="53" t="n"/>
      <c r="B58" s="53" t="n"/>
      <c r="C58" s="55" t="n"/>
      <c r="D58" s="48" t="n"/>
      <c r="E58" s="21" t="n"/>
      <c r="F58" s="53" t="n"/>
      <c r="G58" s="31" t="n"/>
      <c r="H58" s="48" t="n"/>
      <c r="I58" s="48" t="n"/>
      <c r="J58" s="21" t="n"/>
    </row>
    <row r="59" ht="18" customHeight="1">
      <c r="A59" s="53" t="n"/>
      <c r="B59" s="53" t="n"/>
      <c r="C59" s="55" t="n"/>
      <c r="D59" s="48" t="n"/>
      <c r="E59" s="21" t="n"/>
      <c r="F59" s="53" t="n"/>
      <c r="G59" s="31" t="n"/>
      <c r="H59" s="48" t="n"/>
      <c r="I59" s="48" t="n"/>
      <c r="J59" s="21" t="n"/>
    </row>
    <row r="60" ht="18" customHeight="1">
      <c r="A60" s="53" t="n"/>
      <c r="B60" s="53" t="n"/>
      <c r="C60" s="55" t="n"/>
      <c r="D60" s="48" t="n"/>
      <c r="E60" s="21" t="n"/>
      <c r="F60" s="53" t="n"/>
      <c r="G60" s="31" t="n"/>
      <c r="H60" s="48" t="n"/>
      <c r="I60" s="48" t="n"/>
      <c r="J60" s="21" t="n"/>
    </row>
    <row r="61" ht="18" customHeight="1">
      <c r="A61" s="53" t="n"/>
      <c r="B61" s="53" t="n"/>
      <c r="C61" s="55" t="n"/>
      <c r="D61" s="48" t="n"/>
      <c r="E61" s="21" t="n"/>
      <c r="F61" s="53" t="n"/>
      <c r="G61" s="31" t="n"/>
      <c r="H61" s="48" t="n"/>
      <c r="I61" s="48" t="n"/>
      <c r="J61" s="21" t="n"/>
    </row>
    <row r="62" ht="18" customHeight="1">
      <c r="A62" s="53" t="n"/>
      <c r="B62" s="53" t="n"/>
      <c r="C62" s="55" t="n"/>
      <c r="D62" s="48" t="n"/>
      <c r="E62" s="21" t="n"/>
      <c r="F62" s="53" t="n"/>
      <c r="G62" s="31" t="n"/>
      <c r="H62" s="48" t="n"/>
      <c r="I62" s="48" t="n"/>
      <c r="J62" s="21" t="n"/>
    </row>
    <row r="63" ht="18" customHeight="1">
      <c r="A63" s="53" t="n"/>
      <c r="B63" s="53" t="n"/>
      <c r="C63" s="55" t="n"/>
      <c r="D63" s="48" t="n"/>
      <c r="E63" s="21" t="n"/>
      <c r="F63" s="53" t="n"/>
      <c r="G63" s="31" t="n"/>
      <c r="H63" s="48" t="n"/>
      <c r="I63" s="48" t="n"/>
      <c r="J63" s="21" t="n"/>
    </row>
    <row r="64" ht="18" customHeight="1">
      <c r="A64" s="53" t="n"/>
      <c r="B64" s="53" t="n"/>
      <c r="C64" s="55" t="n"/>
      <c r="D64" s="48" t="n"/>
      <c r="E64" s="21" t="n"/>
      <c r="F64" s="53" t="n"/>
      <c r="G64" s="31" t="n"/>
      <c r="H64" s="48" t="n"/>
      <c r="I64" s="48" t="n"/>
      <c r="J64" s="21" t="n"/>
    </row>
    <row r="65" ht="18" customHeight="1">
      <c r="A65" s="53" t="n"/>
      <c r="B65" s="53" t="n"/>
      <c r="C65" s="55" t="n"/>
      <c r="D65" s="48" t="n"/>
      <c r="E65" s="21" t="n"/>
      <c r="F65" s="53" t="n"/>
      <c r="G65" s="31" t="n"/>
      <c r="H65" s="48" t="n"/>
      <c r="I65" s="48" t="n"/>
      <c r="J65" s="21" t="n"/>
    </row>
    <row r="66" ht="18" customHeight="1">
      <c r="A66" s="53" t="n"/>
      <c r="B66" s="53" t="n"/>
      <c r="C66" s="55" t="n"/>
      <c r="D66" s="48" t="n"/>
      <c r="E66" s="21" t="n"/>
      <c r="F66" s="53" t="n"/>
      <c r="G66" s="31" t="n"/>
      <c r="H66" s="48" t="n"/>
      <c r="I66" s="48" t="n"/>
      <c r="J66" s="21" t="n"/>
    </row>
    <row r="67" ht="18" customHeight="1">
      <c r="A67" s="53" t="n"/>
      <c r="B67" s="53" t="n"/>
      <c r="C67" s="55" t="n"/>
      <c r="D67" s="48" t="n"/>
      <c r="E67" s="21" t="n"/>
      <c r="F67" s="53" t="n"/>
      <c r="G67" s="31" t="n"/>
      <c r="H67" s="48" t="n"/>
      <c r="I67" s="48" t="n"/>
      <c r="J67" s="21" t="n"/>
    </row>
    <row r="68" ht="18" customHeight="1">
      <c r="A68" s="53" t="n"/>
      <c r="B68" s="53" t="n"/>
      <c r="C68" s="55" t="n"/>
      <c r="D68" s="48" t="n"/>
      <c r="E68" s="21" t="n"/>
      <c r="F68" s="53" t="n"/>
      <c r="G68" s="31" t="n"/>
      <c r="H68" s="48" t="n"/>
      <c r="I68" s="48" t="n"/>
      <c r="J68" s="21" t="n"/>
    </row>
    <row r="69" ht="18" customHeight="1">
      <c r="A69" s="53" t="n"/>
      <c r="B69" s="53" t="n"/>
      <c r="C69" s="55" t="n"/>
      <c r="D69" s="48" t="n"/>
      <c r="E69" s="21" t="n"/>
      <c r="F69" s="53" t="n"/>
      <c r="G69" s="31" t="n"/>
      <c r="H69" s="48" t="n"/>
      <c r="I69" s="48" t="n"/>
      <c r="J69" s="21" t="n"/>
    </row>
    <row r="70" ht="18" customHeight="1">
      <c r="A70" s="53" t="n"/>
      <c r="B70" s="53" t="n"/>
      <c r="C70" s="55" t="n"/>
      <c r="D70" s="48" t="n"/>
      <c r="E70" s="21" t="n"/>
      <c r="F70" s="53" t="n"/>
      <c r="G70" s="31" t="n"/>
      <c r="H70" s="48" t="n"/>
      <c r="I70" s="48" t="n"/>
      <c r="J70" s="21" t="n"/>
    </row>
    <row r="71" ht="18" customHeight="1">
      <c r="A71" s="53" t="n"/>
      <c r="B71" s="53" t="n"/>
      <c r="C71" s="55" t="n"/>
      <c r="D71" s="48" t="n"/>
      <c r="E71" s="21" t="n"/>
      <c r="F71" s="53" t="n"/>
      <c r="G71" s="31" t="n"/>
      <c r="H71" s="48" t="n"/>
      <c r="I71" s="48" t="n"/>
      <c r="J71" s="21" t="n"/>
    </row>
    <row r="72" ht="18" customHeight="1">
      <c r="A72" s="53" t="n"/>
      <c r="B72" s="53" t="n"/>
      <c r="C72" s="55" t="n"/>
      <c r="D72" s="48" t="n"/>
      <c r="E72" s="21" t="n"/>
      <c r="F72" s="53" t="n"/>
      <c r="G72" s="31" t="n"/>
      <c r="H72" s="48" t="n"/>
      <c r="I72" s="48" t="n"/>
      <c r="J72" s="21" t="n"/>
    </row>
    <row r="73" ht="18" customHeight="1">
      <c r="A73" s="53" t="n"/>
      <c r="B73" s="53" t="n"/>
      <c r="C73" s="55" t="n"/>
      <c r="D73" s="48" t="n"/>
      <c r="E73" s="21" t="n"/>
      <c r="F73" s="53" t="n"/>
      <c r="G73" s="31" t="n"/>
      <c r="H73" s="48" t="n"/>
      <c r="I73" s="48" t="n"/>
      <c r="J73" s="21" t="n"/>
    </row>
    <row r="74" ht="18" customHeight="1">
      <c r="A74" s="53" t="n"/>
      <c r="B74" s="53" t="n"/>
      <c r="C74" s="55" t="n"/>
      <c r="D74" s="48" t="n"/>
      <c r="E74" s="21" t="n"/>
      <c r="F74" s="53" t="n"/>
      <c r="G74" s="31" t="n"/>
      <c r="H74" s="48" t="n"/>
      <c r="I74" s="48" t="n"/>
      <c r="J74" s="21" t="n"/>
    </row>
    <row r="75" ht="18" customHeight="1">
      <c r="A75" s="53" t="n"/>
      <c r="B75" s="53" t="n"/>
      <c r="C75" s="55" t="n"/>
      <c r="D75" s="48" t="n"/>
      <c r="E75" s="21" t="n"/>
      <c r="F75" s="53" t="n"/>
      <c r="G75" s="31" t="n"/>
      <c r="H75" s="48" t="n"/>
      <c r="I75" s="48" t="n"/>
      <c r="J75" s="21" t="n"/>
    </row>
    <row r="76" ht="18" customHeight="1">
      <c r="A76" s="53" t="n"/>
      <c r="B76" s="53" t="n"/>
      <c r="C76" s="55" t="n"/>
      <c r="D76" s="48" t="n"/>
      <c r="E76" s="21" t="n"/>
      <c r="F76" s="53" t="n"/>
      <c r="G76" s="31" t="n"/>
      <c r="H76" s="48" t="n"/>
      <c r="I76" s="48" t="n"/>
      <c r="J76" s="21" t="n"/>
    </row>
    <row r="77" ht="18" customHeight="1">
      <c r="A77" s="53" t="n"/>
      <c r="B77" s="53" t="n"/>
      <c r="C77" s="55" t="n"/>
      <c r="D77" s="48" t="n"/>
      <c r="E77" s="21" t="n"/>
      <c r="F77" s="53" t="n"/>
      <c r="G77" s="31" t="n"/>
      <c r="H77" s="48" t="n"/>
      <c r="I77" s="48" t="n"/>
      <c r="J77" s="21" t="n"/>
    </row>
    <row r="78" ht="18" customHeight="1">
      <c r="A78" s="53" t="n"/>
      <c r="B78" s="53" t="n"/>
      <c r="C78" s="55" t="n"/>
      <c r="D78" s="48" t="n"/>
      <c r="E78" s="21" t="n"/>
      <c r="F78" s="53" t="n"/>
      <c r="G78" s="31" t="n"/>
      <c r="H78" s="48" t="n"/>
      <c r="I78" s="48" t="n"/>
      <c r="J78" s="21" t="n"/>
    </row>
    <row r="79" ht="18" customHeight="1">
      <c r="A79" s="53" t="n"/>
      <c r="B79" s="53" t="n"/>
      <c r="C79" s="55" t="n"/>
      <c r="D79" s="48" t="n"/>
      <c r="E79" s="21" t="n"/>
      <c r="F79" s="53" t="n"/>
      <c r="G79" s="31" t="n"/>
      <c r="H79" s="48" t="n"/>
      <c r="I79" s="48" t="n"/>
      <c r="J79" s="21" t="n"/>
    </row>
    <row r="80" ht="18" customHeight="1">
      <c r="A80" s="53" t="n"/>
      <c r="B80" s="53" t="n"/>
      <c r="C80" s="55" t="n"/>
      <c r="D80" s="48" t="n"/>
      <c r="E80" s="21" t="n"/>
      <c r="F80" s="53" t="n"/>
      <c r="G80" s="31" t="n"/>
      <c r="H80" s="48" t="n"/>
      <c r="I80" s="48" t="n"/>
      <c r="J80" s="21" t="n"/>
    </row>
    <row r="81" ht="18" customHeight="1">
      <c r="A81" s="53" t="n"/>
      <c r="B81" s="53" t="n"/>
      <c r="C81" s="55" t="n"/>
      <c r="D81" s="48" t="n"/>
      <c r="E81" s="21" t="n"/>
      <c r="F81" s="53" t="n"/>
      <c r="G81" s="31" t="n"/>
      <c r="H81" s="48" t="n"/>
      <c r="I81" s="48" t="n"/>
      <c r="J81" s="21" t="n"/>
    </row>
    <row r="82" ht="18" customHeight="1">
      <c r="A82" s="53" t="n"/>
      <c r="B82" s="53" t="n"/>
      <c r="C82" s="55" t="n"/>
      <c r="D82" s="48" t="n"/>
      <c r="E82" s="21" t="n"/>
      <c r="F82" s="53" t="n"/>
      <c r="G82" s="31" t="n"/>
      <c r="H82" s="48" t="n"/>
      <c r="I82" s="48" t="n"/>
      <c r="J82" s="21" t="n"/>
    </row>
    <row r="83" ht="18" customHeight="1">
      <c r="A83" s="53" t="n"/>
      <c r="B83" s="53" t="n"/>
      <c r="C83" s="55" t="n"/>
      <c r="D83" s="48" t="n"/>
      <c r="E83" s="21" t="n"/>
      <c r="F83" s="53" t="n"/>
      <c r="G83" s="31" t="n"/>
      <c r="H83" s="48" t="n"/>
      <c r="I83" s="48" t="n"/>
      <c r="J83" s="21" t="n"/>
    </row>
    <row r="84" ht="18" customHeight="1">
      <c r="A84" s="53" t="n"/>
      <c r="B84" s="53" t="n"/>
      <c r="C84" s="55" t="n"/>
      <c r="D84" s="48" t="n"/>
      <c r="E84" s="21" t="n"/>
      <c r="F84" s="53" t="n"/>
      <c r="G84" s="31" t="n"/>
      <c r="H84" s="48" t="n"/>
      <c r="I84" s="48" t="n"/>
      <c r="J84" s="21" t="n"/>
    </row>
    <row r="85" ht="18" customHeight="1">
      <c r="A85" s="53" t="n"/>
      <c r="B85" s="53" t="n"/>
      <c r="C85" s="55" t="n"/>
      <c r="D85" s="48" t="n"/>
      <c r="E85" s="21" t="n"/>
      <c r="F85" s="53" t="n"/>
      <c r="G85" s="31" t="n"/>
      <c r="H85" s="48" t="n"/>
      <c r="I85" s="48" t="n"/>
      <c r="J85" s="21" t="n"/>
    </row>
    <row r="86" ht="18" customHeight="1">
      <c r="A86" s="53" t="n"/>
      <c r="B86" s="53" t="n"/>
      <c r="C86" s="55" t="n"/>
      <c r="D86" s="48" t="n"/>
      <c r="E86" s="21" t="n"/>
      <c r="F86" s="53" t="n"/>
      <c r="G86" s="31" t="n"/>
      <c r="H86" s="48" t="n"/>
      <c r="I86" s="48" t="n"/>
      <c r="J86" s="21" t="n"/>
    </row>
    <row r="87" ht="18" customHeight="1">
      <c r="A87" s="53" t="n"/>
      <c r="B87" s="53" t="n"/>
      <c r="C87" s="55" t="n"/>
      <c r="D87" s="48" t="n"/>
      <c r="E87" s="21" t="n"/>
      <c r="F87" s="53" t="n"/>
      <c r="G87" s="31" t="n"/>
      <c r="H87" s="48" t="n"/>
      <c r="I87" s="48" t="n"/>
      <c r="J87" s="21" t="n"/>
    </row>
    <row r="88" ht="18" customHeight="1">
      <c r="A88" s="53" t="n"/>
      <c r="B88" s="53" t="n"/>
      <c r="C88" s="55" t="n"/>
      <c r="D88" s="48" t="n"/>
      <c r="E88" s="21" t="n"/>
      <c r="F88" s="53" t="n"/>
      <c r="G88" s="31" t="n"/>
      <c r="H88" s="48" t="n"/>
      <c r="I88" s="48" t="n"/>
      <c r="J88" s="21" t="n"/>
    </row>
    <row r="89" ht="18" customHeight="1">
      <c r="A89" s="53" t="n"/>
      <c r="B89" s="53" t="n"/>
      <c r="C89" s="55" t="n"/>
      <c r="D89" s="48" t="n"/>
      <c r="E89" s="21" t="n"/>
      <c r="F89" s="53" t="n"/>
      <c r="G89" s="31" t="n"/>
      <c r="H89" s="48" t="n"/>
      <c r="I89" s="48" t="n"/>
      <c r="J89" s="21" t="n"/>
    </row>
    <row r="90" ht="18" customHeight="1">
      <c r="A90" s="53" t="n"/>
      <c r="B90" s="53" t="n"/>
      <c r="C90" s="55" t="n"/>
      <c r="D90" s="48" t="n"/>
      <c r="E90" s="21" t="n"/>
      <c r="F90" s="53" t="n"/>
      <c r="G90" s="31" t="n"/>
      <c r="H90" s="48" t="n"/>
      <c r="I90" s="48" t="n"/>
      <c r="J90" s="21" t="n"/>
    </row>
    <row r="91" ht="18" customHeight="1">
      <c r="A91" s="53" t="n"/>
      <c r="B91" s="53" t="n"/>
      <c r="C91" s="55" t="n"/>
      <c r="D91" s="48" t="n"/>
      <c r="E91" s="21" t="n"/>
      <c r="F91" s="53" t="n"/>
      <c r="G91" s="31" t="n"/>
      <c r="H91" s="48" t="n"/>
      <c r="I91" s="48" t="n"/>
      <c r="J91" s="21" t="n"/>
    </row>
    <row r="92" ht="18" customHeight="1">
      <c r="A92" s="53" t="n"/>
      <c r="B92" s="53" t="n"/>
      <c r="C92" s="55" t="n"/>
      <c r="D92" s="48" t="n"/>
      <c r="E92" s="21" t="n"/>
      <c r="F92" s="53" t="n"/>
      <c r="G92" s="31" t="n"/>
      <c r="H92" s="48" t="n"/>
      <c r="I92" s="48" t="n"/>
      <c r="J92" s="21" t="n"/>
    </row>
    <row r="93" ht="18" customHeight="1">
      <c r="A93" s="53" t="n"/>
      <c r="B93" s="53" t="n"/>
      <c r="C93" s="55" t="n"/>
      <c r="D93" s="48" t="n"/>
      <c r="E93" s="21" t="n"/>
      <c r="F93" s="53" t="n"/>
      <c r="G93" s="31" t="n"/>
      <c r="H93" s="48" t="n"/>
      <c r="I93" s="48" t="n"/>
      <c r="J93" s="21" t="n"/>
    </row>
    <row r="94" ht="18" customHeight="1">
      <c r="A94" s="53" t="n"/>
      <c r="B94" s="53" t="n"/>
      <c r="C94" s="55" t="n"/>
      <c r="D94" s="48" t="n"/>
      <c r="E94" s="21" t="n"/>
      <c r="F94" s="53" t="n"/>
      <c r="G94" s="31" t="n"/>
      <c r="H94" s="48" t="n"/>
      <c r="I94" s="48" t="n"/>
      <c r="J94" s="21" t="n"/>
    </row>
    <row r="95" ht="18" customHeight="1">
      <c r="A95" s="53" t="n"/>
      <c r="B95" s="53" t="n"/>
      <c r="C95" s="55" t="n"/>
      <c r="D95" s="48" t="n"/>
      <c r="E95" s="21" t="n"/>
      <c r="F95" s="53" t="n"/>
      <c r="G95" s="31" t="n"/>
      <c r="H95" s="48" t="n"/>
      <c r="I95" s="48" t="n"/>
      <c r="J95" s="21" t="n"/>
    </row>
    <row r="96" ht="18" customHeight="1">
      <c r="A96" s="53" t="n"/>
      <c r="B96" s="53" t="n"/>
      <c r="C96" s="55" t="n"/>
      <c r="D96" s="48" t="n"/>
      <c r="E96" s="21" t="n"/>
      <c r="F96" s="53" t="n"/>
      <c r="G96" s="31" t="n"/>
      <c r="H96" s="48" t="n"/>
      <c r="I96" s="48" t="n"/>
      <c r="J96" s="21" t="n"/>
    </row>
    <row r="97" ht="18" customHeight="1">
      <c r="A97" s="53" t="n"/>
      <c r="B97" s="53" t="n"/>
      <c r="C97" s="55" t="n"/>
      <c r="D97" s="48" t="n"/>
      <c r="E97" s="21" t="n"/>
      <c r="F97" s="53" t="n"/>
      <c r="G97" s="31" t="n"/>
      <c r="H97" s="48" t="n"/>
      <c r="I97" s="48" t="n"/>
      <c r="J97" s="21" t="n"/>
    </row>
    <row r="98" ht="18" customHeight="1">
      <c r="A98" s="53" t="n"/>
      <c r="B98" s="53" t="n"/>
      <c r="C98" s="55" t="n"/>
      <c r="D98" s="48" t="n"/>
      <c r="E98" s="21" t="n"/>
      <c r="F98" s="53" t="n"/>
      <c r="G98" s="31" t="n"/>
      <c r="H98" s="48" t="n"/>
      <c r="I98" s="48" t="n"/>
      <c r="J98" s="21" t="n"/>
    </row>
    <row r="99" ht="18" customHeight="1">
      <c r="A99" s="53" t="n"/>
      <c r="B99" s="53" t="n"/>
      <c r="C99" s="55" t="n"/>
      <c r="D99" s="48" t="n"/>
      <c r="E99" s="21" t="n"/>
      <c r="F99" s="53" t="n"/>
      <c r="G99" s="31" t="n"/>
      <c r="H99" s="48" t="n"/>
      <c r="I99" s="48" t="n"/>
      <c r="J99" s="21" t="n"/>
    </row>
    <row r="100" ht="18" customHeight="1">
      <c r="A100" s="53" t="n"/>
      <c r="B100" s="53" t="n"/>
      <c r="C100" s="55" t="n"/>
      <c r="D100" s="48" t="n"/>
      <c r="E100" s="21" t="n"/>
      <c r="F100" s="53" t="n"/>
      <c r="G100" s="31" t="n"/>
      <c r="H100" s="48" t="n"/>
      <c r="I100" s="48" t="n"/>
      <c r="J100" s="21" t="n"/>
    </row>
    <row r="101" ht="18" customHeight="1">
      <c r="A101" s="53" t="n"/>
      <c r="B101" s="53" t="n"/>
      <c r="C101" s="55" t="n"/>
      <c r="D101" s="48" t="n"/>
      <c r="E101" s="21" t="n"/>
      <c r="F101" s="53" t="n"/>
      <c r="G101" s="31" t="n"/>
      <c r="H101" s="48" t="n"/>
      <c r="I101" s="48" t="n"/>
      <c r="J101" s="21" t="n"/>
    </row>
    <row r="102" ht="18" customHeight="1">
      <c r="A102" s="53" t="n"/>
      <c r="B102" s="53" t="n"/>
      <c r="C102" s="55" t="n"/>
      <c r="D102" s="48" t="n"/>
      <c r="E102" s="21" t="n"/>
      <c r="F102" s="53" t="n"/>
      <c r="G102" s="31" t="n"/>
      <c r="H102" s="48" t="n"/>
      <c r="I102" s="48" t="n"/>
      <c r="J102" s="21" t="n"/>
    </row>
    <row r="103" ht="18" customHeight="1">
      <c r="A103" s="53" t="n"/>
      <c r="B103" s="53" t="n"/>
      <c r="C103" s="55" t="n"/>
      <c r="D103" s="48" t="n"/>
      <c r="E103" s="21" t="n"/>
      <c r="F103" s="53" t="n"/>
      <c r="G103" s="31" t="n"/>
      <c r="H103" s="48" t="n"/>
      <c r="I103" s="48" t="n"/>
      <c r="J103" s="21" t="n"/>
    </row>
    <row r="104" ht="18" customHeight="1">
      <c r="A104" s="53" t="n"/>
      <c r="B104" s="53" t="n"/>
      <c r="C104" s="55" t="n"/>
      <c r="D104" s="48" t="n"/>
      <c r="E104" s="21" t="n"/>
      <c r="F104" s="53" t="n"/>
      <c r="G104" s="31" t="n"/>
      <c r="H104" s="48" t="n"/>
      <c r="I104" s="48" t="n"/>
      <c r="J104" s="21" t="n"/>
    </row>
    <row r="105" ht="18" customHeight="1">
      <c r="A105" s="53" t="n"/>
      <c r="B105" s="53" t="n"/>
      <c r="C105" s="55" t="n"/>
      <c r="D105" s="48" t="n"/>
      <c r="E105" s="21" t="n"/>
      <c r="F105" s="53" t="n"/>
      <c r="G105" s="31" t="n"/>
      <c r="H105" s="48" t="n"/>
      <c r="I105" s="48" t="n"/>
      <c r="J105" s="21" t="n"/>
    </row>
    <row r="106" ht="18" customHeight="1">
      <c r="A106" s="53" t="n"/>
      <c r="B106" s="53" t="n"/>
      <c r="C106" s="55" t="n"/>
      <c r="D106" s="48" t="n"/>
      <c r="E106" s="21" t="n"/>
      <c r="F106" s="53" t="n"/>
      <c r="G106" s="31" t="n"/>
      <c r="H106" s="48" t="n"/>
      <c r="I106" s="48" t="n"/>
      <c r="J106" s="21" t="n"/>
    </row>
    <row r="107" ht="18" customHeight="1">
      <c r="A107" s="53" t="n"/>
      <c r="B107" s="53" t="n"/>
      <c r="C107" s="55" t="n"/>
      <c r="D107" s="48" t="n"/>
      <c r="E107" s="21" t="n"/>
      <c r="F107" s="53" t="n"/>
      <c r="G107" s="31" t="n"/>
      <c r="H107" s="48" t="n"/>
      <c r="I107" s="48" t="n"/>
      <c r="J107" s="21" t="n"/>
    </row>
    <row r="108" ht="18" customHeight="1">
      <c r="A108" s="53" t="n"/>
      <c r="B108" s="53" t="n"/>
      <c r="C108" s="55" t="n"/>
      <c r="D108" s="48" t="n"/>
      <c r="E108" s="21" t="n"/>
      <c r="F108" s="53" t="n"/>
      <c r="G108" s="31" t="n"/>
      <c r="H108" s="48" t="n"/>
      <c r="I108" s="48" t="n"/>
      <c r="J108" s="21" t="n"/>
    </row>
    <row r="109" ht="18" customHeight="1">
      <c r="A109" s="53" t="n"/>
      <c r="B109" s="53" t="n"/>
      <c r="C109" s="55" t="n"/>
      <c r="D109" s="48" t="n"/>
      <c r="E109" s="21" t="n"/>
      <c r="F109" s="53" t="n"/>
      <c r="G109" s="31" t="n"/>
      <c r="H109" s="48" t="n"/>
      <c r="I109" s="48" t="n"/>
      <c r="J109" s="21" t="n"/>
    </row>
    <row r="110" ht="18" customHeight="1">
      <c r="A110" s="53" t="n"/>
      <c r="B110" s="53" t="n"/>
      <c r="C110" s="55" t="n"/>
      <c r="D110" s="48" t="n"/>
      <c r="E110" s="21" t="n"/>
      <c r="F110" s="53" t="n"/>
      <c r="G110" s="31" t="n"/>
      <c r="H110" s="48" t="n"/>
      <c r="I110" s="48" t="n"/>
      <c r="J110" s="21" t="n"/>
    </row>
    <row r="111" ht="18" customHeight="1">
      <c r="A111" s="53" t="n"/>
      <c r="B111" s="53" t="n"/>
      <c r="C111" s="55" t="n"/>
      <c r="D111" s="48" t="n"/>
      <c r="E111" s="21" t="n"/>
      <c r="F111" s="53" t="n"/>
      <c r="G111" s="31" t="n"/>
      <c r="H111" s="48" t="n"/>
      <c r="I111" s="48" t="n"/>
      <c r="J111" s="21" t="n"/>
    </row>
    <row r="112" ht="18" customHeight="1">
      <c r="A112" s="53" t="n"/>
      <c r="B112" s="53" t="n"/>
      <c r="C112" s="55" t="n"/>
      <c r="D112" s="48" t="n"/>
      <c r="E112" s="21" t="n"/>
      <c r="F112" s="53" t="n"/>
      <c r="G112" s="31" t="n"/>
      <c r="H112" s="48" t="n"/>
      <c r="I112" s="48" t="n"/>
      <c r="J112" s="21" t="n"/>
    </row>
    <row r="113" ht="18" customHeight="1">
      <c r="A113" s="53" t="n"/>
      <c r="B113" s="53" t="n"/>
      <c r="C113" s="55" t="n"/>
      <c r="D113" s="48" t="n"/>
      <c r="E113" s="21" t="n"/>
      <c r="F113" s="53" t="n"/>
      <c r="G113" s="31" t="n"/>
      <c r="H113" s="48" t="n"/>
      <c r="I113" s="48" t="n"/>
      <c r="J113" s="21" t="n"/>
    </row>
    <row r="114" ht="18" customHeight="1">
      <c r="A114" s="53" t="n"/>
      <c r="B114" s="53" t="n"/>
      <c r="C114" s="55" t="n"/>
      <c r="D114" s="48" t="n"/>
      <c r="E114" s="21" t="n"/>
      <c r="F114" s="53" t="n"/>
      <c r="G114" s="31" t="n"/>
      <c r="H114" s="48" t="n"/>
      <c r="I114" s="48" t="n"/>
      <c r="J114" s="21" t="n"/>
    </row>
    <row r="115" ht="18" customHeight="1">
      <c r="A115" s="53" t="n"/>
      <c r="B115" s="53" t="n"/>
      <c r="C115" s="55" t="n"/>
      <c r="D115" s="48" t="n"/>
      <c r="E115" s="21" t="n"/>
      <c r="F115" s="53" t="n"/>
      <c r="G115" s="31" t="n"/>
      <c r="H115" s="48" t="n"/>
      <c r="I115" s="48" t="n"/>
      <c r="J115" s="21" t="n"/>
    </row>
    <row r="116" ht="18" customHeight="1">
      <c r="A116" s="53" t="n"/>
      <c r="B116" s="53" t="n"/>
      <c r="C116" s="55" t="n"/>
      <c r="D116" s="48" t="n"/>
      <c r="E116" s="21" t="n"/>
      <c r="F116" s="53" t="n"/>
      <c r="G116" s="31" t="n"/>
      <c r="H116" s="48" t="n"/>
      <c r="I116" s="48" t="n"/>
      <c r="J116" s="21" t="n"/>
    </row>
    <row r="117" ht="18" customHeight="1">
      <c r="A117" s="53" t="n"/>
      <c r="B117" s="53" t="n"/>
      <c r="C117" s="55" t="n"/>
      <c r="D117" s="48" t="n"/>
      <c r="E117" s="21" t="n"/>
      <c r="F117" s="53" t="n"/>
      <c r="G117" s="31" t="n"/>
      <c r="H117" s="48" t="n"/>
      <c r="I117" s="48" t="n"/>
      <c r="J117" s="21" t="n"/>
    </row>
    <row r="118" ht="18" customHeight="1">
      <c r="A118" s="53" t="n"/>
      <c r="B118" s="53" t="n"/>
      <c r="C118" s="55" t="n"/>
      <c r="D118" s="48" t="n"/>
      <c r="E118" s="21" t="n"/>
      <c r="F118" s="53" t="n"/>
      <c r="G118" s="31" t="n"/>
      <c r="H118" s="48" t="n"/>
      <c r="I118" s="48" t="n"/>
      <c r="J118" s="21" t="n"/>
    </row>
    <row r="119" ht="18" customHeight="1">
      <c r="A119" s="53" t="n"/>
      <c r="B119" s="53" t="n"/>
      <c r="C119" s="55" t="n"/>
      <c r="D119" s="48" t="n"/>
      <c r="E119" s="21" t="n"/>
      <c r="F119" s="53" t="n"/>
      <c r="G119" s="31" t="n"/>
      <c r="H119" s="48" t="n"/>
      <c r="I119" s="48" t="n"/>
      <c r="J119" s="21" t="n"/>
    </row>
    <row r="120" ht="18" customHeight="1">
      <c r="A120" s="53" t="n"/>
      <c r="B120" s="53" t="n"/>
      <c r="C120" s="55" t="n"/>
      <c r="D120" s="48" t="n"/>
      <c r="E120" s="21" t="n"/>
      <c r="F120" s="53" t="n"/>
      <c r="G120" s="31" t="n"/>
      <c r="H120" s="48" t="n"/>
      <c r="I120" s="48" t="n"/>
      <c r="J120" s="21" t="n"/>
    </row>
    <row r="121" ht="18" customHeight="1">
      <c r="A121" s="53" t="n"/>
      <c r="B121" s="53" t="n"/>
      <c r="C121" s="55" t="n"/>
      <c r="D121" s="48" t="n"/>
      <c r="E121" s="21" t="n"/>
      <c r="F121" s="53" t="n"/>
      <c r="G121" s="31" t="n"/>
      <c r="H121" s="48" t="n"/>
      <c r="I121" s="48" t="n"/>
      <c r="J121" s="21" t="n"/>
    </row>
    <row r="122" ht="18" customHeight="1">
      <c r="A122" s="53" t="n"/>
      <c r="B122" s="53" t="n"/>
      <c r="C122" s="55" t="n"/>
      <c r="D122" s="48" t="n"/>
      <c r="E122" s="21" t="n"/>
      <c r="F122" s="53" t="n"/>
      <c r="G122" s="31" t="n"/>
      <c r="H122" s="48" t="n"/>
      <c r="I122" s="48" t="n"/>
      <c r="J122" s="21" t="n"/>
    </row>
    <row r="123"/>
    <row r="124" ht="28" customHeight="1">
      <c r="A124" s="26" t="inlineStr">
        <is>
          <t>«אנשים» = כמה צריך למשימה; ריק = כל הקבוצה. «שמות» מתמלא ע"י השיבוץ ואפשר לתקן ידנית. «מתכון» = מנה מ«מתכונים»; כמה מנות מופרדות ב-; (משימה שמכינה שני סלטים). «עוגן» = האירוע בלו"ז שהמשימה קשורה אליו (ממנו השעה היחסית). הניקוד יושב ב«קבוצות».</t>
        </is>
      </c>
    </row>
  </sheetData>
  <mergeCells count="2">
    <mergeCell ref="A1:J1"/>
    <mergeCell ref="A124:J124"/>
  </mergeCells>
  <dataValidations count="5">
    <dataValidation sqref="A3:A122" showDropDown="0" showInputMessage="0" showErrorMessage="0" allowBlank="1" type="list">
      <formula1>"הכנות שישי,תורנות שישי,תורנות שבת,תורנות מוצ"ש"</formula1>
    </dataValidation>
    <dataValidation sqref="B3:B122" showDropDown="0" showInputMessage="0" showErrorMessage="0" allowBlank="1" type="list">
      <formula1>"חמישי,שישי,שבת,מוצאי שבת"</formula1>
    </dataValidation>
    <dataValidation sqref="D3:D122" showDropDown="0" showInputMessage="0" showErrorMessage="0" allowBlank="1" type="list">
      <formula1>'קבוצות'!$A$3:$A$32</formula1>
    </dataValidation>
    <dataValidation sqref="H3:H122" showDropDown="0" showInputMessage="0" showErrorMessage="0" allowBlank="1" type="list">
      <formula1>'מתכונים'!$B$3:$B$82</formula1>
    </dataValidation>
    <dataValidation sqref="I3:I122" showDropDown="0" showInputMessage="0" showErrorMessage="0" allowBlank="1" type="list">
      <formula1>'לוז'!$C$7:$C$36</formula1>
    </dataValidation>
  </dataValidations>
  <pageMargins left="0.75" right="0.75" top="1" bottom="1" header="0.5" footer="0.5"/>
  <pageSetup paperSize="9" fitToHeight="0" fitToWidth="1"/>
</worksheet>
</file>

<file path=xl/worksheets/sheet4.xml><?xml version="1.0" encoding="utf-8"?>
<worksheet xmlns="http://schemas.openxmlformats.org/spreadsheetml/2006/main">
  <sheetPr>
    <tabColor rgb="00E8A33D"/>
    <outlinePr summaryBelow="1" summaryRight="1"/>
    <pageSetUpPr fitToPage="1"/>
  </sheetPr>
  <dimension ref="A1:G34"/>
  <sheetViews>
    <sheetView showGridLines="0" rightToLeft="1" workbookViewId="0">
      <pane ySplit="2" topLeftCell="A3" activePane="bottomLeft" state="frozen"/>
      <selection pane="bottomLeft" activeCell="A1" sqref="A1"/>
    </sheetView>
  </sheetViews>
  <sheetFormatPr baseColWidth="8" defaultRowHeight="15"/>
  <cols>
    <col width="28" customWidth="1" min="1" max="1"/>
    <col width="14" customWidth="1" min="2" max="2"/>
    <col width="8" customWidth="1" min="3" max="3"/>
    <col width="18" customWidth="1" min="4" max="4"/>
    <col width="58" customWidth="1" min="5" max="5"/>
    <col width="8" customWidth="1" min="6" max="6"/>
    <col width="10" customWidth="1" min="7" max="7"/>
  </cols>
  <sheetData>
    <row r="1" ht="36" customHeight="1">
      <c r="A1" s="27" t="inlineStr">
        <is>
          <t>קבוצות העבודה השבת</t>
        </is>
      </c>
    </row>
    <row r="2" ht="24" customHeight="1">
      <c r="A2" s="9" t="inlineStr">
        <is>
          <t>קבוצה</t>
        </is>
      </c>
      <c r="B2" s="9" t="inlineStr">
        <is>
          <t>שלב</t>
        </is>
      </c>
      <c r="C2" s="9" t="inlineStr">
        <is>
          <t>ניקוד</t>
        </is>
      </c>
      <c r="D2" s="9" t="inlineStr">
        <is>
          <t>אחראי/ת</t>
        </is>
      </c>
      <c r="E2" s="9" t="inlineStr">
        <is>
          <t>חניכים</t>
        </is>
      </c>
      <c r="F2" s="9" t="inlineStr">
        <is>
          <t>גודל</t>
        </is>
      </c>
      <c r="G2" s="9" t="inlineStr">
        <is>
          <t>משימות</t>
        </is>
      </c>
    </row>
    <row r="3" ht="30" customHeight="1">
      <c r="A3" s="47" t="inlineStr">
        <is>
          <t>חלות</t>
        </is>
      </c>
      <c r="B3" s="53" t="inlineStr">
        <is>
          <t>הכנות שישי</t>
        </is>
      </c>
      <c r="C3" s="53" t="n">
        <v>3</v>
      </c>
      <c r="D3" s="34" t="inlineStr">
        <is>
          <t>אריאלה מרכוס</t>
        </is>
      </c>
      <c r="E3" s="31" t="inlineStr">
        <is>
          <t>פנחס אליהו גלוסקין, ליעם גבע, אריאלה מרכוס</t>
        </is>
      </c>
      <c r="F3" s="50">
        <f>IF(E3="","",LEN(E3)-LEN(SUBSTITUTE(E3,",",""))+1)</f>
        <v/>
      </c>
      <c r="G3" s="50">
        <f>IF(A3="","",COUNTIF('משימות'!$D$3:$D$122,A3))</f>
        <v/>
      </c>
    </row>
    <row r="4" ht="30" customHeight="1">
      <c r="A4" s="47" t="inlineStr">
        <is>
          <t>בראוניז ללא גלוטן</t>
        </is>
      </c>
      <c r="B4" s="53" t="inlineStr">
        <is>
          <t>הכנות שישי</t>
        </is>
      </c>
      <c r="C4" s="53" t="n">
        <v>3</v>
      </c>
      <c r="D4" s="34" t="inlineStr">
        <is>
          <t>ארבל פרנקו</t>
        </is>
      </c>
      <c r="E4" s="31" t="n"/>
      <c r="F4" s="50">
        <f>IF(E4="","",LEN(E4)-LEN(SUBSTITUTE(E4,",",""))+1)</f>
        <v/>
      </c>
      <c r="G4" s="50">
        <f>IF(A4="","",COUNTIF('משימות'!$D$3:$D$122,A4))</f>
        <v/>
      </c>
    </row>
    <row r="5" ht="30" customHeight="1">
      <c r="A5" s="47" t="inlineStr">
        <is>
          <t>עוגת שוקולד</t>
        </is>
      </c>
      <c r="B5" s="53" t="inlineStr">
        <is>
          <t>הכנות שישי</t>
        </is>
      </c>
      <c r="C5" s="53" t="n">
        <v>3</v>
      </c>
      <c r="D5" s="34" t="inlineStr">
        <is>
          <t>ניצן גמלא</t>
        </is>
      </c>
      <c r="E5" s="31" t="inlineStr">
        <is>
          <t>יותם ספיר, ניצן גמלא</t>
        </is>
      </c>
      <c r="F5" s="50">
        <f>IF(E5="","",LEN(E5)-LEN(SUBSTITUTE(E5,",",""))+1)</f>
        <v/>
      </c>
      <c r="G5" s="50">
        <f>IF(A5="","",COUNTIF('משימות'!$D$3:$D$122,A5))</f>
        <v/>
      </c>
    </row>
    <row r="6" ht="30" customHeight="1">
      <c r="A6" s="47" t="inlineStr">
        <is>
          <t>עוגת שמרים</t>
        </is>
      </c>
      <c r="B6" s="53" t="inlineStr">
        <is>
          <t>הכנות שישי</t>
        </is>
      </c>
      <c r="C6" s="53" t="n">
        <v>3</v>
      </c>
      <c r="D6" s="34" t="inlineStr">
        <is>
          <t>מעיין רחל דינר</t>
        </is>
      </c>
      <c r="E6" s="31" t="inlineStr">
        <is>
          <t>הלל פינגולד, ליבי בוכריס, מעיין רחל דינר</t>
        </is>
      </c>
      <c r="F6" s="50">
        <f>IF(E6="","",LEN(E6)-LEN(SUBSTITUTE(E6,",",""))+1)</f>
        <v/>
      </c>
      <c r="G6" s="50">
        <f>IF(A6="","",COUNTIF('משימות'!$D$3:$D$122,A6))</f>
        <v/>
      </c>
    </row>
    <row r="7" ht="30" customHeight="1">
      <c r="A7" s="47" t="inlineStr">
        <is>
          <t>מטבוחה</t>
        </is>
      </c>
      <c r="B7" s="53" t="inlineStr">
        <is>
          <t>הכנות שישי</t>
        </is>
      </c>
      <c r="C7" s="53" t="n">
        <v>3</v>
      </c>
      <c r="D7" s="34" t="inlineStr">
        <is>
          <t>הילי אלפסי</t>
        </is>
      </c>
      <c r="E7" s="31" t="inlineStr">
        <is>
          <t>טליה קור, נועם ישראל קומפאס, של״ו רובינשטיין, הילי אלפסי</t>
        </is>
      </c>
      <c r="F7" s="50">
        <f>IF(E7="","",LEN(E7)-LEN(SUBSTITUTE(E7,",",""))+1)</f>
        <v/>
      </c>
      <c r="G7" s="50">
        <f>IF(A7="","",COUNTIF('משימות'!$D$3:$D$122,A7))</f>
        <v/>
      </c>
    </row>
    <row r="8" ht="30" customHeight="1">
      <c r="A8" s="47" t="inlineStr">
        <is>
          <t>סלט חצילים</t>
        </is>
      </c>
      <c r="B8" s="53" t="inlineStr">
        <is>
          <t>הכנות שישי</t>
        </is>
      </c>
      <c r="C8" s="53" t="n">
        <v>3</v>
      </c>
      <c r="D8" s="34" t="inlineStr">
        <is>
          <t>אביה וייל</t>
        </is>
      </c>
      <c r="E8" s="31" t="n"/>
      <c r="F8" s="50">
        <f>IF(E8="","",LEN(E8)-LEN(SUBSTITUTE(E8,",",""))+1)</f>
        <v/>
      </c>
      <c r="G8" s="50">
        <f>IF(A8="","",COUNTIF('משימות'!$D$3:$D$122,A8))</f>
        <v/>
      </c>
    </row>
    <row r="9" ht="30" customHeight="1">
      <c r="A9" s="47" t="inlineStr">
        <is>
          <t>עוגיות שוקולד צ'יפס</t>
        </is>
      </c>
      <c r="B9" s="53" t="inlineStr">
        <is>
          <t>הכנות שישי</t>
        </is>
      </c>
      <c r="C9" s="53" t="n">
        <v>3</v>
      </c>
      <c r="D9" s="34" t="inlineStr">
        <is>
          <t>הדר עמדי</t>
        </is>
      </c>
      <c r="E9" s="31" t="inlineStr">
        <is>
          <t>הדר עמדי, שי- לי וולגמוט</t>
        </is>
      </c>
      <c r="F9" s="50">
        <f>IF(E9="","",LEN(E9)-LEN(SUBSTITUTE(E9,",",""))+1)</f>
        <v/>
      </c>
      <c r="G9" s="50">
        <f>IF(A9="","",COUNTIF('משימות'!$D$3:$D$122,A9))</f>
        <v/>
      </c>
    </row>
    <row r="10" ht="30" customHeight="1">
      <c r="A10" s="47" t="inlineStr">
        <is>
          <t>ארוחת צהריים שישי</t>
        </is>
      </c>
      <c r="B10" s="53" t="inlineStr">
        <is>
          <t>הכנות שישי</t>
        </is>
      </c>
      <c r="C10" s="53" t="n">
        <v>3</v>
      </c>
      <c r="D10" s="34" t="inlineStr">
        <is>
          <t>הילה עזרא</t>
        </is>
      </c>
      <c r="E10" s="31" t="inlineStr">
        <is>
          <t>הילה עזרא, רותם דרור, שחר מרקוביץ' גליק, רוני פרנקל</t>
        </is>
      </c>
      <c r="F10" s="50">
        <f>IF(E10="","",LEN(E10)-LEN(SUBSTITUTE(E10,",",""))+1)</f>
        <v/>
      </c>
      <c r="G10" s="50">
        <f>IF(A10="","",COUNTIF('משימות'!$D$3:$D$122,A10))</f>
        <v/>
      </c>
    </row>
    <row r="11" ht="30" customHeight="1">
      <c r="A11" s="47" t="inlineStr">
        <is>
          <t>בית מדרש</t>
        </is>
      </c>
      <c r="B11" s="53" t="inlineStr">
        <is>
          <t>תורנות שישי</t>
        </is>
      </c>
      <c r="C11" s="53" t="n">
        <v>3</v>
      </c>
      <c r="D11" s="34" t="inlineStr">
        <is>
          <t>אחיה נחמני</t>
        </is>
      </c>
      <c r="E11" s="31" t="inlineStr">
        <is>
          <t>כליל בלאוקופף, נגה שוהם, עופר בביוף, אוריה תעשה, סהר שירון, ארבל פרנקו, ניתאי שלום, נבו בלוך, חיים שמאי, אחיה נחמני, שירה ספונוב, אביה וייל</t>
        </is>
      </c>
      <c r="F11" s="50">
        <f>IF(E11="","",LEN(E11)-LEN(SUBSTITUTE(E11,",",""))+1)</f>
        <v/>
      </c>
      <c r="G11" s="50">
        <f>IF(A11="","",COUNTIF('משימות'!$D$3:$D$122,A11))</f>
        <v/>
      </c>
    </row>
    <row r="12" ht="30" customHeight="1">
      <c r="A12" s="47" t="inlineStr">
        <is>
          <t>ניקיון חדר האוכל בשישי</t>
        </is>
      </c>
      <c r="B12" s="53" t="inlineStr">
        <is>
          <t>תורנות שישי</t>
        </is>
      </c>
      <c r="C12" s="53" t="n">
        <v>3</v>
      </c>
      <c r="D12" s="34" t="inlineStr">
        <is>
          <t>איתמר אסנהיים</t>
        </is>
      </c>
      <c r="E12" s="31" t="inlineStr">
        <is>
          <t>יערה ריס, זואי כהן, אלה גוטליב, שילת פילפל, אלה מאיר, ינון לוי, עמית סיילס, מאיה פקטר, שחר קרן, איתמר אסנהיים, עמית שי אברהם, ירדן בן שחר</t>
        </is>
      </c>
      <c r="F12" s="50">
        <f>IF(E12="","",LEN(E12)-LEN(SUBSTITUTE(E12,",",""))+1)</f>
        <v/>
      </c>
      <c r="G12" s="50">
        <f>IF(A12="","",COUNTIF('משימות'!$D$3:$D$122,A12))</f>
        <v/>
      </c>
    </row>
    <row r="13" ht="30" customHeight="1">
      <c r="A13" s="47" t="inlineStr">
        <is>
          <t>גסטרונומים</t>
        </is>
      </c>
      <c r="B13" s="53" t="inlineStr">
        <is>
          <t>תורנות שבת</t>
        </is>
      </c>
      <c r="C13" s="53" t="n">
        <v>2</v>
      </c>
      <c r="D13" s="34" t="inlineStr">
        <is>
          <t>ניתאי שלום</t>
        </is>
      </c>
      <c r="E13" s="31" t="inlineStr">
        <is>
          <t>ניתאי שלום, שי- לי וולגמוט</t>
        </is>
      </c>
      <c r="F13" s="50">
        <f>IF(E13="","",LEN(E13)-LEN(SUBSTITUTE(E13,",",""))+1)</f>
        <v/>
      </c>
      <c r="G13" s="50">
        <f>IF(A13="","",COUNTIF('משימות'!$D$3:$D$122,A13))</f>
        <v/>
      </c>
    </row>
    <row r="14" ht="30" customHeight="1">
      <c r="A14" s="47" t="inlineStr">
        <is>
          <t>ארוחת ערב</t>
        </is>
      </c>
      <c r="B14" s="53" t="inlineStr">
        <is>
          <t>תורנות שבת</t>
        </is>
      </c>
      <c r="C14" s="53" t="n">
        <v>2</v>
      </c>
      <c r="D14" s="34" t="inlineStr">
        <is>
          <t>יואב אוחנה</t>
        </is>
      </c>
      <c r="E14" s="31" t="inlineStr">
        <is>
          <t>רוני כהן, יונתן לירז, יואב אוחנה, יובל יצחק</t>
        </is>
      </c>
      <c r="F14" s="50">
        <f>IF(E14="","",LEN(E14)-LEN(SUBSTITUTE(E14,",",""))+1)</f>
        <v/>
      </c>
      <c r="G14" s="50">
        <f>IF(A14="","",COUNTIF('משימות'!$D$3:$D$122,A14))</f>
        <v/>
      </c>
    </row>
    <row r="15" ht="30" customHeight="1">
      <c r="A15" s="47" t="inlineStr">
        <is>
          <t>פינוי ארוחת ערב</t>
        </is>
      </c>
      <c r="B15" s="53" t="inlineStr">
        <is>
          <t>תורנות שבת</t>
        </is>
      </c>
      <c r="C15" s="53" t="n">
        <v>2</v>
      </c>
      <c r="D15" s="34" t="inlineStr">
        <is>
          <t>אוריה תעשה</t>
        </is>
      </c>
      <c r="E15" s="31" t="inlineStr">
        <is>
          <t>משה אוברשטיין, כליל בלאוקופף, רותם דרור, של״ו רובינשטיין, ארבל פרנקו, נבו בלוך, אוריה תעשה</t>
        </is>
      </c>
      <c r="F15" s="50">
        <f>IF(E15="","",LEN(E15)-LEN(SUBSTITUTE(E15,",",""))+1)</f>
        <v/>
      </c>
      <c r="G15" s="50">
        <f>IF(A15="","",COUNTIF('משימות'!$D$3:$D$122,A15))</f>
        <v/>
      </c>
    </row>
    <row r="16" ht="30" customHeight="1">
      <c r="A16" s="47" t="inlineStr">
        <is>
          <t>טיש</t>
        </is>
      </c>
      <c r="B16" s="53" t="inlineStr">
        <is>
          <t>תורנות שבת</t>
        </is>
      </c>
      <c r="C16" s="53" t="n">
        <v>1</v>
      </c>
      <c r="D16" s="34" t="inlineStr">
        <is>
          <t>תמר פרידמן</t>
        </is>
      </c>
      <c r="E16" s="31" t="inlineStr">
        <is>
          <t>עופר בביוף, טליה קור, תמר פרידמן</t>
        </is>
      </c>
      <c r="F16" s="50">
        <f>IF(E16="","",LEN(E16)-LEN(SUBSTITUTE(E16,",",""))+1)</f>
        <v/>
      </c>
      <c r="G16" s="50">
        <f>IF(A16="","",COUNTIF('משימות'!$D$3:$D$122,A16))</f>
        <v/>
      </c>
    </row>
    <row r="17" ht="30" customHeight="1">
      <c r="A17" s="47" t="inlineStr">
        <is>
          <t>קידוש</t>
        </is>
      </c>
      <c r="B17" s="53" t="inlineStr">
        <is>
          <t>תורנות שבת</t>
        </is>
      </c>
      <c r="C17" s="53" t="n">
        <v>1</v>
      </c>
      <c r="D17" s="34" t="inlineStr">
        <is>
          <t>אריאלה מרכוס</t>
        </is>
      </c>
      <c r="E17" s="31" t="inlineStr">
        <is>
          <t>פנחס אליהו גלוסקין, אריאלה מרכוס, ליעם גבע</t>
        </is>
      </c>
      <c r="F17" s="50">
        <f>IF(E17="","",LEN(E17)-LEN(SUBSTITUTE(E17,",",""))+1)</f>
        <v/>
      </c>
      <c r="G17" s="50">
        <f>IF(A17="","",COUNTIF('משימות'!$D$3:$D$122,A17))</f>
        <v/>
      </c>
    </row>
    <row r="18" ht="30" customHeight="1">
      <c r="A18" s="47" t="inlineStr">
        <is>
          <t>ארוחת צהריים שבת</t>
        </is>
      </c>
      <c r="B18" s="53" t="inlineStr">
        <is>
          <t>תורנות שבת</t>
        </is>
      </c>
      <c r="C18" s="53" t="n">
        <v>2</v>
      </c>
      <c r="D18" s="34" t="inlineStr">
        <is>
          <t>הלל פינגולד</t>
        </is>
      </c>
      <c r="E18" s="31" t="inlineStr">
        <is>
          <t>יותם ספיר, הלל פינגולד, ליבי בוכריס, ניצן גמלא</t>
        </is>
      </c>
      <c r="F18" s="50">
        <f>IF(E18="","",LEN(E18)-LEN(SUBSTITUTE(E18,",",""))+1)</f>
        <v/>
      </c>
      <c r="G18" s="50">
        <f>IF(A18="","",COUNTIF('משימות'!$D$3:$D$122,A18))</f>
        <v/>
      </c>
    </row>
    <row r="19" ht="30" customHeight="1">
      <c r="A19" s="47" t="inlineStr">
        <is>
          <t>פינוי ארוחת צהריים וסעודה שלישית</t>
        </is>
      </c>
      <c r="B19" s="53" t="inlineStr">
        <is>
          <t>תורנות שבת</t>
        </is>
      </c>
      <c r="C19" s="53" t="n">
        <v>2</v>
      </c>
      <c r="D19" s="34" t="inlineStr">
        <is>
          <t>מעיין רחל דינר</t>
        </is>
      </c>
      <c r="E19" s="31" t="inlineStr">
        <is>
          <t>מעיין רחל דינר, נועם ישראל קומפאס, הילי אלפסי, הילה עזרא, נגה שוהם</t>
        </is>
      </c>
      <c r="F19" s="50">
        <f>IF(E19="","",LEN(E19)-LEN(SUBSTITUTE(E19,",",""))+1)</f>
        <v/>
      </c>
      <c r="G19" s="50">
        <f>IF(A19="","",COUNTIF('משימות'!$D$3:$D$122,A19))</f>
        <v/>
      </c>
    </row>
    <row r="20" ht="30" customHeight="1">
      <c r="A20" s="47" t="inlineStr">
        <is>
          <t>ניקיון בית המדרש במוצ"ש</t>
        </is>
      </c>
      <c r="B20" s="53" t="inlineStr">
        <is>
          <t>תורנות מוצ"ש</t>
        </is>
      </c>
      <c r="C20" s="53" t="n">
        <v>2</v>
      </c>
      <c r="D20" s="34" t="inlineStr">
        <is>
          <t>אחיה נחמני</t>
        </is>
      </c>
      <c r="E20" s="31" t="inlineStr">
        <is>
          <t>יונתן לירז, הדר עמדי, סהר שירון, רוני פרנקל, שחר מרקוביץ' גליק, תמר פרידמן, יובל יצחק, אחיה נחמני, חיים שמאי, יערה ריס</t>
        </is>
      </c>
      <c r="F20" s="50">
        <f>IF(E20="","",LEN(E20)-LEN(SUBSTITUTE(E20,",",""))+1)</f>
        <v/>
      </c>
      <c r="G20" s="50">
        <f>IF(A20="","",COUNTIF('משימות'!$D$3:$D$122,A20))</f>
        <v/>
      </c>
    </row>
    <row r="21" ht="30" customHeight="1">
      <c r="A21" s="47" t="inlineStr">
        <is>
          <t>ניקיון חדר האוכל במוצ"ש</t>
        </is>
      </c>
      <c r="B21" s="53" t="inlineStr">
        <is>
          <t>תורנות מוצ"ש</t>
        </is>
      </c>
      <c r="C21" s="53" t="n">
        <v>3</v>
      </c>
      <c r="D21" s="34" t="inlineStr">
        <is>
          <t>אביה וייל</t>
        </is>
      </c>
      <c r="E21" s="31" t="inlineStr">
        <is>
          <t>שירה ספונוב, אביה וייל, יואב אוחנה, זואי כהן, משה אוברשטיין, עמית סיילס, אלה גוטליב, מאיה פקטר, שילת פילפל, שחר קרן</t>
        </is>
      </c>
      <c r="F21" s="50">
        <f>IF(E21="","",LEN(E21)-LEN(SUBSTITUTE(E21,",",""))+1)</f>
        <v/>
      </c>
      <c r="G21" s="50">
        <f>IF(A21="","",COUNTIF('משימות'!$D$3:$D$122,A21))</f>
        <v/>
      </c>
    </row>
    <row r="22" ht="30" customHeight="1">
      <c r="A22" s="47" t="inlineStr">
        <is>
          <t>ארוחת ערב מוצ"ש</t>
        </is>
      </c>
      <c r="B22" s="53" t="inlineStr">
        <is>
          <t>תורנות מוצ"ש</t>
        </is>
      </c>
      <c r="C22" s="53" t="n">
        <v>3</v>
      </c>
      <c r="D22" s="34" t="inlineStr">
        <is>
          <t>איתמר אסנהיים</t>
        </is>
      </c>
      <c r="E22" s="31" t="inlineStr">
        <is>
          <t>אלה מאיר, עמית שי אברהם, ינון לוי, איתמר אסנהיים, ירדן בן שחר</t>
        </is>
      </c>
      <c r="F22" s="50">
        <f>IF(E22="","",LEN(E22)-LEN(SUBSTITUTE(E22,",",""))+1)</f>
        <v/>
      </c>
      <c r="G22" s="50">
        <f>IF(A22="","",COUNTIF('משימות'!$D$3:$D$122,A22))</f>
        <v/>
      </c>
    </row>
    <row r="23" ht="18" customHeight="1">
      <c r="A23" s="47" t="n"/>
      <c r="B23" s="53" t="n"/>
      <c r="C23" s="53" t="n"/>
      <c r="D23" s="34" t="n"/>
      <c r="E23" s="31" t="n"/>
      <c r="F23" s="50">
        <f>IF(E23="","",LEN(E23)-LEN(SUBSTITUTE(E23,",",""))+1)</f>
        <v/>
      </c>
      <c r="G23" s="50">
        <f>IF(A23="","",COUNTIF('משימות'!$D$3:$D$122,A23))</f>
        <v/>
      </c>
    </row>
    <row r="24" ht="18" customHeight="1">
      <c r="A24" s="47" t="n"/>
      <c r="B24" s="53" t="n"/>
      <c r="C24" s="53" t="n"/>
      <c r="D24" s="34" t="n"/>
      <c r="E24" s="31" t="n"/>
      <c r="F24" s="50">
        <f>IF(E24="","",LEN(E24)-LEN(SUBSTITUTE(E24,",",""))+1)</f>
        <v/>
      </c>
      <c r="G24" s="50">
        <f>IF(A24="","",COUNTIF('משימות'!$D$3:$D$122,A24))</f>
        <v/>
      </c>
    </row>
    <row r="25" ht="18" customHeight="1">
      <c r="A25" s="47" t="n"/>
      <c r="B25" s="53" t="n"/>
      <c r="C25" s="53" t="n"/>
      <c r="D25" s="34" t="n"/>
      <c r="E25" s="31" t="n"/>
      <c r="F25" s="50">
        <f>IF(E25="","",LEN(E25)-LEN(SUBSTITUTE(E25,",",""))+1)</f>
        <v/>
      </c>
      <c r="G25" s="50">
        <f>IF(A25="","",COUNTIF('משימות'!$D$3:$D$122,A25))</f>
        <v/>
      </c>
    </row>
    <row r="26" ht="18" customHeight="1">
      <c r="A26" s="47" t="n"/>
      <c r="B26" s="53" t="n"/>
      <c r="C26" s="53" t="n"/>
      <c r="D26" s="34" t="n"/>
      <c r="E26" s="31" t="n"/>
      <c r="F26" s="50">
        <f>IF(E26="","",LEN(E26)-LEN(SUBSTITUTE(E26,",",""))+1)</f>
        <v/>
      </c>
      <c r="G26" s="50">
        <f>IF(A26="","",COUNTIF('משימות'!$D$3:$D$122,A26))</f>
        <v/>
      </c>
    </row>
    <row r="27" ht="18" customHeight="1">
      <c r="A27" s="47" t="n"/>
      <c r="B27" s="53" t="n"/>
      <c r="C27" s="53" t="n"/>
      <c r="D27" s="34" t="n"/>
      <c r="E27" s="31" t="n"/>
      <c r="F27" s="50">
        <f>IF(E27="","",LEN(E27)-LEN(SUBSTITUTE(E27,",",""))+1)</f>
        <v/>
      </c>
      <c r="G27" s="50">
        <f>IF(A27="","",COUNTIF('משימות'!$D$3:$D$122,A27))</f>
        <v/>
      </c>
    </row>
    <row r="28" ht="18" customHeight="1">
      <c r="A28" s="47" t="n"/>
      <c r="B28" s="53" t="n"/>
      <c r="C28" s="53" t="n"/>
      <c r="D28" s="34" t="n"/>
      <c r="E28" s="31" t="n"/>
      <c r="F28" s="50">
        <f>IF(E28="","",LEN(E28)-LEN(SUBSTITUTE(E28,",",""))+1)</f>
        <v/>
      </c>
      <c r="G28" s="50">
        <f>IF(A28="","",COUNTIF('משימות'!$D$3:$D$122,A28))</f>
        <v/>
      </c>
    </row>
    <row r="29" ht="18" customHeight="1">
      <c r="A29" s="47" t="n"/>
      <c r="B29" s="53" t="n"/>
      <c r="C29" s="53" t="n"/>
      <c r="D29" s="34" t="n"/>
      <c r="E29" s="31" t="n"/>
      <c r="F29" s="50">
        <f>IF(E29="","",LEN(E29)-LEN(SUBSTITUTE(E29,",",""))+1)</f>
        <v/>
      </c>
      <c r="G29" s="50">
        <f>IF(A29="","",COUNTIF('משימות'!$D$3:$D$122,A29))</f>
        <v/>
      </c>
    </row>
    <row r="30" ht="18" customHeight="1">
      <c r="A30" s="47" t="n"/>
      <c r="B30" s="53" t="n"/>
      <c r="C30" s="53" t="n"/>
      <c r="D30" s="34" t="n"/>
      <c r="E30" s="31" t="n"/>
      <c r="F30" s="50">
        <f>IF(E30="","",LEN(E30)-LEN(SUBSTITUTE(E30,",",""))+1)</f>
        <v/>
      </c>
      <c r="G30" s="50">
        <f>IF(A30="","",COUNTIF('משימות'!$D$3:$D$122,A30))</f>
        <v/>
      </c>
    </row>
    <row r="31" ht="18" customHeight="1">
      <c r="A31" s="47" t="n"/>
      <c r="B31" s="53" t="n"/>
      <c r="C31" s="53" t="n"/>
      <c r="D31" s="34" t="n"/>
      <c r="E31" s="31" t="n"/>
      <c r="F31" s="50">
        <f>IF(E31="","",LEN(E31)-LEN(SUBSTITUTE(E31,",",""))+1)</f>
        <v/>
      </c>
      <c r="G31" s="50">
        <f>IF(A31="","",COUNTIF('משימות'!$D$3:$D$122,A31))</f>
        <v/>
      </c>
    </row>
    <row r="32" ht="18" customHeight="1">
      <c r="A32" s="47" t="n"/>
      <c r="B32" s="53" t="n"/>
      <c r="C32" s="53" t="n"/>
      <c r="D32" s="34" t="n"/>
      <c r="E32" s="31" t="n"/>
      <c r="F32" s="50">
        <f>IF(E32="","",LEN(E32)-LEN(SUBSTITUTE(E32,",",""))+1)</f>
        <v/>
      </c>
      <c r="G32" s="50">
        <f>IF(A32="","",COUNTIF('משימות'!$D$3:$D$122,A32))</f>
        <v/>
      </c>
    </row>
    <row r="33"/>
    <row r="34" ht="28" customHeight="1">
      <c r="A34" s="26" t="n"/>
    </row>
  </sheetData>
  <mergeCells count="2">
    <mergeCell ref="A1:G1"/>
    <mergeCell ref="A34:G34"/>
  </mergeCells>
  <dataValidations count="2">
    <dataValidation sqref="B3:B32" showDropDown="0" showInputMessage="0" showErrorMessage="0" allowBlank="1" type="list">
      <formula1>"הכנות שישי,תורנות שישי,תורנות שבת,תורנות מוצ"ש"</formula1>
    </dataValidation>
    <dataValidation sqref="C3:C32" showDropDown="0" showInputMessage="0" showErrorMessage="0" allowBlank="1" type="list">
      <formula1>"1,2,3"</formula1>
    </dataValidation>
  </dataValidations>
  <pageMargins left="0.75" right="0.75" top="1" bottom="1" header="0.5" footer="0.5"/>
  <pageSetup paperSize="9" fitToHeight="0" fitToWidth="1"/>
</worksheet>
</file>

<file path=xl/worksheets/sheet5.xml><?xml version="1.0" encoding="utf-8"?>
<worksheet xmlns="http://schemas.openxmlformats.org/spreadsheetml/2006/main">
  <sheetPr>
    <tabColor rgb="003BA48C"/>
    <outlinePr summaryBelow="1" summaryRight="1"/>
    <pageSetUpPr fitToPage="1"/>
  </sheetPr>
  <dimension ref="A1:I134"/>
  <sheetViews>
    <sheetView showGridLines="0" rightToLeft="1" workbookViewId="0">
      <pane ySplit="2" topLeftCell="A3"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42" customWidth="1" min="5" max="5"/>
    <col width="9" customWidth="1" min="6" max="6"/>
    <col width="9" customWidth="1" min="7" max="7"/>
    <col width="9" customWidth="1" min="8" max="8"/>
    <col width="28" customWidth="1" min="9" max="9"/>
  </cols>
  <sheetData>
    <row r="1" ht="36" customHeight="1">
      <c r="A1" s="27" t="inlineStr">
        <is>
          <t>חניכים — מי נמצא, מי בתורנות, וכמה עומס</t>
        </is>
      </c>
    </row>
    <row r="2" ht="24" customHeight="1">
      <c r="A2" s="9" t="inlineStr">
        <is>
          <t>שם</t>
        </is>
      </c>
      <c r="B2" s="9" t="inlineStr">
        <is>
          <t>תוכנית</t>
        </is>
      </c>
      <c r="C2" s="9" t="inlineStr">
        <is>
          <t>חבורה</t>
        </is>
      </c>
      <c r="D2" s="9" t="inlineStr">
        <is>
          <t>זמין/ה</t>
        </is>
      </c>
      <c r="E2" s="9" t="inlineStr">
        <is>
          <t>קבוצות השבת</t>
        </is>
      </c>
      <c r="F2" s="9" t="inlineStr">
        <is>
          <t>משימות השבת</t>
        </is>
      </c>
      <c r="G2" s="9" t="inlineStr">
        <is>
          <t>ניקוד השבת</t>
        </is>
      </c>
      <c r="H2" s="9" t="inlineStr">
        <is>
          <t>ניקוד מצטבר</t>
        </is>
      </c>
      <c r="I2" s="9" t="inlineStr">
        <is>
          <t>הערה</t>
        </is>
      </c>
    </row>
    <row r="3">
      <c r="A3" s="48" t="inlineStr">
        <is>
          <t>ניתאי שלום</t>
        </is>
      </c>
      <c r="B3" s="53" t="inlineStr">
        <is>
          <t>מדרשה</t>
        </is>
      </c>
      <c r="C3" s="35" t="inlineStr">
        <is>
          <t>אבי</t>
        </is>
      </c>
      <c r="D3" s="35" t="inlineStr">
        <is>
          <t>כן</t>
        </is>
      </c>
      <c r="E3" s="34" t="inlineStr">
        <is>
          <t>בית מדרש; גסטרונומים</t>
        </is>
      </c>
      <c r="F3" s="50">
        <f>IF(A3="","",COUNTIF('משימות'!$G$3:$G$122,"*"&amp;A3&amp;"*"))</f>
        <v/>
      </c>
      <c r="G3" s="35" t="n">
        <v>5</v>
      </c>
      <c r="H3" s="50">
        <f>IF(A3="","",SUMIF('היסטוריה'!$B$3:$B$3002,A3,'היסטוריה'!$E$3:$E$3002))</f>
        <v/>
      </c>
      <c r="I3" s="34" t="n"/>
    </row>
    <row r="4">
      <c r="A4" s="48" t="inlineStr">
        <is>
          <t>איתן וינסטון</t>
        </is>
      </c>
      <c r="B4" s="53" t="inlineStr">
        <is>
          <t>מדרשה</t>
        </is>
      </c>
      <c r="C4" s="35" t="n"/>
      <c r="D4" s="35" t="n"/>
      <c r="E4" s="34" t="n"/>
      <c r="F4" s="50">
        <f>IF(A4="","",COUNTIF('משימות'!$G$3:$G$122,"*"&amp;A4&amp;"*"))</f>
        <v/>
      </c>
      <c r="G4" s="35" t="n"/>
      <c r="H4" s="50">
        <f>IF(A4="","",SUMIF('היסטוריה'!$B$3:$B$3002,A4,'היסטוריה'!$E$3:$E$3002))</f>
        <v/>
      </c>
      <c r="I4" s="34" t="inlineStr">
        <is>
          <t>לא נוכח/ת</t>
        </is>
      </c>
    </row>
    <row r="5">
      <c r="A5" s="48" t="inlineStr">
        <is>
          <t>יובל יצחק</t>
        </is>
      </c>
      <c r="B5" s="53" t="inlineStr">
        <is>
          <t>מדרשה</t>
        </is>
      </c>
      <c r="C5" s="35" t="inlineStr">
        <is>
          <t>בניה</t>
        </is>
      </c>
      <c r="D5" s="35" t="inlineStr">
        <is>
          <t>כן</t>
        </is>
      </c>
      <c r="E5" s="34" t="inlineStr">
        <is>
          <t>ארוחת ערב; ניקיון בית המדרש במוצ"ש</t>
        </is>
      </c>
      <c r="F5" s="50">
        <f>IF(A5="","",COUNTIF('משימות'!$G$3:$G$122,"*"&amp;A5&amp;"*"))</f>
        <v/>
      </c>
      <c r="G5" s="35" t="n">
        <v>4</v>
      </c>
      <c r="H5" s="50">
        <f>IF(A5="","",SUMIF('היסטוריה'!$B$3:$B$3002,A5,'היסטוריה'!$E$3:$E$3002))</f>
        <v/>
      </c>
      <c r="I5" s="34" t="n"/>
    </row>
    <row r="6">
      <c r="A6" s="48" t="inlineStr">
        <is>
          <t>הילי אלפסי</t>
        </is>
      </c>
      <c r="B6" s="53" t="inlineStr">
        <is>
          <t>מדרשה</t>
        </is>
      </c>
      <c r="C6" s="35" t="inlineStr">
        <is>
          <t>הילה</t>
        </is>
      </c>
      <c r="D6" s="35" t="inlineStr">
        <is>
          <t>כן</t>
        </is>
      </c>
      <c r="E6" s="34" t="inlineStr">
        <is>
          <t>מטבוחה; פינוי ארוחת צהריים וסעודה שלישית</t>
        </is>
      </c>
      <c r="F6" s="50">
        <f>IF(A6="","",COUNTIF('משימות'!$G$3:$G$122,"*"&amp;A6&amp;"*"))</f>
        <v/>
      </c>
      <c r="G6" s="35" t="n">
        <v>5</v>
      </c>
      <c r="H6" s="50">
        <f>IF(A6="","",SUMIF('היסטוריה'!$B$3:$B$3002,A6,'היסטוריה'!$E$3:$E$3002))</f>
        <v/>
      </c>
      <c r="I6" s="34" t="n"/>
    </row>
    <row r="7">
      <c r="A7" s="48" t="inlineStr">
        <is>
          <t>יהב לוי</t>
        </is>
      </c>
      <c r="B7" s="53" t="inlineStr">
        <is>
          <t>מדרשה</t>
        </is>
      </c>
      <c r="C7" s="35" t="n"/>
      <c r="D7" s="35" t="n"/>
      <c r="E7" s="34" t="n"/>
      <c r="F7" s="50">
        <f>IF(A7="","",COUNTIF('משימות'!$G$3:$G$122,"*"&amp;A7&amp;"*"))</f>
        <v/>
      </c>
      <c r="G7" s="35" t="n"/>
      <c r="H7" s="50">
        <f>IF(A7="","",SUMIF('היסטוריה'!$B$3:$B$3002,A7,'היסטוריה'!$E$3:$E$3002))</f>
        <v/>
      </c>
      <c r="I7" s="34" t="inlineStr">
        <is>
          <t>לא נוכח/ת</t>
        </is>
      </c>
    </row>
    <row r="8">
      <c r="A8" s="48" t="inlineStr">
        <is>
          <t>שחר קרן</t>
        </is>
      </c>
      <c r="B8" s="53" t="inlineStr">
        <is>
          <t>מדרשה</t>
        </is>
      </c>
      <c r="C8" s="35" t="inlineStr">
        <is>
          <t>הילה</t>
        </is>
      </c>
      <c r="D8" s="35" t="inlineStr">
        <is>
          <t>כן</t>
        </is>
      </c>
      <c r="E8" s="34" t="inlineStr">
        <is>
          <t>ניקיון חדר האוכל בשישי; ניקיון חדר האוכל במוצ"ש</t>
        </is>
      </c>
      <c r="F8" s="50">
        <f>IF(A8="","",COUNTIF('משימות'!$G$3:$G$122,"*"&amp;A8&amp;"*"))</f>
        <v/>
      </c>
      <c r="G8" s="35" t="n">
        <v>6</v>
      </c>
      <c r="H8" s="50">
        <f>IF(A8="","",SUMIF('היסטוריה'!$B$3:$B$3002,A8,'היסטוריה'!$E$3:$E$3002))</f>
        <v/>
      </c>
      <c r="I8" s="34" t="n"/>
    </row>
    <row r="9">
      <c r="A9" s="48" t="inlineStr">
        <is>
          <t>ירדן בן שחר</t>
        </is>
      </c>
      <c r="B9" s="53" t="inlineStr">
        <is>
          <t>מדרשה</t>
        </is>
      </c>
      <c r="C9" s="35" t="inlineStr">
        <is>
          <t>הילה</t>
        </is>
      </c>
      <c r="D9" s="35" t="inlineStr">
        <is>
          <t>כן</t>
        </is>
      </c>
      <c r="E9" s="34" t="inlineStr">
        <is>
          <t>ניקיון חדר האוכל בשישי; ארוחת ערב מוצ"ש</t>
        </is>
      </c>
      <c r="F9" s="50">
        <f>IF(A9="","",COUNTIF('משימות'!$G$3:$G$122,"*"&amp;A9&amp;"*"))</f>
        <v/>
      </c>
      <c r="G9" s="35" t="n">
        <v>6</v>
      </c>
      <c r="H9" s="50">
        <f>IF(A9="","",SUMIF('היסטוריה'!$B$3:$B$3002,A9,'היסטוריה'!$E$3:$E$3002))</f>
        <v/>
      </c>
      <c r="I9" s="34" t="n"/>
    </row>
    <row r="10">
      <c r="A10" s="48" t="inlineStr">
        <is>
          <t>אחיה נחמני</t>
        </is>
      </c>
      <c r="B10" s="53" t="inlineStr">
        <is>
          <t>מדרשה</t>
        </is>
      </c>
      <c r="C10" s="35" t="inlineStr">
        <is>
          <t>אבי</t>
        </is>
      </c>
      <c r="D10" s="35" t="inlineStr">
        <is>
          <t>כן</t>
        </is>
      </c>
      <c r="E10" s="34" t="inlineStr">
        <is>
          <t>בית מדרש; ניקיון בית המדרש במוצ"ש</t>
        </is>
      </c>
      <c r="F10" s="50">
        <f>IF(A10="","",COUNTIF('משימות'!$G$3:$G$122,"*"&amp;A10&amp;"*"))</f>
        <v/>
      </c>
      <c r="G10" s="35" t="n">
        <v>5</v>
      </c>
      <c r="H10" s="50">
        <f>IF(A10="","",SUMIF('היסטוריה'!$B$3:$B$3002,A10,'היסטוריה'!$E$3:$E$3002))</f>
        <v/>
      </c>
      <c r="I10" s="34" t="n"/>
    </row>
    <row r="11">
      <c r="A11" s="48" t="inlineStr">
        <is>
          <t>מעיין יוספי</t>
        </is>
      </c>
      <c r="B11" s="53" t="inlineStr">
        <is>
          <t>מדרשה</t>
        </is>
      </c>
      <c r="C11" s="35" t="n"/>
      <c r="D11" s="35" t="n"/>
      <c r="E11" s="34" t="n"/>
      <c r="F11" s="50">
        <f>IF(A11="","",COUNTIF('משימות'!$G$3:$G$122,"*"&amp;A11&amp;"*"))</f>
        <v/>
      </c>
      <c r="G11" s="35" t="n"/>
      <c r="H11" s="50">
        <f>IF(A11="","",SUMIF('היסטוריה'!$B$3:$B$3002,A11,'היסטוריה'!$E$3:$E$3002))</f>
        <v/>
      </c>
      <c r="I11" s="34" t="inlineStr">
        <is>
          <t>לא נוכח/ת</t>
        </is>
      </c>
    </row>
    <row r="12">
      <c r="A12" s="48" t="inlineStr">
        <is>
          <t>עמית סיילס</t>
        </is>
      </c>
      <c r="B12" s="53" t="inlineStr">
        <is>
          <t>מדרשה</t>
        </is>
      </c>
      <c r="C12" s="35" t="inlineStr">
        <is>
          <t>תמר</t>
        </is>
      </c>
      <c r="D12" s="35" t="inlineStr">
        <is>
          <t>כן</t>
        </is>
      </c>
      <c r="E12" s="34" t="inlineStr">
        <is>
          <t>ניקיון חדר האוכל בשישי; ניקיון חדר האוכל במוצ"ש</t>
        </is>
      </c>
      <c r="F12" s="50">
        <f>IF(A12="","",COUNTIF('משימות'!$G$3:$G$122,"*"&amp;A12&amp;"*"))</f>
        <v/>
      </c>
      <c r="G12" s="35" t="n">
        <v>6</v>
      </c>
      <c r="H12" s="50">
        <f>IF(A12="","",SUMIF('היסטוריה'!$B$3:$B$3002,A12,'היסטוריה'!$E$3:$E$3002))</f>
        <v/>
      </c>
      <c r="I12" s="34" t="n"/>
    </row>
    <row r="13">
      <c r="A13" s="48" t="inlineStr">
        <is>
          <t>אריאלה מרכוס</t>
        </is>
      </c>
      <c r="B13" s="53" t="inlineStr">
        <is>
          <t>מדרשה</t>
        </is>
      </c>
      <c r="C13" s="35" t="n"/>
      <c r="D13" s="35" t="inlineStr">
        <is>
          <t>כן</t>
        </is>
      </c>
      <c r="E13" s="34" t="inlineStr">
        <is>
          <t>חלות; קידוש</t>
        </is>
      </c>
      <c r="F13" s="50">
        <f>IF(A13="","",COUNTIF('משימות'!$G$3:$G$122,"*"&amp;A13&amp;"*"))</f>
        <v/>
      </c>
      <c r="G13" s="35" t="n">
        <v>4</v>
      </c>
      <c r="H13" s="50">
        <f>IF(A13="","",SUMIF('היסטוריה'!$B$3:$B$3002,A13,'היסטוריה'!$E$3:$E$3002))</f>
        <v/>
      </c>
      <c r="I13" s="34" t="n"/>
    </row>
    <row r="14">
      <c r="A14" s="48" t="inlineStr">
        <is>
          <t>משה אוברשטיין</t>
        </is>
      </c>
      <c r="B14" s="53" t="inlineStr">
        <is>
          <t>מדרשה</t>
        </is>
      </c>
      <c r="C14" s="35" t="inlineStr">
        <is>
          <t>תמר</t>
        </is>
      </c>
      <c r="D14" s="35" t="inlineStr">
        <is>
          <t>כן</t>
        </is>
      </c>
      <c r="E14" s="34" t="inlineStr">
        <is>
          <t>פינוי ארוחת ערב; ניקיון חדר האוכל במוצ"ש</t>
        </is>
      </c>
      <c r="F14" s="50">
        <f>IF(A14="","",COUNTIF('משימות'!$G$3:$G$122,"*"&amp;A14&amp;"*"))</f>
        <v/>
      </c>
      <c r="G14" s="35" t="n">
        <v>5</v>
      </c>
      <c r="H14" s="50">
        <f>IF(A14="","",SUMIF('היסטוריה'!$B$3:$B$3002,A14,'היסטוריה'!$E$3:$E$3002))</f>
        <v/>
      </c>
      <c r="I14" s="34" t="n"/>
    </row>
    <row r="15">
      <c r="A15" s="48" t="inlineStr">
        <is>
          <t>אוריה תעשה</t>
        </is>
      </c>
      <c r="B15" s="53" t="inlineStr">
        <is>
          <t>מדרשה</t>
        </is>
      </c>
      <c r="C15" s="35" t="inlineStr">
        <is>
          <t>יואב</t>
        </is>
      </c>
      <c r="D15" s="35" t="inlineStr">
        <is>
          <t>כן</t>
        </is>
      </c>
      <c r="E15" s="34" t="inlineStr">
        <is>
          <t>בית מדרש; פינוי ארוחת ערב</t>
        </is>
      </c>
      <c r="F15" s="50">
        <f>IF(A15="","",COUNTIF('משימות'!$G$3:$G$122,"*"&amp;A15&amp;"*"))</f>
        <v/>
      </c>
      <c r="G15" s="35" t="n">
        <v>5</v>
      </c>
      <c r="H15" s="50">
        <f>IF(A15="","",SUMIF('היסטוריה'!$B$3:$B$3002,A15,'היסטוריה'!$E$3:$E$3002))</f>
        <v/>
      </c>
      <c r="I15" s="34" t="n"/>
    </row>
    <row r="16">
      <c r="A16" s="48" t="inlineStr">
        <is>
          <t>יונתן לירז</t>
        </is>
      </c>
      <c r="B16" s="53" t="inlineStr">
        <is>
          <t>מדרשה</t>
        </is>
      </c>
      <c r="C16" s="35" t="inlineStr">
        <is>
          <t>יואב</t>
        </is>
      </c>
      <c r="D16" s="35" t="inlineStr">
        <is>
          <t>כן</t>
        </is>
      </c>
      <c r="E16" s="34" t="inlineStr">
        <is>
          <t>ארוחת ערב; ניקיון בית המדרש במוצ"ש</t>
        </is>
      </c>
      <c r="F16" s="50">
        <f>IF(A16="","",COUNTIF('משימות'!$G$3:$G$122,"*"&amp;A16&amp;"*"))</f>
        <v/>
      </c>
      <c r="G16" s="35" t="n">
        <v>4</v>
      </c>
      <c r="H16" s="50">
        <f>IF(A16="","",SUMIF('היסטוריה'!$B$3:$B$3002,A16,'היסטוריה'!$E$3:$E$3002))</f>
        <v/>
      </c>
      <c r="I16" s="34" t="n"/>
    </row>
    <row r="17">
      <c r="A17" s="48" t="inlineStr">
        <is>
          <t>פנחס אליהו גלוסקין</t>
        </is>
      </c>
      <c r="B17" s="53" t="inlineStr">
        <is>
          <t>מדרשה</t>
        </is>
      </c>
      <c r="C17" s="35" t="n"/>
      <c r="D17" s="35" t="inlineStr">
        <is>
          <t>כן</t>
        </is>
      </c>
      <c r="E17" s="34" t="inlineStr">
        <is>
          <t>חלות; קידוש</t>
        </is>
      </c>
      <c r="F17" s="50">
        <f>IF(A17="","",COUNTIF('משימות'!$G$3:$G$122,"*"&amp;A17&amp;"*"))</f>
        <v/>
      </c>
      <c r="G17" s="35" t="n">
        <v>4</v>
      </c>
      <c r="H17" s="50">
        <f>IF(A17="","",SUMIF('היסטוריה'!$B$3:$B$3002,A17,'היסטוריה'!$E$3:$E$3002))</f>
        <v/>
      </c>
      <c r="I17" s="34" t="n"/>
    </row>
    <row r="18">
      <c r="A18" s="48" t="inlineStr">
        <is>
          <t>נדב טוקר</t>
        </is>
      </c>
      <c r="B18" s="53" t="inlineStr">
        <is>
          <t>מדרשה</t>
        </is>
      </c>
      <c r="C18" s="35" t="n"/>
      <c r="D18" s="35" t="n"/>
      <c r="E18" s="34" t="n"/>
      <c r="F18" s="50">
        <f>IF(A18="","",COUNTIF('משימות'!$G$3:$G$122,"*"&amp;A18&amp;"*"))</f>
        <v/>
      </c>
      <c r="G18" s="35" t="n"/>
      <c r="H18" s="50">
        <f>IF(A18="","",SUMIF('היסטוריה'!$B$3:$B$3002,A18,'היסטוריה'!$E$3:$E$3002))</f>
        <v/>
      </c>
      <c r="I18" s="34" t="inlineStr">
        <is>
          <t>לא נוכח/ת</t>
        </is>
      </c>
    </row>
    <row r="19">
      <c r="A19" s="48" t="inlineStr">
        <is>
          <t>הדר עמדי</t>
        </is>
      </c>
      <c r="B19" s="53" t="inlineStr">
        <is>
          <t>מדרשה</t>
        </is>
      </c>
      <c r="C19" s="35" t="inlineStr">
        <is>
          <t>תמר</t>
        </is>
      </c>
      <c r="D19" s="35" t="inlineStr">
        <is>
          <t>כן</t>
        </is>
      </c>
      <c r="E19" s="34" t="inlineStr">
        <is>
          <t>עוגיות שוקולד צ'יפס; ניקיון בית המדרש במוצ"ש</t>
        </is>
      </c>
      <c r="F19" s="50">
        <f>IF(A19="","",COUNTIF('משימות'!$G$3:$G$122,"*"&amp;A19&amp;"*"))</f>
        <v/>
      </c>
      <c r="G19" s="35" t="n">
        <v>5</v>
      </c>
      <c r="H19" s="50">
        <f>IF(A19="","",SUMIF('היסטוריה'!$B$3:$B$3002,A19,'היסטוריה'!$E$3:$E$3002))</f>
        <v/>
      </c>
      <c r="I19" s="34" t="n"/>
    </row>
    <row r="20">
      <c r="A20" s="48" t="inlineStr">
        <is>
          <t>יואב אוחנה</t>
        </is>
      </c>
      <c r="B20" s="53" t="inlineStr">
        <is>
          <t>מדרשה</t>
        </is>
      </c>
      <c r="C20" s="35" t="inlineStr">
        <is>
          <t>הילה</t>
        </is>
      </c>
      <c r="D20" s="35" t="inlineStr">
        <is>
          <t>כן</t>
        </is>
      </c>
      <c r="E20" s="34" t="inlineStr">
        <is>
          <t>ארוחת ערב; ניקיון חדר האוכל במוצ"ש</t>
        </is>
      </c>
      <c r="F20" s="50">
        <f>IF(A20="","",COUNTIF('משימות'!$G$3:$G$122,"*"&amp;A20&amp;"*"))</f>
        <v/>
      </c>
      <c r="G20" s="35" t="n">
        <v>5</v>
      </c>
      <c r="H20" s="50">
        <f>IF(A20="","",SUMIF('היסטוריה'!$B$3:$B$3002,A20,'היסטוריה'!$E$3:$E$3002))</f>
        <v/>
      </c>
      <c r="I20" s="34" t="n"/>
    </row>
    <row r="21">
      <c r="A21" s="48" t="inlineStr">
        <is>
          <t>עופר בביוף</t>
        </is>
      </c>
      <c r="B21" s="53" t="inlineStr">
        <is>
          <t>מדרשה</t>
        </is>
      </c>
      <c r="C21" s="35" t="inlineStr">
        <is>
          <t>יואב</t>
        </is>
      </c>
      <c r="D21" s="35" t="inlineStr">
        <is>
          <t>כן</t>
        </is>
      </c>
      <c r="E21" s="34" t="inlineStr">
        <is>
          <t>בית מדרש; טיש</t>
        </is>
      </c>
      <c r="F21" s="50">
        <f>IF(A21="","",COUNTIF('משימות'!$G$3:$G$122,"*"&amp;A21&amp;"*"))</f>
        <v/>
      </c>
      <c r="G21" s="35" t="n">
        <v>4</v>
      </c>
      <c r="H21" s="50">
        <f>IF(A21="","",SUMIF('היסטוריה'!$B$3:$B$3002,A21,'היסטוריה'!$E$3:$E$3002))</f>
        <v/>
      </c>
      <c r="I21" s="34" t="n"/>
    </row>
    <row r="22">
      <c r="A22" s="48" t="inlineStr">
        <is>
          <t>הילה עזרא</t>
        </is>
      </c>
      <c r="B22" s="53" t="inlineStr">
        <is>
          <t>מדרשה</t>
        </is>
      </c>
      <c r="C22" s="35" t="inlineStr">
        <is>
          <t>הילה</t>
        </is>
      </c>
      <c r="D22" s="35" t="inlineStr">
        <is>
          <t>כן</t>
        </is>
      </c>
      <c r="E22" s="34" t="inlineStr">
        <is>
          <t>ארוחת צהריים שישי; פינוי ארוחת צהריים וסעודה שלישית</t>
        </is>
      </c>
      <c r="F22" s="50">
        <f>IF(A22="","",COUNTIF('משימות'!$G$3:$G$122,"*"&amp;A22&amp;"*"))</f>
        <v/>
      </c>
      <c r="G22" s="35" t="n">
        <v>5</v>
      </c>
      <c r="H22" s="50">
        <f>IF(A22="","",SUMIF('היסטוריה'!$B$3:$B$3002,A22,'היסטוריה'!$E$3:$E$3002))</f>
        <v/>
      </c>
      <c r="I22" s="34" t="n"/>
    </row>
    <row r="23">
      <c r="A23" s="48" t="inlineStr">
        <is>
          <t>בניה מעוז</t>
        </is>
      </c>
      <c r="B23" s="53" t="inlineStr">
        <is>
          <t>מדרשה</t>
        </is>
      </c>
      <c r="C23" s="35" t="n"/>
      <c r="D23" s="35" t="n"/>
      <c r="E23" s="34" t="n"/>
      <c r="F23" s="50">
        <f>IF(A23="","",COUNTIF('משימות'!$G$3:$G$122,"*"&amp;A23&amp;"*"))</f>
        <v/>
      </c>
      <c r="G23" s="35" t="n"/>
      <c r="H23" s="50">
        <f>IF(A23="","",SUMIF('היסטוריה'!$B$3:$B$3002,A23,'היסטוריה'!$E$3:$E$3002))</f>
        <v/>
      </c>
      <c r="I23" s="34" t="inlineStr">
        <is>
          <t>לא נוכח/ת</t>
        </is>
      </c>
    </row>
    <row r="24">
      <c r="A24" s="48" t="inlineStr">
        <is>
          <t>שחר מרקוביץ' גליק</t>
        </is>
      </c>
      <c r="B24" s="53" t="inlineStr">
        <is>
          <t>מדרשה</t>
        </is>
      </c>
      <c r="C24" s="35" t="n"/>
      <c r="D24" s="35" t="inlineStr">
        <is>
          <t>כן</t>
        </is>
      </c>
      <c r="E24" s="34" t="inlineStr">
        <is>
          <t>ארוחת צהריים שישי; ניקיון בית המדרש במוצ"ש</t>
        </is>
      </c>
      <c r="F24" s="50">
        <f>IF(A24="","",COUNTIF('משימות'!$G$3:$G$122,"*"&amp;A24&amp;"*"))</f>
        <v/>
      </c>
      <c r="G24" s="35" t="n">
        <v>5</v>
      </c>
      <c r="H24" s="50">
        <f>IF(A24="","",SUMIF('היסטוריה'!$B$3:$B$3002,A24,'היסטוריה'!$E$3:$E$3002))</f>
        <v/>
      </c>
      <c r="I24" s="34" t="n"/>
    </row>
    <row r="25">
      <c r="A25" s="48" t="inlineStr">
        <is>
          <t>חיים שמאי</t>
        </is>
      </c>
      <c r="B25" s="53" t="inlineStr">
        <is>
          <t>מדרשה</t>
        </is>
      </c>
      <c r="C25" s="35" t="inlineStr">
        <is>
          <t>הילה</t>
        </is>
      </c>
      <c r="D25" s="35" t="inlineStr">
        <is>
          <t>כן</t>
        </is>
      </c>
      <c r="E25" s="34" t="inlineStr">
        <is>
          <t>בית מדרש; ניקיון בית המדרש במוצ"ש</t>
        </is>
      </c>
      <c r="F25" s="50">
        <f>IF(A25="","",COUNTIF('משימות'!$G$3:$G$122,"*"&amp;A25&amp;"*"))</f>
        <v/>
      </c>
      <c r="G25" s="35" t="n">
        <v>5</v>
      </c>
      <c r="H25" s="50">
        <f>IF(A25="","",SUMIF('היסטוריה'!$B$3:$B$3002,A25,'היסטוריה'!$E$3:$E$3002))</f>
        <v/>
      </c>
      <c r="I25" s="34" t="n"/>
    </row>
    <row r="26">
      <c r="A26" s="48" t="inlineStr">
        <is>
          <t>אנה עזריאל</t>
        </is>
      </c>
      <c r="B26" s="53" t="inlineStr">
        <is>
          <t>מדרשה</t>
        </is>
      </c>
      <c r="C26" s="35" t="n"/>
      <c r="D26" s="35" t="n"/>
      <c r="E26" s="34" t="n"/>
      <c r="F26" s="50">
        <f>IF(A26="","",COUNTIF('משימות'!$G$3:$G$122,"*"&amp;A26&amp;"*"))</f>
        <v/>
      </c>
      <c r="G26" s="35" t="n"/>
      <c r="H26" s="50">
        <f>IF(A26="","",SUMIF('היסטוריה'!$B$3:$B$3002,A26,'היסטוריה'!$E$3:$E$3002))</f>
        <v/>
      </c>
      <c r="I26" s="34" t="inlineStr">
        <is>
          <t>לא נוכח/ת</t>
        </is>
      </c>
    </row>
    <row r="27">
      <c r="A27" s="48" t="inlineStr">
        <is>
          <t>אלרואי גרינברג</t>
        </is>
      </c>
      <c r="B27" s="53" t="inlineStr">
        <is>
          <t>מדרשה</t>
        </is>
      </c>
      <c r="C27" s="35" t="n"/>
      <c r="D27" s="35" t="n"/>
      <c r="E27" s="34" t="n"/>
      <c r="F27" s="50">
        <f>IF(A27="","",COUNTIF('משימות'!$G$3:$G$122,"*"&amp;A27&amp;"*"))</f>
        <v/>
      </c>
      <c r="G27" s="35" t="n"/>
      <c r="H27" s="50">
        <f>IF(A27="","",SUMIF('היסטוריה'!$B$3:$B$3002,A27,'היסטוריה'!$E$3:$E$3002))</f>
        <v/>
      </c>
      <c r="I27" s="34" t="inlineStr">
        <is>
          <t>לא נוכח/ת</t>
        </is>
      </c>
    </row>
    <row r="28">
      <c r="A28" s="48" t="inlineStr">
        <is>
          <t>אלה גוטליב</t>
        </is>
      </c>
      <c r="B28" s="53" t="inlineStr">
        <is>
          <t>מדרשה</t>
        </is>
      </c>
      <c r="C28" s="35" t="inlineStr">
        <is>
          <t>תמר</t>
        </is>
      </c>
      <c r="D28" s="35" t="inlineStr">
        <is>
          <t>כן</t>
        </is>
      </c>
      <c r="E28" s="34" t="inlineStr">
        <is>
          <t>ניקיון חדר האוכל בשישי; ניקיון חדר האוכל במוצ"ש</t>
        </is>
      </c>
      <c r="F28" s="50">
        <f>IF(A28="","",COUNTIF('משימות'!$G$3:$G$122,"*"&amp;A28&amp;"*"))</f>
        <v/>
      </c>
      <c r="G28" s="35" t="n">
        <v>6</v>
      </c>
      <c r="H28" s="50">
        <f>IF(A28="","",SUMIF('היסטוריה'!$B$3:$B$3002,A28,'היסטוריה'!$E$3:$E$3002))</f>
        <v/>
      </c>
      <c r="I28" s="34" t="n"/>
    </row>
    <row r="29">
      <c r="A29" s="48" t="inlineStr">
        <is>
          <t>רותם דרור</t>
        </is>
      </c>
      <c r="B29" s="53" t="inlineStr">
        <is>
          <t>מדרשה</t>
        </is>
      </c>
      <c r="C29" s="35" t="inlineStr">
        <is>
          <t>אבי</t>
        </is>
      </c>
      <c r="D29" s="35" t="inlineStr">
        <is>
          <t>כן</t>
        </is>
      </c>
      <c r="E29" s="34" t="inlineStr">
        <is>
          <t>ארוחת צהריים שישי; פינוי ארוחת ערב</t>
        </is>
      </c>
      <c r="F29" s="50">
        <f>IF(A29="","",COUNTIF('משימות'!$G$3:$G$122,"*"&amp;A29&amp;"*"))</f>
        <v/>
      </c>
      <c r="G29" s="35" t="n">
        <v>5</v>
      </c>
      <c r="H29" s="50">
        <f>IF(A29="","",SUMIF('היסטוריה'!$B$3:$B$3002,A29,'היסטוריה'!$E$3:$E$3002))</f>
        <v/>
      </c>
      <c r="I29" s="34" t="n"/>
    </row>
    <row r="30">
      <c r="A30" s="48" t="inlineStr">
        <is>
          <t>עומר יוסף גנון</t>
        </is>
      </c>
      <c r="B30" s="53" t="inlineStr">
        <is>
          <t>מדרשה</t>
        </is>
      </c>
      <c r="C30" s="35" t="n"/>
      <c r="D30" s="35" t="n"/>
      <c r="E30" s="34" t="n"/>
      <c r="F30" s="50">
        <f>IF(A30="","",COUNTIF('משימות'!$G$3:$G$122,"*"&amp;A30&amp;"*"))</f>
        <v/>
      </c>
      <c r="G30" s="35" t="n"/>
      <c r="H30" s="50">
        <f>IF(A30="","",SUMIF('היסטוריה'!$B$3:$B$3002,A30,'היסטוריה'!$E$3:$E$3002))</f>
        <v/>
      </c>
      <c r="I30" s="34" t="inlineStr">
        <is>
          <t>לא נוכח/ת</t>
        </is>
      </c>
    </row>
    <row r="31">
      <c r="A31" s="48" t="inlineStr">
        <is>
          <t>סהר שירון</t>
        </is>
      </c>
      <c r="B31" s="53" t="inlineStr">
        <is>
          <t>מדרשה</t>
        </is>
      </c>
      <c r="C31" s="35" t="n"/>
      <c r="D31" s="35" t="inlineStr">
        <is>
          <t>כן</t>
        </is>
      </c>
      <c r="E31" s="34" t="inlineStr">
        <is>
          <t>בית מדרש; ניקיון בית המדרש במוצ"ש</t>
        </is>
      </c>
      <c r="F31" s="50">
        <f>IF(A31="","",COUNTIF('משימות'!$G$3:$G$122,"*"&amp;A31&amp;"*"))</f>
        <v/>
      </c>
      <c r="G31" s="35" t="n">
        <v>5</v>
      </c>
      <c r="H31" s="50">
        <f>IF(A31="","",SUMIF('היסטוריה'!$B$3:$B$3002,A31,'היסטוריה'!$E$3:$E$3002))</f>
        <v/>
      </c>
      <c r="I31" s="34" t="n"/>
    </row>
    <row r="32">
      <c r="A32" s="48" t="inlineStr">
        <is>
          <t>שירה ספונוב</t>
        </is>
      </c>
      <c r="B32" s="53" t="inlineStr">
        <is>
          <t>מדרשה</t>
        </is>
      </c>
      <c r="C32" s="35" t="inlineStr">
        <is>
          <t>הילה</t>
        </is>
      </c>
      <c r="D32" s="35" t="inlineStr">
        <is>
          <t>כן</t>
        </is>
      </c>
      <c r="E32" s="34" t="inlineStr">
        <is>
          <t>בית מדרש; ניקיון חדר האוכל במוצ"ש</t>
        </is>
      </c>
      <c r="F32" s="50">
        <f>IF(A32="","",COUNTIF('משימות'!$G$3:$G$122,"*"&amp;A32&amp;"*"))</f>
        <v/>
      </c>
      <c r="G32" s="35" t="n">
        <v>6</v>
      </c>
      <c r="H32" s="50">
        <f>IF(A32="","",SUMIF('היסטוריה'!$B$3:$B$3002,A32,'היסטוריה'!$E$3:$E$3002))</f>
        <v/>
      </c>
      <c r="I32" s="34" t="n"/>
    </row>
    <row r="33">
      <c r="A33" s="48" t="inlineStr">
        <is>
          <t>הלל פינגולד</t>
        </is>
      </c>
      <c r="B33" s="53" t="inlineStr">
        <is>
          <t>מדרשה</t>
        </is>
      </c>
      <c r="C33" s="35" t="inlineStr">
        <is>
          <t>הילה</t>
        </is>
      </c>
      <c r="D33" s="35" t="inlineStr">
        <is>
          <t>כן</t>
        </is>
      </c>
      <c r="E33" s="34" t="inlineStr">
        <is>
          <t>עוגת שמרים; ארוחת צהריים שבת</t>
        </is>
      </c>
      <c r="F33" s="50">
        <f>IF(A33="","",COUNTIF('משימות'!$G$3:$G$122,"*"&amp;A33&amp;"*"))</f>
        <v/>
      </c>
      <c r="G33" s="35" t="n">
        <v>5</v>
      </c>
      <c r="H33" s="50">
        <f>IF(A33="","",SUMIF('היסטוריה'!$B$3:$B$3002,A33,'היסטוריה'!$E$3:$E$3002))</f>
        <v/>
      </c>
      <c r="I33" s="34" t="n"/>
    </row>
    <row r="34">
      <c r="A34" s="48" t="inlineStr">
        <is>
          <t>מעיין רחל דינר</t>
        </is>
      </c>
      <c r="B34" s="53" t="inlineStr">
        <is>
          <t>מדרשה</t>
        </is>
      </c>
      <c r="C34" s="35" t="inlineStr">
        <is>
          <t>בניה</t>
        </is>
      </c>
      <c r="D34" s="35" t="inlineStr">
        <is>
          <t>כן</t>
        </is>
      </c>
      <c r="E34" s="34" t="inlineStr">
        <is>
          <t>עוגת שמרים; פינוי ארוחת צהריים וסעודה שלישית</t>
        </is>
      </c>
      <c r="F34" s="50">
        <f>IF(A34="","",COUNTIF('משימות'!$G$3:$G$122,"*"&amp;A34&amp;"*"))</f>
        <v/>
      </c>
      <c r="G34" s="35" t="n">
        <v>5</v>
      </c>
      <c r="H34" s="50">
        <f>IF(A34="","",SUMIF('היסטוריה'!$B$3:$B$3002,A34,'היסטוריה'!$E$3:$E$3002))</f>
        <v/>
      </c>
      <c r="I34" s="34" t="n"/>
    </row>
    <row r="35">
      <c r="A35" s="48" t="inlineStr">
        <is>
          <t>עמרי קולטון</t>
        </is>
      </c>
      <c r="B35" s="53" t="inlineStr">
        <is>
          <t>מדרשה</t>
        </is>
      </c>
      <c r="C35" s="35" t="n"/>
      <c r="D35" s="35" t="n"/>
      <c r="E35" s="34" t="n"/>
      <c r="F35" s="50">
        <f>IF(A35="","",COUNTIF('משימות'!$G$3:$G$122,"*"&amp;A35&amp;"*"))</f>
        <v/>
      </c>
      <c r="G35" s="35" t="n"/>
      <c r="H35" s="50">
        <f>IF(A35="","",SUMIF('היסטוריה'!$B$3:$B$3002,A35,'היסטוריה'!$E$3:$E$3002))</f>
        <v/>
      </c>
      <c r="I35" s="34" t="inlineStr">
        <is>
          <t>לא נוכח/ת</t>
        </is>
      </c>
    </row>
    <row r="36">
      <c r="A36" s="48" t="inlineStr">
        <is>
          <t>נגה חוה כהן</t>
        </is>
      </c>
      <c r="B36" s="53" t="inlineStr">
        <is>
          <t>מדרשה</t>
        </is>
      </c>
      <c r="C36" s="35" t="n"/>
      <c r="D36" s="35" t="n"/>
      <c r="E36" s="34" t="n"/>
      <c r="F36" s="50">
        <f>IF(A36="","",COUNTIF('משימות'!$G$3:$G$122,"*"&amp;A36&amp;"*"))</f>
        <v/>
      </c>
      <c r="G36" s="35" t="n"/>
      <c r="H36" s="50">
        <f>IF(A36="","",SUMIF('היסטוריה'!$B$3:$B$3002,A36,'היסטוריה'!$E$3:$E$3002))</f>
        <v/>
      </c>
      <c r="I36" s="34" t="inlineStr">
        <is>
          <t>לא נוכח/ת</t>
        </is>
      </c>
    </row>
    <row r="37">
      <c r="A37" s="48" t="inlineStr">
        <is>
          <t>קובי סמייסון</t>
        </is>
      </c>
      <c r="B37" s="53" t="inlineStr">
        <is>
          <t>מדרשה</t>
        </is>
      </c>
      <c r="C37" s="35" t="n"/>
      <c r="D37" s="35" t="n"/>
      <c r="E37" s="34" t="n"/>
      <c r="F37" s="50">
        <f>IF(A37="","",COUNTIF('משימות'!$G$3:$G$122,"*"&amp;A37&amp;"*"))</f>
        <v/>
      </c>
      <c r="G37" s="35" t="n"/>
      <c r="H37" s="50">
        <f>IF(A37="","",SUMIF('היסטוריה'!$B$3:$B$3002,A37,'היסטוריה'!$E$3:$E$3002))</f>
        <v/>
      </c>
      <c r="I37" s="34" t="inlineStr">
        <is>
          <t>לא נוכח/ת</t>
        </is>
      </c>
    </row>
    <row r="38">
      <c r="A38" s="48" t="inlineStr">
        <is>
          <t>נגה שוהם</t>
        </is>
      </c>
      <c r="B38" s="53" t="inlineStr">
        <is>
          <t>מדרשה</t>
        </is>
      </c>
      <c r="C38" s="35" t="inlineStr">
        <is>
          <t>יואב</t>
        </is>
      </c>
      <c r="D38" s="35" t="inlineStr">
        <is>
          <t>כן</t>
        </is>
      </c>
      <c r="E38" s="34" t="inlineStr">
        <is>
          <t>בית מדרש; פינוי ארוחת צהריים וסעודה שלישית</t>
        </is>
      </c>
      <c r="F38" s="50">
        <f>IF(A38="","",COUNTIF('משימות'!$G$3:$G$122,"*"&amp;A38&amp;"*"))</f>
        <v/>
      </c>
      <c r="G38" s="35" t="n">
        <v>5</v>
      </c>
      <c r="H38" s="50">
        <f>IF(A38="","",SUMIF('היסטוריה'!$B$3:$B$3002,A38,'היסטוריה'!$E$3:$E$3002))</f>
        <v/>
      </c>
      <c r="I38" s="34" t="n"/>
    </row>
    <row r="39">
      <c r="A39" s="48" t="inlineStr">
        <is>
          <t>ינון לוי</t>
        </is>
      </c>
      <c r="B39" s="53" t="inlineStr">
        <is>
          <t>מדרשה</t>
        </is>
      </c>
      <c r="C39" s="35" t="inlineStr">
        <is>
          <t>אבי</t>
        </is>
      </c>
      <c r="D39" s="35" t="inlineStr">
        <is>
          <t>כן</t>
        </is>
      </c>
      <c r="E39" s="34" t="inlineStr">
        <is>
          <t>ניקיון חדר האוכל בשישי; ארוחת ערב מוצ"ש</t>
        </is>
      </c>
      <c r="F39" s="50">
        <f>IF(A39="","",COUNTIF('משימות'!$G$3:$G$122,"*"&amp;A39&amp;"*"))</f>
        <v/>
      </c>
      <c r="G39" s="35" t="n">
        <v>6</v>
      </c>
      <c r="H39" s="50">
        <f>IF(A39="","",SUMIF('היסטוריה'!$B$3:$B$3002,A39,'היסטוריה'!$E$3:$E$3002))</f>
        <v/>
      </c>
      <c r="I39" s="34" t="n"/>
    </row>
    <row r="40">
      <c r="A40" s="48" t="inlineStr">
        <is>
          <t>אלה מאיר</t>
        </is>
      </c>
      <c r="B40" s="53" t="inlineStr">
        <is>
          <t>מדרשה</t>
        </is>
      </c>
      <c r="C40" s="35" t="inlineStr">
        <is>
          <t>תמר</t>
        </is>
      </c>
      <c r="D40" s="35" t="inlineStr">
        <is>
          <t>כן</t>
        </is>
      </c>
      <c r="E40" s="34" t="inlineStr">
        <is>
          <t>ניקיון חדר האוכל בשישי; ארוחת ערב מוצ"ש</t>
        </is>
      </c>
      <c r="F40" s="50">
        <f>IF(A40="","",COUNTIF('משימות'!$G$3:$G$122,"*"&amp;A40&amp;"*"))</f>
        <v/>
      </c>
      <c r="G40" s="35" t="n">
        <v>6</v>
      </c>
      <c r="H40" s="50">
        <f>IF(A40="","",SUMIF('היסטוריה'!$B$3:$B$3002,A40,'היסטוריה'!$E$3:$E$3002))</f>
        <v/>
      </c>
      <c r="I40" s="34" t="n"/>
    </row>
    <row r="41">
      <c r="A41" s="48" t="inlineStr">
        <is>
          <t>זואי כהן</t>
        </is>
      </c>
      <c r="B41" s="53" t="inlineStr">
        <is>
          <t>מדרשה</t>
        </is>
      </c>
      <c r="C41" s="35" t="inlineStr">
        <is>
          <t>תמר</t>
        </is>
      </c>
      <c r="D41" s="35" t="inlineStr">
        <is>
          <t>כן</t>
        </is>
      </c>
      <c r="E41" s="34" t="inlineStr">
        <is>
          <t>ניקיון חדר האוכל בשישי; ניקיון חדר האוכל במוצ"ש</t>
        </is>
      </c>
      <c r="F41" s="50">
        <f>IF(A41="","",COUNTIF('משימות'!$G$3:$G$122,"*"&amp;A41&amp;"*"))</f>
        <v/>
      </c>
      <c r="G41" s="35" t="n">
        <v>6</v>
      </c>
      <c r="H41" s="50">
        <f>IF(A41="","",SUMIF('היסטוריה'!$B$3:$B$3002,A41,'היסטוריה'!$E$3:$E$3002))</f>
        <v/>
      </c>
      <c r="I41" s="34" t="n"/>
    </row>
    <row r="42">
      <c r="A42" s="48" t="inlineStr">
        <is>
          <t>של״ו רובינשטיין</t>
        </is>
      </c>
      <c r="B42" s="53" t="inlineStr">
        <is>
          <t>מדרשה</t>
        </is>
      </c>
      <c r="C42" s="35" t="inlineStr">
        <is>
          <t>הילה</t>
        </is>
      </c>
      <c r="D42" s="35" t="inlineStr">
        <is>
          <t>כן</t>
        </is>
      </c>
      <c r="E42" s="34" t="inlineStr">
        <is>
          <t>מטבוחה; פינוי ארוחת ערב</t>
        </is>
      </c>
      <c r="F42" s="50">
        <f>IF(A42="","",COUNTIF('משימות'!$G$3:$G$122,"*"&amp;A42&amp;"*"))</f>
        <v/>
      </c>
      <c r="G42" s="35" t="n">
        <v>5</v>
      </c>
      <c r="H42" s="50">
        <f>IF(A42="","",SUMIF('היסטוריה'!$B$3:$B$3002,A42,'היסטוריה'!$E$3:$E$3002))</f>
        <v/>
      </c>
      <c r="I42" s="34" t="n"/>
    </row>
    <row r="43">
      <c r="A43" s="48" t="inlineStr">
        <is>
          <t>כליל בלאוקופף</t>
        </is>
      </c>
      <c r="B43" s="53" t="inlineStr">
        <is>
          <t>מדרשה</t>
        </is>
      </c>
      <c r="C43" s="35" t="inlineStr">
        <is>
          <t>בניה</t>
        </is>
      </c>
      <c r="D43" s="35" t="inlineStr">
        <is>
          <t>כן</t>
        </is>
      </c>
      <c r="E43" s="34" t="inlineStr">
        <is>
          <t>בית מדרש; פינוי ארוחת ערב</t>
        </is>
      </c>
      <c r="F43" s="50">
        <f>IF(A43="","",COUNTIF('משימות'!$G$3:$G$122,"*"&amp;A43&amp;"*"))</f>
        <v/>
      </c>
      <c r="G43" s="35" t="n">
        <v>5</v>
      </c>
      <c r="H43" s="50">
        <f>IF(A43="","",SUMIF('היסטוריה'!$B$3:$B$3002,A43,'היסטוריה'!$E$3:$E$3002))</f>
        <v/>
      </c>
      <c r="I43" s="34" t="n"/>
    </row>
    <row r="44">
      <c r="A44" s="48" t="inlineStr">
        <is>
          <t>רוני פרנקל</t>
        </is>
      </c>
      <c r="B44" s="53" t="inlineStr">
        <is>
          <t>מדרשה</t>
        </is>
      </c>
      <c r="C44" s="35" t="inlineStr">
        <is>
          <t>אבי</t>
        </is>
      </c>
      <c r="D44" s="35" t="inlineStr">
        <is>
          <t>כן</t>
        </is>
      </c>
      <c r="E44" s="34" t="inlineStr">
        <is>
          <t>ארוחת צהריים שישי; ניקיון בית המדרש במוצ"ש</t>
        </is>
      </c>
      <c r="F44" s="50">
        <f>IF(A44="","",COUNTIF('משימות'!$G$3:$G$122,"*"&amp;A44&amp;"*"))</f>
        <v/>
      </c>
      <c r="G44" s="35" t="n">
        <v>5</v>
      </c>
      <c r="H44" s="50">
        <f>IF(A44="","",SUMIF('היסטוריה'!$B$3:$B$3002,A44,'היסטוריה'!$E$3:$E$3002))</f>
        <v/>
      </c>
      <c r="I44" s="34" t="n"/>
    </row>
    <row r="45">
      <c r="A45" s="48" t="inlineStr">
        <is>
          <t>נועם גלס</t>
        </is>
      </c>
      <c r="B45" s="53" t="inlineStr">
        <is>
          <t>מדרשה</t>
        </is>
      </c>
      <c r="C45" s="35" t="n"/>
      <c r="D45" s="35" t="n"/>
      <c r="E45" s="34" t="n"/>
      <c r="F45" s="50">
        <f>IF(A45="","",COUNTIF('משימות'!$G$3:$G$122,"*"&amp;A45&amp;"*"))</f>
        <v/>
      </c>
      <c r="G45" s="35" t="n"/>
      <c r="H45" s="50">
        <f>IF(A45="","",SUMIF('היסטוריה'!$B$3:$B$3002,A45,'היסטוריה'!$E$3:$E$3002))</f>
        <v/>
      </c>
      <c r="I45" s="34" t="inlineStr">
        <is>
          <t>לא נוכח/ת</t>
        </is>
      </c>
    </row>
    <row r="46">
      <c r="A46" s="48" t="inlineStr">
        <is>
          <t>הילה לביא</t>
        </is>
      </c>
      <c r="B46" s="53" t="inlineStr">
        <is>
          <t>מדרשה</t>
        </is>
      </c>
      <c r="C46" s="35" t="n"/>
      <c r="D46" s="35" t="n"/>
      <c r="E46" s="34" t="n"/>
      <c r="F46" s="50">
        <f>IF(A46="","",COUNTIF('משימות'!$G$3:$G$122,"*"&amp;A46&amp;"*"))</f>
        <v/>
      </c>
      <c r="G46" s="35" t="n"/>
      <c r="H46" s="50">
        <f>IF(A46="","",SUMIF('היסטוריה'!$B$3:$B$3002,A46,'היסטוריה'!$E$3:$E$3002))</f>
        <v/>
      </c>
      <c r="I46" s="34" t="inlineStr">
        <is>
          <t>לא נוכח/ת</t>
        </is>
      </c>
    </row>
    <row r="47">
      <c r="A47" s="48" t="inlineStr">
        <is>
          <t>עמית שי אברהם</t>
        </is>
      </c>
      <c r="B47" s="53" t="inlineStr">
        <is>
          <t>מדרשה</t>
        </is>
      </c>
      <c r="C47" s="35" t="inlineStr">
        <is>
          <t>הילה</t>
        </is>
      </c>
      <c r="D47" s="35" t="inlineStr">
        <is>
          <t>כן</t>
        </is>
      </c>
      <c r="E47" s="34" t="inlineStr">
        <is>
          <t>ניקיון חדר האוכל בשישי; ארוחת ערב מוצ"ש</t>
        </is>
      </c>
      <c r="F47" s="50">
        <f>IF(A47="","",COUNTIF('משימות'!$G$3:$G$122,"*"&amp;A47&amp;"*"))</f>
        <v/>
      </c>
      <c r="G47" s="35" t="n">
        <v>6</v>
      </c>
      <c r="H47" s="50">
        <f>IF(A47="","",SUMIF('היסטוריה'!$B$3:$B$3002,A47,'היסטוריה'!$E$3:$E$3002))</f>
        <v/>
      </c>
      <c r="I47" s="34" t="n"/>
    </row>
    <row r="48">
      <c r="A48" s="48" t="inlineStr">
        <is>
          <t>תמר פרימור</t>
        </is>
      </c>
      <c r="B48" s="53" t="inlineStr">
        <is>
          <t>מדרשה</t>
        </is>
      </c>
      <c r="C48" s="35" t="n"/>
      <c r="D48" s="35" t="n"/>
      <c r="E48" s="34" t="n"/>
      <c r="F48" s="50">
        <f>IF(A48="","",COUNTIF('משימות'!$G$3:$G$122,"*"&amp;A48&amp;"*"))</f>
        <v/>
      </c>
      <c r="G48" s="35" t="n"/>
      <c r="H48" s="50">
        <f>IF(A48="","",SUMIF('היסטוריה'!$B$3:$B$3002,A48,'היסטוריה'!$E$3:$E$3002))</f>
        <v/>
      </c>
      <c r="I48" s="34" t="inlineStr">
        <is>
          <t>לא נוכח/ת</t>
        </is>
      </c>
    </row>
    <row r="49">
      <c r="A49" s="48" t="inlineStr">
        <is>
          <t>נבו בלוך</t>
        </is>
      </c>
      <c r="B49" s="53" t="inlineStr">
        <is>
          <t>מדרשה</t>
        </is>
      </c>
      <c r="C49" s="35" t="inlineStr">
        <is>
          <t>אבי</t>
        </is>
      </c>
      <c r="D49" s="35" t="inlineStr">
        <is>
          <t>כן</t>
        </is>
      </c>
      <c r="E49" s="34" t="inlineStr">
        <is>
          <t>בית מדרש; פינוי ארוחת ערב</t>
        </is>
      </c>
      <c r="F49" s="50">
        <f>IF(A49="","",COUNTIF('משימות'!$G$3:$G$122,"*"&amp;A49&amp;"*"))</f>
        <v/>
      </c>
      <c r="G49" s="35" t="n">
        <v>5</v>
      </c>
      <c r="H49" s="50">
        <f>IF(A49="","",SUMIF('היסטוריה'!$B$3:$B$3002,A49,'היסטוריה'!$E$3:$E$3002))</f>
        <v/>
      </c>
      <c r="I49" s="34" t="n"/>
    </row>
    <row r="50">
      <c r="A50" s="48" t="inlineStr">
        <is>
          <t>ארבל פרנקו</t>
        </is>
      </c>
      <c r="B50" s="53" t="inlineStr">
        <is>
          <t>מדרשה</t>
        </is>
      </c>
      <c r="C50" s="35" t="inlineStr">
        <is>
          <t>בניה</t>
        </is>
      </c>
      <c r="D50" s="35" t="inlineStr">
        <is>
          <t>כן</t>
        </is>
      </c>
      <c r="E50" s="34" t="inlineStr">
        <is>
          <t>בית מדרש; פינוי ארוחת ערב</t>
        </is>
      </c>
      <c r="F50" s="50">
        <f>IF(A50="","",COUNTIF('משימות'!$G$3:$G$122,"*"&amp;A50&amp;"*"))</f>
        <v/>
      </c>
      <c r="G50" s="35" t="n">
        <v>5</v>
      </c>
      <c r="H50" s="50">
        <f>IF(A50="","",SUMIF('היסטוריה'!$B$3:$B$3002,A50,'היסטוריה'!$E$3:$E$3002))</f>
        <v/>
      </c>
      <c r="I50" s="34" t="n"/>
    </row>
    <row r="51">
      <c r="A51" s="48" t="inlineStr">
        <is>
          <t>יעל ברחד</t>
        </is>
      </c>
      <c r="B51" s="53" t="inlineStr">
        <is>
          <t>מדרשה</t>
        </is>
      </c>
      <c r="C51" s="35" t="n"/>
      <c r="D51" s="35" t="n"/>
      <c r="E51" s="34" t="n"/>
      <c r="F51" s="50">
        <f>IF(A51="","",COUNTIF('משימות'!$G$3:$G$122,"*"&amp;A51&amp;"*"))</f>
        <v/>
      </c>
      <c r="G51" s="35" t="n"/>
      <c r="H51" s="50">
        <f>IF(A51="","",SUMIF('היסטוריה'!$B$3:$B$3002,A51,'היסטוריה'!$E$3:$E$3002))</f>
        <v/>
      </c>
      <c r="I51" s="34" t="inlineStr">
        <is>
          <t>לא נוכח/ת</t>
        </is>
      </c>
    </row>
    <row r="52">
      <c r="A52" s="48" t="inlineStr">
        <is>
          <t>תמר פרידמן</t>
        </is>
      </c>
      <c r="B52" s="53" t="inlineStr">
        <is>
          <t>מדרשה</t>
        </is>
      </c>
      <c r="C52" s="35" t="inlineStr">
        <is>
          <t>תמר</t>
        </is>
      </c>
      <c r="D52" s="35" t="inlineStr">
        <is>
          <t>כן</t>
        </is>
      </c>
      <c r="E52" s="34" t="inlineStr">
        <is>
          <t>טיש; ניקיון בית המדרש במוצ"ש</t>
        </is>
      </c>
      <c r="F52" s="50">
        <f>IF(A52="","",COUNTIF('משימות'!$G$3:$G$122,"*"&amp;A52&amp;"*"))</f>
        <v/>
      </c>
      <c r="G52" s="35" t="n">
        <v>3</v>
      </c>
      <c r="H52" s="50">
        <f>IF(A52="","",SUMIF('היסטוריה'!$B$3:$B$3002,A52,'היסטוריה'!$E$3:$E$3002))</f>
        <v/>
      </c>
      <c r="I52" s="34" t="n"/>
    </row>
    <row r="53">
      <c r="A53" s="48" t="inlineStr">
        <is>
          <t>יותם ספיר</t>
        </is>
      </c>
      <c r="B53" s="53" t="inlineStr">
        <is>
          <t>מדרשה</t>
        </is>
      </c>
      <c r="C53" s="35" t="n"/>
      <c r="D53" s="35" t="inlineStr">
        <is>
          <t>כן</t>
        </is>
      </c>
      <c r="E53" s="34" t="inlineStr">
        <is>
          <t>עוגת שוקולד; ארוחת צהריים שבת</t>
        </is>
      </c>
      <c r="F53" s="50">
        <f>IF(A53="","",COUNTIF('משימות'!$G$3:$G$122,"*"&amp;A53&amp;"*"))</f>
        <v/>
      </c>
      <c r="G53" s="35" t="n">
        <v>5</v>
      </c>
      <c r="H53" s="50">
        <f>IF(A53="","",SUMIF('היסטוריה'!$B$3:$B$3002,A53,'היסטוריה'!$E$3:$E$3002))</f>
        <v/>
      </c>
      <c r="I53" s="34" t="n"/>
    </row>
    <row r="54">
      <c r="A54" s="48" t="inlineStr">
        <is>
          <t>איתמר אסנהיים</t>
        </is>
      </c>
      <c r="B54" s="53" t="inlineStr">
        <is>
          <t>מדרשה</t>
        </is>
      </c>
      <c r="C54" s="35" t="inlineStr">
        <is>
          <t>תמר</t>
        </is>
      </c>
      <c r="D54" s="35" t="inlineStr">
        <is>
          <t>כן</t>
        </is>
      </c>
      <c r="E54" s="34" t="inlineStr">
        <is>
          <t>ניקיון חדר האוכל בשישי; ארוחת ערב מוצ"ש</t>
        </is>
      </c>
      <c r="F54" s="50">
        <f>IF(A54="","",COUNTIF('משימות'!$G$3:$G$122,"*"&amp;A54&amp;"*"))</f>
        <v/>
      </c>
      <c r="G54" s="35" t="n">
        <v>6</v>
      </c>
      <c r="H54" s="50">
        <f>IF(A54="","",SUMIF('היסטוריה'!$B$3:$B$3002,A54,'היסטוריה'!$E$3:$E$3002))</f>
        <v/>
      </c>
      <c r="I54" s="34" t="n"/>
    </row>
    <row r="55">
      <c r="A55" s="48" t="inlineStr">
        <is>
          <t>שי- לי וולגמוט</t>
        </is>
      </c>
      <c r="B55" s="53" t="inlineStr">
        <is>
          <t>מדרשה</t>
        </is>
      </c>
      <c r="C55" s="35" t="inlineStr">
        <is>
          <t>בניה</t>
        </is>
      </c>
      <c r="D55" s="35" t="inlineStr">
        <is>
          <t>כן</t>
        </is>
      </c>
      <c r="E55" s="34" t="inlineStr">
        <is>
          <t>עוגיות שוקולד צ'יפס; גסטרונומים</t>
        </is>
      </c>
      <c r="F55" s="50">
        <f>IF(A55="","",COUNTIF('משימות'!$G$3:$G$122,"*"&amp;A55&amp;"*"))</f>
        <v/>
      </c>
      <c r="G55" s="35" t="n">
        <v>5</v>
      </c>
      <c r="H55" s="50">
        <f>IF(A55="","",SUMIF('היסטוריה'!$B$3:$B$3002,A55,'היסטוריה'!$E$3:$E$3002))</f>
        <v/>
      </c>
      <c r="I55" s="34" t="n"/>
    </row>
    <row r="56">
      <c r="A56" s="48" t="inlineStr">
        <is>
          <t>שילת פילפל</t>
        </is>
      </c>
      <c r="B56" s="53" t="inlineStr">
        <is>
          <t>מדרשה</t>
        </is>
      </c>
      <c r="C56" s="35" t="inlineStr">
        <is>
          <t>בניה</t>
        </is>
      </c>
      <c r="D56" s="35" t="inlineStr">
        <is>
          <t>כן</t>
        </is>
      </c>
      <c r="E56" s="34" t="inlineStr">
        <is>
          <t>ניקיון חדר האוכל בשישי; ניקיון חדר האוכל במוצ"ש</t>
        </is>
      </c>
      <c r="F56" s="50">
        <f>IF(A56="","",COUNTIF('משימות'!$G$3:$G$122,"*"&amp;A56&amp;"*"))</f>
        <v/>
      </c>
      <c r="G56" s="35" t="n">
        <v>6</v>
      </c>
      <c r="H56" s="50">
        <f>IF(A56="","",SUMIF('היסטוריה'!$B$3:$B$3002,A56,'היסטוריה'!$E$3:$E$3002))</f>
        <v/>
      </c>
      <c r="I56" s="34" t="n"/>
    </row>
    <row r="57">
      <c r="A57" s="48" t="inlineStr">
        <is>
          <t>נועם ישראל קומפאס</t>
        </is>
      </c>
      <c r="B57" s="53" t="inlineStr">
        <is>
          <t>מדרשה</t>
        </is>
      </c>
      <c r="C57" s="35" t="inlineStr">
        <is>
          <t>בניה</t>
        </is>
      </c>
      <c r="D57" s="35" t="inlineStr">
        <is>
          <t>כן</t>
        </is>
      </c>
      <c r="E57" s="34" t="inlineStr">
        <is>
          <t>מטבוחה; פינוי ארוחת צהריים וסעודה שלישית</t>
        </is>
      </c>
      <c r="F57" s="50">
        <f>IF(A57="","",COUNTIF('משימות'!$G$3:$G$122,"*"&amp;A57&amp;"*"))</f>
        <v/>
      </c>
      <c r="G57" s="35" t="n">
        <v>5</v>
      </c>
      <c r="H57" s="50">
        <f>IF(A57="","",SUMIF('היסטוריה'!$B$3:$B$3002,A57,'היסטוריה'!$E$3:$E$3002))</f>
        <v/>
      </c>
      <c r="I57" s="34" t="n"/>
    </row>
    <row r="58">
      <c r="A58" s="48" t="inlineStr">
        <is>
          <t>רועי צבי סרי</t>
        </is>
      </c>
      <c r="B58" s="53" t="inlineStr">
        <is>
          <t>מדרשה</t>
        </is>
      </c>
      <c r="C58" s="35" t="n"/>
      <c r="D58" s="35" t="n"/>
      <c r="E58" s="34" t="n"/>
      <c r="F58" s="50">
        <f>IF(A58="","",COUNTIF('משימות'!$G$3:$G$122,"*"&amp;A58&amp;"*"))</f>
        <v/>
      </c>
      <c r="G58" s="35" t="n"/>
      <c r="H58" s="50">
        <f>IF(A58="","",SUMIF('היסטוריה'!$B$3:$B$3002,A58,'היסטוריה'!$E$3:$E$3002))</f>
        <v/>
      </c>
      <c r="I58" s="34" t="inlineStr">
        <is>
          <t>לא נוכח/ת</t>
        </is>
      </c>
    </row>
    <row r="59">
      <c r="A59" s="48" t="inlineStr">
        <is>
          <t>איתן כהן</t>
        </is>
      </c>
      <c r="B59" s="53" t="inlineStr">
        <is>
          <t>מדרשה</t>
        </is>
      </c>
      <c r="C59" s="35" t="n"/>
      <c r="D59" s="35" t="n"/>
      <c r="E59" s="34" t="n"/>
      <c r="F59" s="50">
        <f>IF(A59="","",COUNTIF('משימות'!$G$3:$G$122,"*"&amp;A59&amp;"*"))</f>
        <v/>
      </c>
      <c r="G59" s="35" t="n"/>
      <c r="H59" s="50">
        <f>IF(A59="","",SUMIF('היסטוריה'!$B$3:$B$3002,A59,'היסטוריה'!$E$3:$E$3002))</f>
        <v/>
      </c>
      <c r="I59" s="34" t="inlineStr">
        <is>
          <t>לא נוכח/ת</t>
        </is>
      </c>
    </row>
    <row r="60">
      <c r="A60" s="48" t="inlineStr">
        <is>
          <t>איתי בן מנחם</t>
        </is>
      </c>
      <c r="B60" s="53" t="inlineStr">
        <is>
          <t>מדרשה</t>
        </is>
      </c>
      <c r="C60" s="35" t="n"/>
      <c r="D60" s="35" t="n"/>
      <c r="E60" s="34" t="n"/>
      <c r="F60" s="50">
        <f>IF(A60="","",COUNTIF('משימות'!$G$3:$G$122,"*"&amp;A60&amp;"*"))</f>
        <v/>
      </c>
      <c r="G60" s="35" t="n"/>
      <c r="H60" s="50">
        <f>IF(A60="","",SUMIF('היסטוריה'!$B$3:$B$3002,A60,'היסטוריה'!$E$3:$E$3002))</f>
        <v/>
      </c>
      <c r="I60" s="34" t="inlineStr">
        <is>
          <t>לא נוכח/ת</t>
        </is>
      </c>
    </row>
    <row r="61">
      <c r="A61" s="48" t="inlineStr">
        <is>
          <t>טליה קור</t>
        </is>
      </c>
      <c r="B61" s="53" t="inlineStr">
        <is>
          <t>מדרשה</t>
        </is>
      </c>
      <c r="C61" s="35" t="inlineStr">
        <is>
          <t>הילה</t>
        </is>
      </c>
      <c r="D61" s="35" t="inlineStr">
        <is>
          <t>כן</t>
        </is>
      </c>
      <c r="E61" s="34" t="inlineStr">
        <is>
          <t>מטבוחה; טיש</t>
        </is>
      </c>
      <c r="F61" s="50">
        <f>IF(A61="","",COUNTIF('משימות'!$G$3:$G$122,"*"&amp;A61&amp;"*"))</f>
        <v/>
      </c>
      <c r="G61" s="35" t="n">
        <v>4</v>
      </c>
      <c r="H61" s="50">
        <f>IF(A61="","",SUMIF('היסטוריה'!$B$3:$B$3002,A61,'היסטוריה'!$E$3:$E$3002))</f>
        <v/>
      </c>
      <c r="I61" s="34" t="n"/>
    </row>
    <row r="62">
      <c r="A62" s="48" t="inlineStr">
        <is>
          <t>ניצן גמלא</t>
        </is>
      </c>
      <c r="B62" s="53" t="inlineStr">
        <is>
          <t>מדרשה</t>
        </is>
      </c>
      <c r="C62" s="35" t="inlineStr">
        <is>
          <t>תמר</t>
        </is>
      </c>
      <c r="D62" s="35" t="inlineStr">
        <is>
          <t>כן</t>
        </is>
      </c>
      <c r="E62" s="34" t="inlineStr">
        <is>
          <t>עוגת שוקולד; ארוחת צהריים שבת</t>
        </is>
      </c>
      <c r="F62" s="50">
        <f>IF(A62="","",COUNTIF('משימות'!$G$3:$G$122,"*"&amp;A62&amp;"*"))</f>
        <v/>
      </c>
      <c r="G62" s="35" t="n">
        <v>5</v>
      </c>
      <c r="H62" s="50">
        <f>IF(A62="","",SUMIF('היסטוריה'!$B$3:$B$3002,A62,'היסטוריה'!$E$3:$E$3002))</f>
        <v/>
      </c>
      <c r="I62" s="34" t="n"/>
    </row>
    <row r="63">
      <c r="A63" s="48" t="inlineStr">
        <is>
          <t>אביה וייל</t>
        </is>
      </c>
      <c r="B63" s="53" t="inlineStr">
        <is>
          <t>מדרשה</t>
        </is>
      </c>
      <c r="C63" s="35" t="inlineStr">
        <is>
          <t>אלול</t>
        </is>
      </c>
      <c r="D63" s="35" t="inlineStr">
        <is>
          <t>כן</t>
        </is>
      </c>
      <c r="E63" s="34" t="inlineStr">
        <is>
          <t>בית מדרש; ניקיון חדר האוכל במוצ"ש</t>
        </is>
      </c>
      <c r="F63" s="50">
        <f>IF(A63="","",COUNTIF('משימות'!$G$3:$G$122,"*"&amp;A63&amp;"*"))</f>
        <v/>
      </c>
      <c r="G63" s="35" t="n">
        <v>6</v>
      </c>
      <c r="H63" s="50">
        <f>IF(A63="","",SUMIF('היסטוריה'!$B$3:$B$3002,A63,'היסטוריה'!$E$3:$E$3002))</f>
        <v/>
      </c>
      <c r="I63" s="34" t="n"/>
    </row>
    <row r="64">
      <c r="A64" s="48" t="inlineStr">
        <is>
          <t>אורי אסף</t>
        </is>
      </c>
      <c r="B64" s="53" t="inlineStr">
        <is>
          <t>מדרשה</t>
        </is>
      </c>
      <c r="C64" s="35" t="n"/>
      <c r="D64" s="35" t="n"/>
      <c r="E64" s="34" t="n"/>
      <c r="F64" s="50">
        <f>IF(A64="","",COUNTIF('משימות'!$G$3:$G$122,"*"&amp;A64&amp;"*"))</f>
        <v/>
      </c>
      <c r="G64" s="35" t="n"/>
      <c r="H64" s="50">
        <f>IF(A64="","",SUMIF('היסטוריה'!$B$3:$B$3002,A64,'היסטוריה'!$E$3:$E$3002))</f>
        <v/>
      </c>
      <c r="I64" s="34" t="inlineStr">
        <is>
          <t>לא נוכח/ת</t>
        </is>
      </c>
    </row>
    <row r="65">
      <c r="A65" s="48" t="inlineStr">
        <is>
          <t>יערה ריס</t>
        </is>
      </c>
      <c r="B65" s="53" t="inlineStr">
        <is>
          <t>מדרשה</t>
        </is>
      </c>
      <c r="C65" s="35" t="inlineStr">
        <is>
          <t>אלול</t>
        </is>
      </c>
      <c r="D65" s="35" t="inlineStr">
        <is>
          <t>כן</t>
        </is>
      </c>
      <c r="E65" s="34" t="inlineStr">
        <is>
          <t>ניקיון חדר האוכל בשישי; ניקיון בית המדרש במוצ"ש</t>
        </is>
      </c>
      <c r="F65" s="50">
        <f>IF(A65="","",COUNTIF('משימות'!$G$3:$G$122,"*"&amp;A65&amp;"*"))</f>
        <v/>
      </c>
      <c r="G65" s="35" t="n">
        <v>5</v>
      </c>
      <c r="H65" s="50">
        <f>IF(A65="","",SUMIF('היסטוריה'!$B$3:$B$3002,A65,'היסטוריה'!$E$3:$E$3002))</f>
        <v/>
      </c>
      <c r="I65" s="34" t="n"/>
    </row>
    <row r="66">
      <c r="A66" s="48" t="inlineStr">
        <is>
          <t>ליאור שימרלינג</t>
        </is>
      </c>
      <c r="B66" s="53" t="inlineStr">
        <is>
          <t>מדרשה</t>
        </is>
      </c>
      <c r="C66" s="35" t="n"/>
      <c r="D66" s="35" t="n"/>
      <c r="E66" s="34" t="n"/>
      <c r="F66" s="50">
        <f>IF(A66="","",COUNTIF('משימות'!$G$3:$G$122,"*"&amp;A66&amp;"*"))</f>
        <v/>
      </c>
      <c r="G66" s="35" t="n"/>
      <c r="H66" s="50">
        <f>IF(A66="","",SUMIF('היסטוריה'!$B$3:$B$3002,A66,'היסטוריה'!$E$3:$E$3002))</f>
        <v/>
      </c>
      <c r="I66" s="34" t="inlineStr">
        <is>
          <t>לא נוכח/ת</t>
        </is>
      </c>
    </row>
    <row r="67">
      <c r="A67" s="48" t="inlineStr">
        <is>
          <t>ליבי בוכריס</t>
        </is>
      </c>
      <c r="B67" s="53" t="inlineStr">
        <is>
          <t>מדרשה</t>
        </is>
      </c>
      <c r="C67" s="35" t="n"/>
      <c r="D67" s="35" t="inlineStr">
        <is>
          <t>כן</t>
        </is>
      </c>
      <c r="E67" s="34" t="inlineStr">
        <is>
          <t>עוגת שמרים; ארוחת צהריים שבת</t>
        </is>
      </c>
      <c r="F67" s="50">
        <f>IF(A67="","",COUNTIF('משימות'!$G$3:$G$122,"*"&amp;A67&amp;"*"))</f>
        <v/>
      </c>
      <c r="G67" s="35" t="n">
        <v>5</v>
      </c>
      <c r="H67" s="50">
        <f>IF(A67="","",SUMIF('היסטוריה'!$B$3:$B$3002,A67,'היסטוריה'!$E$3:$E$3002))</f>
        <v/>
      </c>
      <c r="I67" s="34" t="n"/>
    </row>
    <row r="68">
      <c r="A68" s="48" t="inlineStr">
        <is>
          <t>ליעם גבע</t>
        </is>
      </c>
      <c r="B68" s="53" t="inlineStr">
        <is>
          <t>מדרשה</t>
        </is>
      </c>
      <c r="C68" s="35" t="n"/>
      <c r="D68" s="35" t="inlineStr">
        <is>
          <t>כן</t>
        </is>
      </c>
      <c r="E68" s="34" t="inlineStr">
        <is>
          <t>חלות; קידוש</t>
        </is>
      </c>
      <c r="F68" s="50">
        <f>IF(A68="","",COUNTIF('משימות'!$G$3:$G$122,"*"&amp;A68&amp;"*"))</f>
        <v/>
      </c>
      <c r="G68" s="35" t="n">
        <v>4</v>
      </c>
      <c r="H68" s="50">
        <f>IF(A68="","",SUMIF('היסטוריה'!$B$3:$B$3002,A68,'היסטוריה'!$E$3:$E$3002))</f>
        <v/>
      </c>
      <c r="I68" s="34" t="n"/>
    </row>
    <row r="69">
      <c r="A69" s="48" t="inlineStr">
        <is>
          <t>מאיה פקטר</t>
        </is>
      </c>
      <c r="B69" s="53" t="inlineStr">
        <is>
          <t>מדרשה</t>
        </is>
      </c>
      <c r="C69" s="35" t="inlineStr">
        <is>
          <t>אלול</t>
        </is>
      </c>
      <c r="D69" s="35" t="inlineStr">
        <is>
          <t>כן</t>
        </is>
      </c>
      <c r="E69" s="34" t="inlineStr">
        <is>
          <t>ניקיון חדר האוכל בשישי; ניקיון חדר האוכל במוצ"ש</t>
        </is>
      </c>
      <c r="F69" s="50">
        <f>IF(A69="","",COUNTIF('משימות'!$G$3:$G$122,"*"&amp;A69&amp;"*"))</f>
        <v/>
      </c>
      <c r="G69" s="35" t="n">
        <v>6</v>
      </c>
      <c r="H69" s="50">
        <f>IF(A69="","",SUMIF('היסטוריה'!$B$3:$B$3002,A69,'היסטוריה'!$E$3:$E$3002))</f>
        <v/>
      </c>
      <c r="I69" s="34" t="n"/>
    </row>
    <row r="70">
      <c r="A70" s="48" t="inlineStr">
        <is>
          <t>פרת פולס</t>
        </is>
      </c>
      <c r="B70" s="53" t="inlineStr">
        <is>
          <t>מדרשה</t>
        </is>
      </c>
      <c r="C70" s="35" t="n"/>
      <c r="D70" s="35" t="n"/>
      <c r="E70" s="34" t="n"/>
      <c r="F70" s="50">
        <f>IF(A70="","",COUNTIF('משימות'!$G$3:$G$122,"*"&amp;A70&amp;"*"))</f>
        <v/>
      </c>
      <c r="G70" s="35" t="n"/>
      <c r="H70" s="50">
        <f>IF(A70="","",SUMIF('היסטוריה'!$B$3:$B$3002,A70,'היסטוריה'!$E$3:$E$3002))</f>
        <v/>
      </c>
      <c r="I70" s="34" t="inlineStr">
        <is>
          <t>לא נוכח/ת</t>
        </is>
      </c>
    </row>
    <row r="71">
      <c r="A71" s="48" t="inlineStr">
        <is>
          <t>רגב שהם</t>
        </is>
      </c>
      <c r="B71" s="53" t="inlineStr">
        <is>
          <t>מדרשה</t>
        </is>
      </c>
      <c r="C71" s="35" t="n"/>
      <c r="D71" s="35" t="n"/>
      <c r="E71" s="34" t="n"/>
      <c r="F71" s="50">
        <f>IF(A71="","",COUNTIF('משימות'!$G$3:$G$122,"*"&amp;A71&amp;"*"))</f>
        <v/>
      </c>
      <c r="G71" s="35" t="n"/>
      <c r="H71" s="50">
        <f>IF(A71="","",SUMIF('היסטוריה'!$B$3:$B$3002,A71,'היסטוריה'!$E$3:$E$3002))</f>
        <v/>
      </c>
      <c r="I71" s="34" t="inlineStr">
        <is>
          <t>לא נוכח/ת</t>
        </is>
      </c>
    </row>
    <row r="72">
      <c r="A72" s="48" t="inlineStr">
        <is>
          <t>רוני כהן</t>
        </is>
      </c>
      <c r="B72" s="53" t="inlineStr">
        <is>
          <t>מדרשה</t>
        </is>
      </c>
      <c r="C72" s="35" t="inlineStr">
        <is>
          <t>אלול</t>
        </is>
      </c>
      <c r="D72" s="35" t="inlineStr">
        <is>
          <t>כן</t>
        </is>
      </c>
      <c r="E72" s="34" t="inlineStr">
        <is>
          <t>ארוחת ערב</t>
        </is>
      </c>
      <c r="F72" s="50">
        <f>IF(A72="","",COUNTIF('משימות'!$G$3:$G$122,"*"&amp;A72&amp;"*"))</f>
        <v/>
      </c>
      <c r="G72" s="35" t="n">
        <v>2</v>
      </c>
      <c r="H72" s="50">
        <f>IF(A72="","",SUMIF('היסטוריה'!$B$3:$B$3002,A72,'היסטוריה'!$E$3:$E$3002))</f>
        <v/>
      </c>
      <c r="I72" s="34" t="n"/>
    </row>
    <row r="73">
      <c r="A73" s="48" t="n"/>
      <c r="B73" s="53" t="n"/>
      <c r="C73" s="35" t="n"/>
      <c r="D73" s="35" t="n"/>
      <c r="E73" s="34" t="n"/>
      <c r="F73" s="50">
        <f>IF(A73="","",COUNTIF('משימות'!$G$3:$G$122,"*"&amp;A73&amp;"*"))</f>
        <v/>
      </c>
      <c r="G73" s="35" t="n"/>
      <c r="H73" s="50">
        <f>IF(A73="","",SUMIF('היסטוריה'!$B$3:$B$3002,A73,'היסטוריה'!$E$3:$E$3002))</f>
        <v/>
      </c>
      <c r="I73" s="34" t="n"/>
    </row>
    <row r="74">
      <c r="A74" s="48" t="n"/>
      <c r="B74" s="53" t="n"/>
      <c r="C74" s="35" t="n"/>
      <c r="D74" s="35" t="n"/>
      <c r="E74" s="34" t="n"/>
      <c r="F74" s="50">
        <f>IF(A74="","",COUNTIF('משימות'!$G$3:$G$122,"*"&amp;A74&amp;"*"))</f>
        <v/>
      </c>
      <c r="G74" s="35" t="n"/>
      <c r="H74" s="50">
        <f>IF(A74="","",SUMIF('היסטוריה'!$B$3:$B$3002,A74,'היסטוריה'!$E$3:$E$3002))</f>
        <v/>
      </c>
      <c r="I74" s="34" t="n"/>
    </row>
    <row r="75">
      <c r="A75" s="48" t="n"/>
      <c r="B75" s="53" t="n"/>
      <c r="C75" s="35" t="n"/>
      <c r="D75" s="35" t="n"/>
      <c r="E75" s="34" t="n"/>
      <c r="F75" s="50">
        <f>IF(A75="","",COUNTIF('משימות'!$G$3:$G$122,"*"&amp;A75&amp;"*"))</f>
        <v/>
      </c>
      <c r="G75" s="35" t="n"/>
      <c r="H75" s="50">
        <f>IF(A75="","",SUMIF('היסטוריה'!$B$3:$B$3002,A75,'היסטוריה'!$E$3:$E$3002))</f>
        <v/>
      </c>
      <c r="I75" s="34" t="n"/>
    </row>
    <row r="76">
      <c r="A76" s="48" t="n"/>
      <c r="B76" s="53" t="n"/>
      <c r="C76" s="35" t="n"/>
      <c r="D76" s="35" t="n"/>
      <c r="E76" s="34" t="n"/>
      <c r="F76" s="50">
        <f>IF(A76="","",COUNTIF('משימות'!$G$3:$G$122,"*"&amp;A76&amp;"*"))</f>
        <v/>
      </c>
      <c r="G76" s="35" t="n"/>
      <c r="H76" s="50">
        <f>IF(A76="","",SUMIF('היסטוריה'!$B$3:$B$3002,A76,'היסטוריה'!$E$3:$E$3002))</f>
        <v/>
      </c>
      <c r="I76" s="34" t="n"/>
    </row>
    <row r="77">
      <c r="A77" s="48" t="n"/>
      <c r="B77" s="53" t="n"/>
      <c r="C77" s="35" t="n"/>
      <c r="D77" s="35" t="n"/>
      <c r="E77" s="34" t="n"/>
      <c r="F77" s="50">
        <f>IF(A77="","",COUNTIF('משימות'!$G$3:$G$122,"*"&amp;A77&amp;"*"))</f>
        <v/>
      </c>
      <c r="G77" s="35" t="n"/>
      <c r="H77" s="50">
        <f>IF(A77="","",SUMIF('היסטוריה'!$B$3:$B$3002,A77,'היסטוריה'!$E$3:$E$3002))</f>
        <v/>
      </c>
      <c r="I77" s="34" t="n"/>
    </row>
    <row r="78">
      <c r="A78" s="48" t="n"/>
      <c r="B78" s="53" t="n"/>
      <c r="C78" s="35" t="n"/>
      <c r="D78" s="35" t="n"/>
      <c r="E78" s="34" t="n"/>
      <c r="F78" s="50">
        <f>IF(A78="","",COUNTIF('משימות'!$G$3:$G$122,"*"&amp;A78&amp;"*"))</f>
        <v/>
      </c>
      <c r="G78" s="35" t="n"/>
      <c r="H78" s="50">
        <f>IF(A78="","",SUMIF('היסטוריה'!$B$3:$B$3002,A78,'היסטוריה'!$E$3:$E$3002))</f>
        <v/>
      </c>
      <c r="I78" s="34" t="n"/>
    </row>
    <row r="79">
      <c r="A79" s="48" t="n"/>
      <c r="B79" s="53" t="n"/>
      <c r="C79" s="35" t="n"/>
      <c r="D79" s="35" t="n"/>
      <c r="E79" s="34" t="n"/>
      <c r="F79" s="50">
        <f>IF(A79="","",COUNTIF('משימות'!$G$3:$G$122,"*"&amp;A79&amp;"*"))</f>
        <v/>
      </c>
      <c r="G79" s="35" t="n"/>
      <c r="H79" s="50">
        <f>IF(A79="","",SUMIF('היסטוריה'!$B$3:$B$3002,A79,'היסטוריה'!$E$3:$E$3002))</f>
        <v/>
      </c>
      <c r="I79" s="34" t="n"/>
    </row>
    <row r="80">
      <c r="A80" s="48" t="n"/>
      <c r="B80" s="53" t="n"/>
      <c r="C80" s="35" t="n"/>
      <c r="D80" s="35" t="n"/>
      <c r="E80" s="34" t="n"/>
      <c r="F80" s="50">
        <f>IF(A80="","",COUNTIF('משימות'!$G$3:$G$122,"*"&amp;A80&amp;"*"))</f>
        <v/>
      </c>
      <c r="G80" s="35" t="n"/>
      <c r="H80" s="50">
        <f>IF(A80="","",SUMIF('היסטוריה'!$B$3:$B$3002,A80,'היסטוריה'!$E$3:$E$3002))</f>
        <v/>
      </c>
      <c r="I80" s="34" t="n"/>
    </row>
    <row r="81">
      <c r="A81" s="48" t="n"/>
      <c r="B81" s="53" t="n"/>
      <c r="C81" s="35" t="n"/>
      <c r="D81" s="35" t="n"/>
      <c r="E81" s="34" t="n"/>
      <c r="F81" s="50">
        <f>IF(A81="","",COUNTIF('משימות'!$G$3:$G$122,"*"&amp;A81&amp;"*"))</f>
        <v/>
      </c>
      <c r="G81" s="35" t="n"/>
      <c r="H81" s="50">
        <f>IF(A81="","",SUMIF('היסטוריה'!$B$3:$B$3002,A81,'היסטוריה'!$E$3:$E$3002))</f>
        <v/>
      </c>
      <c r="I81" s="34" t="n"/>
    </row>
    <row r="82">
      <c r="A82" s="48" t="n"/>
      <c r="B82" s="53" t="n"/>
      <c r="C82" s="35" t="n"/>
      <c r="D82" s="35" t="n"/>
      <c r="E82" s="34" t="n"/>
      <c r="F82" s="50">
        <f>IF(A82="","",COUNTIF('משימות'!$G$3:$G$122,"*"&amp;A82&amp;"*"))</f>
        <v/>
      </c>
      <c r="G82" s="35" t="n"/>
      <c r="H82" s="50">
        <f>IF(A82="","",SUMIF('היסטוריה'!$B$3:$B$3002,A82,'היסטוריה'!$E$3:$E$3002))</f>
        <v/>
      </c>
      <c r="I82" s="34" t="n"/>
    </row>
    <row r="83">
      <c r="A83" s="48" t="n"/>
      <c r="B83" s="53" t="n"/>
      <c r="C83" s="35" t="n"/>
      <c r="D83" s="35" t="n"/>
      <c r="E83" s="34" t="n"/>
      <c r="F83" s="50">
        <f>IF(A83="","",COUNTIF('משימות'!$G$3:$G$122,"*"&amp;A83&amp;"*"))</f>
        <v/>
      </c>
      <c r="G83" s="35" t="n"/>
      <c r="H83" s="50">
        <f>IF(A83="","",SUMIF('היסטוריה'!$B$3:$B$3002,A83,'היסטוריה'!$E$3:$E$3002))</f>
        <v/>
      </c>
      <c r="I83" s="34" t="n"/>
    </row>
    <row r="84">
      <c r="A84" s="48" t="n"/>
      <c r="B84" s="53" t="n"/>
      <c r="C84" s="35" t="n"/>
      <c r="D84" s="35" t="n"/>
      <c r="E84" s="34" t="n"/>
      <c r="F84" s="50">
        <f>IF(A84="","",COUNTIF('משימות'!$G$3:$G$122,"*"&amp;A84&amp;"*"))</f>
        <v/>
      </c>
      <c r="G84" s="35" t="n"/>
      <c r="H84" s="50">
        <f>IF(A84="","",SUMIF('היסטוריה'!$B$3:$B$3002,A84,'היסטוריה'!$E$3:$E$3002))</f>
        <v/>
      </c>
      <c r="I84" s="34" t="n"/>
    </row>
    <row r="85">
      <c r="A85" s="48" t="n"/>
      <c r="B85" s="53" t="n"/>
      <c r="C85" s="35" t="n"/>
      <c r="D85" s="35" t="n"/>
      <c r="E85" s="34" t="n"/>
      <c r="F85" s="50">
        <f>IF(A85="","",COUNTIF('משימות'!$G$3:$G$122,"*"&amp;A85&amp;"*"))</f>
        <v/>
      </c>
      <c r="G85" s="35" t="n"/>
      <c r="H85" s="50">
        <f>IF(A85="","",SUMIF('היסטוריה'!$B$3:$B$3002,A85,'היסטוריה'!$E$3:$E$3002))</f>
        <v/>
      </c>
      <c r="I85" s="34" t="n"/>
    </row>
    <row r="86">
      <c r="A86" s="48" t="n"/>
      <c r="B86" s="53" t="n"/>
      <c r="C86" s="35" t="n"/>
      <c r="D86" s="35" t="n"/>
      <c r="E86" s="34" t="n"/>
      <c r="F86" s="50">
        <f>IF(A86="","",COUNTIF('משימות'!$G$3:$G$122,"*"&amp;A86&amp;"*"))</f>
        <v/>
      </c>
      <c r="G86" s="35" t="n"/>
      <c r="H86" s="50">
        <f>IF(A86="","",SUMIF('היסטוריה'!$B$3:$B$3002,A86,'היסטוריה'!$E$3:$E$3002))</f>
        <v/>
      </c>
      <c r="I86" s="34" t="n"/>
    </row>
    <row r="87">
      <c r="A87" s="48" t="n"/>
      <c r="B87" s="53" t="n"/>
      <c r="C87" s="35" t="n"/>
      <c r="D87" s="35" t="n"/>
      <c r="E87" s="34" t="n"/>
      <c r="F87" s="50">
        <f>IF(A87="","",COUNTIF('משימות'!$G$3:$G$122,"*"&amp;A87&amp;"*"))</f>
        <v/>
      </c>
      <c r="G87" s="35" t="n"/>
      <c r="H87" s="50">
        <f>IF(A87="","",SUMIF('היסטוריה'!$B$3:$B$3002,A87,'היסטוריה'!$E$3:$E$3002))</f>
        <v/>
      </c>
      <c r="I87" s="34" t="n"/>
    </row>
    <row r="88">
      <c r="A88" s="48" t="n"/>
      <c r="B88" s="53" t="n"/>
      <c r="C88" s="35" t="n"/>
      <c r="D88" s="35" t="n"/>
      <c r="E88" s="34" t="n"/>
      <c r="F88" s="50">
        <f>IF(A88="","",COUNTIF('משימות'!$G$3:$G$122,"*"&amp;A88&amp;"*"))</f>
        <v/>
      </c>
      <c r="G88" s="35" t="n"/>
      <c r="H88" s="50">
        <f>IF(A88="","",SUMIF('היסטוריה'!$B$3:$B$3002,A88,'היסטוריה'!$E$3:$E$3002))</f>
        <v/>
      </c>
      <c r="I88" s="34" t="n"/>
    </row>
    <row r="89">
      <c r="A89" s="48" t="n"/>
      <c r="B89" s="53" t="n"/>
      <c r="C89" s="35" t="n"/>
      <c r="D89" s="35" t="n"/>
      <c r="E89" s="34" t="n"/>
      <c r="F89" s="50">
        <f>IF(A89="","",COUNTIF('משימות'!$G$3:$G$122,"*"&amp;A89&amp;"*"))</f>
        <v/>
      </c>
      <c r="G89" s="35" t="n"/>
      <c r="H89" s="50">
        <f>IF(A89="","",SUMIF('היסטוריה'!$B$3:$B$3002,A89,'היסטוריה'!$E$3:$E$3002))</f>
        <v/>
      </c>
      <c r="I89" s="34" t="n"/>
    </row>
    <row r="90">
      <c r="A90" s="48" t="n"/>
      <c r="B90" s="53" t="n"/>
      <c r="C90" s="35" t="n"/>
      <c r="D90" s="35" t="n"/>
      <c r="E90" s="34" t="n"/>
      <c r="F90" s="50">
        <f>IF(A90="","",COUNTIF('משימות'!$G$3:$G$122,"*"&amp;A90&amp;"*"))</f>
        <v/>
      </c>
      <c r="G90" s="35" t="n"/>
      <c r="H90" s="50">
        <f>IF(A90="","",SUMIF('היסטוריה'!$B$3:$B$3002,A90,'היסטוריה'!$E$3:$E$3002))</f>
        <v/>
      </c>
      <c r="I90" s="34" t="n"/>
    </row>
    <row r="91">
      <c r="A91" s="48" t="n"/>
      <c r="B91" s="53" t="n"/>
      <c r="C91" s="35" t="n"/>
      <c r="D91" s="35" t="n"/>
      <c r="E91" s="34" t="n"/>
      <c r="F91" s="50">
        <f>IF(A91="","",COUNTIF('משימות'!$G$3:$G$122,"*"&amp;A91&amp;"*"))</f>
        <v/>
      </c>
      <c r="G91" s="35" t="n"/>
      <c r="H91" s="50">
        <f>IF(A91="","",SUMIF('היסטוריה'!$B$3:$B$3002,A91,'היסטוריה'!$E$3:$E$3002))</f>
        <v/>
      </c>
      <c r="I91" s="34" t="n"/>
    </row>
    <row r="92">
      <c r="A92" s="48" t="n"/>
      <c r="B92" s="53" t="n"/>
      <c r="C92" s="35" t="n"/>
      <c r="D92" s="35" t="n"/>
      <c r="E92" s="34" t="n"/>
      <c r="F92" s="50">
        <f>IF(A92="","",COUNTIF('משימות'!$G$3:$G$122,"*"&amp;A92&amp;"*"))</f>
        <v/>
      </c>
      <c r="G92" s="35" t="n"/>
      <c r="H92" s="50">
        <f>IF(A92="","",SUMIF('היסטוריה'!$B$3:$B$3002,A92,'היסטוריה'!$E$3:$E$3002))</f>
        <v/>
      </c>
      <c r="I92" s="34" t="n"/>
    </row>
    <row r="93">
      <c r="A93" s="48" t="n"/>
      <c r="B93" s="53" t="n"/>
      <c r="C93" s="35" t="n"/>
      <c r="D93" s="35" t="n"/>
      <c r="E93" s="34" t="n"/>
      <c r="F93" s="50">
        <f>IF(A93="","",COUNTIF('משימות'!$G$3:$G$122,"*"&amp;A93&amp;"*"))</f>
        <v/>
      </c>
      <c r="G93" s="35" t="n"/>
      <c r="H93" s="50">
        <f>IF(A93="","",SUMIF('היסטוריה'!$B$3:$B$3002,A93,'היסטוריה'!$E$3:$E$3002))</f>
        <v/>
      </c>
      <c r="I93" s="34" t="n"/>
    </row>
    <row r="94">
      <c r="A94" s="48" t="n"/>
      <c r="B94" s="53" t="n"/>
      <c r="C94" s="35" t="n"/>
      <c r="D94" s="35" t="n"/>
      <c r="E94" s="34" t="n"/>
      <c r="F94" s="50">
        <f>IF(A94="","",COUNTIF('משימות'!$G$3:$G$122,"*"&amp;A94&amp;"*"))</f>
        <v/>
      </c>
      <c r="G94" s="35" t="n"/>
      <c r="H94" s="50">
        <f>IF(A94="","",SUMIF('היסטוריה'!$B$3:$B$3002,A94,'היסטוריה'!$E$3:$E$3002))</f>
        <v/>
      </c>
      <c r="I94" s="34" t="n"/>
    </row>
    <row r="95">
      <c r="A95" s="48" t="n"/>
      <c r="B95" s="53" t="n"/>
      <c r="C95" s="35" t="n"/>
      <c r="D95" s="35" t="n"/>
      <c r="E95" s="34" t="n"/>
      <c r="F95" s="50">
        <f>IF(A95="","",COUNTIF('משימות'!$G$3:$G$122,"*"&amp;A95&amp;"*"))</f>
        <v/>
      </c>
      <c r="G95" s="35" t="n"/>
      <c r="H95" s="50">
        <f>IF(A95="","",SUMIF('היסטוריה'!$B$3:$B$3002,A95,'היסטוריה'!$E$3:$E$3002))</f>
        <v/>
      </c>
      <c r="I95" s="34" t="n"/>
    </row>
    <row r="96">
      <c r="A96" s="48" t="n"/>
      <c r="B96" s="53" t="n"/>
      <c r="C96" s="35" t="n"/>
      <c r="D96" s="35" t="n"/>
      <c r="E96" s="34" t="n"/>
      <c r="F96" s="50">
        <f>IF(A96="","",COUNTIF('משימות'!$G$3:$G$122,"*"&amp;A96&amp;"*"))</f>
        <v/>
      </c>
      <c r="G96" s="35" t="n"/>
      <c r="H96" s="50">
        <f>IF(A96="","",SUMIF('היסטוריה'!$B$3:$B$3002,A96,'היסטוריה'!$E$3:$E$3002))</f>
        <v/>
      </c>
      <c r="I96" s="34" t="n"/>
    </row>
    <row r="97">
      <c r="A97" s="48" t="n"/>
      <c r="B97" s="53" t="n"/>
      <c r="C97" s="35" t="n"/>
      <c r="D97" s="35" t="n"/>
      <c r="E97" s="34" t="n"/>
      <c r="F97" s="50">
        <f>IF(A97="","",COUNTIF('משימות'!$G$3:$G$122,"*"&amp;A97&amp;"*"))</f>
        <v/>
      </c>
      <c r="G97" s="35" t="n"/>
      <c r="H97" s="50">
        <f>IF(A97="","",SUMIF('היסטוריה'!$B$3:$B$3002,A97,'היסטוריה'!$E$3:$E$3002))</f>
        <v/>
      </c>
      <c r="I97" s="34" t="n"/>
    </row>
    <row r="98">
      <c r="A98" s="48" t="n"/>
      <c r="B98" s="53" t="n"/>
      <c r="C98" s="35" t="n"/>
      <c r="D98" s="35" t="n"/>
      <c r="E98" s="34" t="n"/>
      <c r="F98" s="50">
        <f>IF(A98="","",COUNTIF('משימות'!$G$3:$G$122,"*"&amp;A98&amp;"*"))</f>
        <v/>
      </c>
      <c r="G98" s="35" t="n"/>
      <c r="H98" s="50">
        <f>IF(A98="","",SUMIF('היסטוריה'!$B$3:$B$3002,A98,'היסטוריה'!$E$3:$E$3002))</f>
        <v/>
      </c>
      <c r="I98" s="34" t="n"/>
    </row>
    <row r="99">
      <c r="A99" s="48" t="n"/>
      <c r="B99" s="53" t="n"/>
      <c r="C99" s="35" t="n"/>
      <c r="D99" s="35" t="n"/>
      <c r="E99" s="34" t="n"/>
      <c r="F99" s="50">
        <f>IF(A99="","",COUNTIF('משימות'!$G$3:$G$122,"*"&amp;A99&amp;"*"))</f>
        <v/>
      </c>
      <c r="G99" s="35" t="n"/>
      <c r="H99" s="50">
        <f>IF(A99="","",SUMIF('היסטוריה'!$B$3:$B$3002,A99,'היסטוריה'!$E$3:$E$3002))</f>
        <v/>
      </c>
      <c r="I99" s="34" t="n"/>
    </row>
    <row r="100">
      <c r="A100" s="48" t="n"/>
      <c r="B100" s="53" t="n"/>
      <c r="C100" s="35" t="n"/>
      <c r="D100" s="35" t="n"/>
      <c r="E100" s="34" t="n"/>
      <c r="F100" s="50">
        <f>IF(A100="","",COUNTIF('משימות'!$G$3:$G$122,"*"&amp;A100&amp;"*"))</f>
        <v/>
      </c>
      <c r="G100" s="35" t="n"/>
      <c r="H100" s="50">
        <f>IF(A100="","",SUMIF('היסטוריה'!$B$3:$B$3002,A100,'היסטוריה'!$E$3:$E$3002))</f>
        <v/>
      </c>
      <c r="I100" s="34" t="n"/>
    </row>
    <row r="101">
      <c r="A101" s="48" t="n"/>
      <c r="B101" s="53" t="n"/>
      <c r="C101" s="35" t="n"/>
      <c r="D101" s="35" t="n"/>
      <c r="E101" s="34" t="n"/>
      <c r="F101" s="50">
        <f>IF(A101="","",COUNTIF('משימות'!$G$3:$G$122,"*"&amp;A101&amp;"*"))</f>
        <v/>
      </c>
      <c r="G101" s="35" t="n"/>
      <c r="H101" s="50">
        <f>IF(A101="","",SUMIF('היסטוריה'!$B$3:$B$3002,A101,'היסטוריה'!$E$3:$E$3002))</f>
        <v/>
      </c>
      <c r="I101" s="34" t="n"/>
    </row>
    <row r="102">
      <c r="A102" s="48" t="n"/>
      <c r="B102" s="53" t="n"/>
      <c r="C102" s="35" t="n"/>
      <c r="D102" s="35" t="n"/>
      <c r="E102" s="34" t="n"/>
      <c r="F102" s="50">
        <f>IF(A102="","",COUNTIF('משימות'!$G$3:$G$122,"*"&amp;A102&amp;"*"))</f>
        <v/>
      </c>
      <c r="G102" s="35" t="n"/>
      <c r="H102" s="50">
        <f>IF(A102="","",SUMIF('היסטוריה'!$B$3:$B$3002,A102,'היסטוריה'!$E$3:$E$3002))</f>
        <v/>
      </c>
      <c r="I102" s="34" t="n"/>
    </row>
    <row r="103">
      <c r="A103" s="48" t="n"/>
      <c r="B103" s="53" t="n"/>
      <c r="C103" s="35" t="n"/>
      <c r="D103" s="35" t="n"/>
      <c r="E103" s="34" t="n"/>
      <c r="F103" s="50">
        <f>IF(A103="","",COUNTIF('משימות'!$G$3:$G$122,"*"&amp;A103&amp;"*"))</f>
        <v/>
      </c>
      <c r="G103" s="35" t="n"/>
      <c r="H103" s="50">
        <f>IF(A103="","",SUMIF('היסטוריה'!$B$3:$B$3002,A103,'היסטוריה'!$E$3:$E$3002))</f>
        <v/>
      </c>
      <c r="I103" s="34" t="n"/>
    </row>
    <row r="104">
      <c r="A104" s="48" t="n"/>
      <c r="B104" s="53" t="n"/>
      <c r="C104" s="35" t="n"/>
      <c r="D104" s="35" t="n"/>
      <c r="E104" s="34" t="n"/>
      <c r="F104" s="50">
        <f>IF(A104="","",COUNTIF('משימות'!$G$3:$G$122,"*"&amp;A104&amp;"*"))</f>
        <v/>
      </c>
      <c r="G104" s="35" t="n"/>
      <c r="H104" s="50">
        <f>IF(A104="","",SUMIF('היסטוריה'!$B$3:$B$3002,A104,'היסטוריה'!$E$3:$E$3002))</f>
        <v/>
      </c>
      <c r="I104" s="34" t="n"/>
    </row>
    <row r="105">
      <c r="A105" s="48" t="n"/>
      <c r="B105" s="53" t="n"/>
      <c r="C105" s="35" t="n"/>
      <c r="D105" s="35" t="n"/>
      <c r="E105" s="34" t="n"/>
      <c r="F105" s="50">
        <f>IF(A105="","",COUNTIF('משימות'!$G$3:$G$122,"*"&amp;A105&amp;"*"))</f>
        <v/>
      </c>
      <c r="G105" s="35" t="n"/>
      <c r="H105" s="50">
        <f>IF(A105="","",SUMIF('היסטוריה'!$B$3:$B$3002,A105,'היסטוריה'!$E$3:$E$3002))</f>
        <v/>
      </c>
      <c r="I105" s="34" t="n"/>
    </row>
    <row r="106">
      <c r="A106" s="48" t="n"/>
      <c r="B106" s="53" t="n"/>
      <c r="C106" s="35" t="n"/>
      <c r="D106" s="35" t="n"/>
      <c r="E106" s="34" t="n"/>
      <c r="F106" s="50">
        <f>IF(A106="","",COUNTIF('משימות'!$G$3:$G$122,"*"&amp;A106&amp;"*"))</f>
        <v/>
      </c>
      <c r="G106" s="35" t="n"/>
      <c r="H106" s="50">
        <f>IF(A106="","",SUMIF('היסטוריה'!$B$3:$B$3002,A106,'היסטוריה'!$E$3:$E$3002))</f>
        <v/>
      </c>
      <c r="I106" s="34" t="n"/>
    </row>
    <row r="107">
      <c r="A107" s="48" t="n"/>
      <c r="B107" s="53" t="n"/>
      <c r="C107" s="35" t="n"/>
      <c r="D107" s="35" t="n"/>
      <c r="E107" s="34" t="n"/>
      <c r="F107" s="50">
        <f>IF(A107="","",COUNTIF('משימות'!$G$3:$G$122,"*"&amp;A107&amp;"*"))</f>
        <v/>
      </c>
      <c r="G107" s="35" t="n"/>
      <c r="H107" s="50">
        <f>IF(A107="","",SUMIF('היסטוריה'!$B$3:$B$3002,A107,'היסטוריה'!$E$3:$E$3002))</f>
        <v/>
      </c>
      <c r="I107" s="34" t="n"/>
    </row>
    <row r="108">
      <c r="A108" s="48" t="n"/>
      <c r="B108" s="53" t="n"/>
      <c r="C108" s="35" t="n"/>
      <c r="D108" s="35" t="n"/>
      <c r="E108" s="34" t="n"/>
      <c r="F108" s="50">
        <f>IF(A108="","",COUNTIF('משימות'!$G$3:$G$122,"*"&amp;A108&amp;"*"))</f>
        <v/>
      </c>
      <c r="G108" s="35" t="n"/>
      <c r="H108" s="50">
        <f>IF(A108="","",SUMIF('היסטוריה'!$B$3:$B$3002,A108,'היסטוריה'!$E$3:$E$3002))</f>
        <v/>
      </c>
      <c r="I108" s="34" t="n"/>
    </row>
    <row r="109">
      <c r="A109" s="48" t="n"/>
      <c r="B109" s="53" t="n"/>
      <c r="C109" s="35" t="n"/>
      <c r="D109" s="35" t="n"/>
      <c r="E109" s="34" t="n"/>
      <c r="F109" s="50">
        <f>IF(A109="","",COUNTIF('משימות'!$G$3:$G$122,"*"&amp;A109&amp;"*"))</f>
        <v/>
      </c>
      <c r="G109" s="35" t="n"/>
      <c r="H109" s="50">
        <f>IF(A109="","",SUMIF('היסטוריה'!$B$3:$B$3002,A109,'היסטוריה'!$E$3:$E$3002))</f>
        <v/>
      </c>
      <c r="I109" s="34" t="n"/>
    </row>
    <row r="110">
      <c r="A110" s="48" t="n"/>
      <c r="B110" s="53" t="n"/>
      <c r="C110" s="35" t="n"/>
      <c r="D110" s="35" t="n"/>
      <c r="E110" s="34" t="n"/>
      <c r="F110" s="50">
        <f>IF(A110="","",COUNTIF('משימות'!$G$3:$G$122,"*"&amp;A110&amp;"*"))</f>
        <v/>
      </c>
      <c r="G110" s="35" t="n"/>
      <c r="H110" s="50">
        <f>IF(A110="","",SUMIF('היסטוריה'!$B$3:$B$3002,A110,'היסטוריה'!$E$3:$E$3002))</f>
        <v/>
      </c>
      <c r="I110" s="34" t="n"/>
    </row>
    <row r="111">
      <c r="A111" s="48" t="n"/>
      <c r="B111" s="53" t="n"/>
      <c r="C111" s="35" t="n"/>
      <c r="D111" s="35" t="n"/>
      <c r="E111" s="34" t="n"/>
      <c r="F111" s="50">
        <f>IF(A111="","",COUNTIF('משימות'!$G$3:$G$122,"*"&amp;A111&amp;"*"))</f>
        <v/>
      </c>
      <c r="G111" s="35" t="n"/>
      <c r="H111" s="50">
        <f>IF(A111="","",SUMIF('היסטוריה'!$B$3:$B$3002,A111,'היסטוריה'!$E$3:$E$3002))</f>
        <v/>
      </c>
      <c r="I111" s="34" t="n"/>
    </row>
    <row r="112">
      <c r="A112" s="48" t="n"/>
      <c r="B112" s="53" t="n"/>
      <c r="C112" s="35" t="n"/>
      <c r="D112" s="35" t="n"/>
      <c r="E112" s="34" t="n"/>
      <c r="F112" s="50">
        <f>IF(A112="","",COUNTIF('משימות'!$G$3:$G$122,"*"&amp;A112&amp;"*"))</f>
        <v/>
      </c>
      <c r="G112" s="35" t="n"/>
      <c r="H112" s="50">
        <f>IF(A112="","",SUMIF('היסטוריה'!$B$3:$B$3002,A112,'היסטוריה'!$E$3:$E$3002))</f>
        <v/>
      </c>
      <c r="I112" s="34" t="n"/>
    </row>
    <row r="113">
      <c r="A113" s="48" t="n"/>
      <c r="B113" s="53" t="n"/>
      <c r="C113" s="35" t="n"/>
      <c r="D113" s="35" t="n"/>
      <c r="E113" s="34" t="n"/>
      <c r="F113" s="50">
        <f>IF(A113="","",COUNTIF('משימות'!$G$3:$G$122,"*"&amp;A113&amp;"*"))</f>
        <v/>
      </c>
      <c r="G113" s="35" t="n"/>
      <c r="H113" s="50">
        <f>IF(A113="","",SUMIF('היסטוריה'!$B$3:$B$3002,A113,'היסטוריה'!$E$3:$E$3002))</f>
        <v/>
      </c>
      <c r="I113" s="34" t="n"/>
    </row>
    <row r="114">
      <c r="A114" s="48" t="n"/>
      <c r="B114" s="53" t="n"/>
      <c r="C114" s="35" t="n"/>
      <c r="D114" s="35" t="n"/>
      <c r="E114" s="34" t="n"/>
      <c r="F114" s="50">
        <f>IF(A114="","",COUNTIF('משימות'!$G$3:$G$122,"*"&amp;A114&amp;"*"))</f>
        <v/>
      </c>
      <c r="G114" s="35" t="n"/>
      <c r="H114" s="50">
        <f>IF(A114="","",SUMIF('היסטוריה'!$B$3:$B$3002,A114,'היסטוריה'!$E$3:$E$3002))</f>
        <v/>
      </c>
      <c r="I114" s="34" t="n"/>
    </row>
    <row r="115">
      <c r="A115" s="48" t="n"/>
      <c r="B115" s="53" t="n"/>
      <c r="C115" s="35" t="n"/>
      <c r="D115" s="35" t="n"/>
      <c r="E115" s="34" t="n"/>
      <c r="F115" s="50">
        <f>IF(A115="","",COUNTIF('משימות'!$G$3:$G$122,"*"&amp;A115&amp;"*"))</f>
        <v/>
      </c>
      <c r="G115" s="35" t="n"/>
      <c r="H115" s="50">
        <f>IF(A115="","",SUMIF('היסטוריה'!$B$3:$B$3002,A115,'היסטוריה'!$E$3:$E$3002))</f>
        <v/>
      </c>
      <c r="I115" s="34" t="n"/>
    </row>
    <row r="116">
      <c r="A116" s="48" t="n"/>
      <c r="B116" s="53" t="n"/>
      <c r="C116" s="35" t="n"/>
      <c r="D116" s="35" t="n"/>
      <c r="E116" s="34" t="n"/>
      <c r="F116" s="50">
        <f>IF(A116="","",COUNTIF('משימות'!$G$3:$G$122,"*"&amp;A116&amp;"*"))</f>
        <v/>
      </c>
      <c r="G116" s="35" t="n"/>
      <c r="H116" s="50">
        <f>IF(A116="","",SUMIF('היסטוריה'!$B$3:$B$3002,A116,'היסטוריה'!$E$3:$E$3002))</f>
        <v/>
      </c>
      <c r="I116" s="34" t="n"/>
    </row>
    <row r="117">
      <c r="A117" s="48" t="n"/>
      <c r="B117" s="53" t="n"/>
      <c r="C117" s="35" t="n"/>
      <c r="D117" s="35" t="n"/>
      <c r="E117" s="34" t="n"/>
      <c r="F117" s="50">
        <f>IF(A117="","",COUNTIF('משימות'!$G$3:$G$122,"*"&amp;A117&amp;"*"))</f>
        <v/>
      </c>
      <c r="G117" s="35" t="n"/>
      <c r="H117" s="50">
        <f>IF(A117="","",SUMIF('היסטוריה'!$B$3:$B$3002,A117,'היסטוריה'!$E$3:$E$3002))</f>
        <v/>
      </c>
      <c r="I117" s="34" t="n"/>
    </row>
    <row r="118">
      <c r="A118" s="48" t="n"/>
      <c r="B118" s="53" t="n"/>
      <c r="C118" s="35" t="n"/>
      <c r="D118" s="35" t="n"/>
      <c r="E118" s="34" t="n"/>
      <c r="F118" s="50">
        <f>IF(A118="","",COUNTIF('משימות'!$G$3:$G$122,"*"&amp;A118&amp;"*"))</f>
        <v/>
      </c>
      <c r="G118" s="35" t="n"/>
      <c r="H118" s="50">
        <f>IF(A118="","",SUMIF('היסטוריה'!$B$3:$B$3002,A118,'היסטוריה'!$E$3:$E$3002))</f>
        <v/>
      </c>
      <c r="I118" s="34" t="n"/>
    </row>
    <row r="119">
      <c r="A119" s="48" t="n"/>
      <c r="B119" s="53" t="n"/>
      <c r="C119" s="35" t="n"/>
      <c r="D119" s="35" t="n"/>
      <c r="E119" s="34" t="n"/>
      <c r="F119" s="50">
        <f>IF(A119="","",COUNTIF('משימות'!$G$3:$G$122,"*"&amp;A119&amp;"*"))</f>
        <v/>
      </c>
      <c r="G119" s="35" t="n"/>
      <c r="H119" s="50">
        <f>IF(A119="","",SUMIF('היסטוריה'!$B$3:$B$3002,A119,'היסטוריה'!$E$3:$E$3002))</f>
        <v/>
      </c>
      <c r="I119" s="34" t="n"/>
    </row>
    <row r="120">
      <c r="A120" s="48" t="n"/>
      <c r="B120" s="53" t="n"/>
      <c r="C120" s="35" t="n"/>
      <c r="D120" s="35" t="n"/>
      <c r="E120" s="34" t="n"/>
      <c r="F120" s="50">
        <f>IF(A120="","",COUNTIF('משימות'!$G$3:$G$122,"*"&amp;A120&amp;"*"))</f>
        <v/>
      </c>
      <c r="G120" s="35" t="n"/>
      <c r="H120" s="50">
        <f>IF(A120="","",SUMIF('היסטוריה'!$B$3:$B$3002,A120,'היסטוריה'!$E$3:$E$3002))</f>
        <v/>
      </c>
      <c r="I120" s="34" t="n"/>
    </row>
    <row r="121">
      <c r="A121" s="48" t="n"/>
      <c r="B121" s="53" t="n"/>
      <c r="C121" s="35" t="n"/>
      <c r="D121" s="35" t="n"/>
      <c r="E121" s="34" t="n"/>
      <c r="F121" s="50">
        <f>IF(A121="","",COUNTIF('משימות'!$G$3:$G$122,"*"&amp;A121&amp;"*"))</f>
        <v/>
      </c>
      <c r="G121" s="35" t="n"/>
      <c r="H121" s="50">
        <f>IF(A121="","",SUMIF('היסטוריה'!$B$3:$B$3002,A121,'היסטוריה'!$E$3:$E$3002))</f>
        <v/>
      </c>
      <c r="I121" s="34" t="n"/>
    </row>
    <row r="122">
      <c r="A122" s="48" t="n"/>
      <c r="B122" s="53" t="n"/>
      <c r="C122" s="35" t="n"/>
      <c r="D122" s="35" t="n"/>
      <c r="E122" s="34" t="n"/>
      <c r="F122" s="50">
        <f>IF(A122="","",COUNTIF('משימות'!$G$3:$G$122,"*"&amp;A122&amp;"*"))</f>
        <v/>
      </c>
      <c r="G122" s="35" t="n"/>
      <c r="H122" s="50">
        <f>IF(A122="","",SUMIF('היסטוריה'!$B$3:$B$3002,A122,'היסטוריה'!$E$3:$E$3002))</f>
        <v/>
      </c>
      <c r="I122" s="34" t="n"/>
    </row>
    <row r="123">
      <c r="A123" s="48" t="n"/>
      <c r="B123" s="53" t="n"/>
      <c r="C123" s="35" t="n"/>
      <c r="D123" s="35" t="n"/>
      <c r="E123" s="34" t="n"/>
      <c r="F123" s="50">
        <f>IF(A123="","",COUNTIF('משימות'!$G$3:$G$122,"*"&amp;A123&amp;"*"))</f>
        <v/>
      </c>
      <c r="G123" s="35" t="n"/>
      <c r="H123" s="50">
        <f>IF(A123="","",SUMIF('היסטוריה'!$B$3:$B$3002,A123,'היסטוריה'!$E$3:$E$3002))</f>
        <v/>
      </c>
      <c r="I123" s="34" t="n"/>
    </row>
    <row r="124">
      <c r="A124" s="48" t="n"/>
      <c r="B124" s="53" t="n"/>
      <c r="C124" s="35" t="n"/>
      <c r="D124" s="35" t="n"/>
      <c r="E124" s="34" t="n"/>
      <c r="F124" s="50">
        <f>IF(A124="","",COUNTIF('משימות'!$G$3:$G$122,"*"&amp;A124&amp;"*"))</f>
        <v/>
      </c>
      <c r="G124" s="35" t="n"/>
      <c r="H124" s="50">
        <f>IF(A124="","",SUMIF('היסטוריה'!$B$3:$B$3002,A124,'היסטוריה'!$E$3:$E$3002))</f>
        <v/>
      </c>
      <c r="I124" s="34" t="n"/>
    </row>
    <row r="125">
      <c r="A125" s="48" t="n"/>
      <c r="B125" s="53" t="n"/>
      <c r="C125" s="35" t="n"/>
      <c r="D125" s="35" t="n"/>
      <c r="E125" s="34" t="n"/>
      <c r="F125" s="50">
        <f>IF(A125="","",COUNTIF('משימות'!$G$3:$G$122,"*"&amp;A125&amp;"*"))</f>
        <v/>
      </c>
      <c r="G125" s="35" t="n"/>
      <c r="H125" s="50">
        <f>IF(A125="","",SUMIF('היסטוריה'!$B$3:$B$3002,A125,'היסטוריה'!$E$3:$E$3002))</f>
        <v/>
      </c>
      <c r="I125" s="34" t="n"/>
    </row>
    <row r="126">
      <c r="A126" s="48" t="n"/>
      <c r="B126" s="53" t="n"/>
      <c r="C126" s="35" t="n"/>
      <c r="D126" s="35" t="n"/>
      <c r="E126" s="34" t="n"/>
      <c r="F126" s="50">
        <f>IF(A126="","",COUNTIF('משימות'!$G$3:$G$122,"*"&amp;A126&amp;"*"))</f>
        <v/>
      </c>
      <c r="G126" s="35" t="n"/>
      <c r="H126" s="50">
        <f>IF(A126="","",SUMIF('היסטוריה'!$B$3:$B$3002,A126,'היסטוריה'!$E$3:$E$3002))</f>
        <v/>
      </c>
      <c r="I126" s="34" t="n"/>
    </row>
    <row r="127">
      <c r="A127" s="48" t="n"/>
      <c r="B127" s="53" t="n"/>
      <c r="C127" s="35" t="n"/>
      <c r="D127" s="35" t="n"/>
      <c r="E127" s="34" t="n"/>
      <c r="F127" s="50">
        <f>IF(A127="","",COUNTIF('משימות'!$G$3:$G$122,"*"&amp;A127&amp;"*"))</f>
        <v/>
      </c>
      <c r="G127" s="35" t="n"/>
      <c r="H127" s="50">
        <f>IF(A127="","",SUMIF('היסטוריה'!$B$3:$B$3002,A127,'היסטוריה'!$E$3:$E$3002))</f>
        <v/>
      </c>
      <c r="I127" s="34" t="n"/>
    </row>
    <row r="128">
      <c r="A128" s="48" t="n"/>
      <c r="B128" s="53" t="n"/>
      <c r="C128" s="35" t="n"/>
      <c r="D128" s="35" t="n"/>
      <c r="E128" s="34" t="n"/>
      <c r="F128" s="50">
        <f>IF(A128="","",COUNTIF('משימות'!$G$3:$G$122,"*"&amp;A128&amp;"*"))</f>
        <v/>
      </c>
      <c r="G128" s="35" t="n"/>
      <c r="H128" s="50">
        <f>IF(A128="","",SUMIF('היסטוריה'!$B$3:$B$3002,A128,'היסטוריה'!$E$3:$E$3002))</f>
        <v/>
      </c>
      <c r="I128" s="34" t="n"/>
    </row>
    <row r="129">
      <c r="A129" s="48" t="n"/>
      <c r="B129" s="53" t="n"/>
      <c r="C129" s="35" t="n"/>
      <c r="D129" s="35" t="n"/>
      <c r="E129" s="34" t="n"/>
      <c r="F129" s="50">
        <f>IF(A129="","",COUNTIF('משימות'!$G$3:$G$122,"*"&amp;A129&amp;"*"))</f>
        <v/>
      </c>
      <c r="G129" s="35" t="n"/>
      <c r="H129" s="50">
        <f>IF(A129="","",SUMIF('היסטוריה'!$B$3:$B$3002,A129,'היסטוריה'!$E$3:$E$3002))</f>
        <v/>
      </c>
      <c r="I129" s="34" t="n"/>
    </row>
    <row r="130">
      <c r="A130" s="48" t="n"/>
      <c r="B130" s="53" t="n"/>
      <c r="C130" s="35" t="n"/>
      <c r="D130" s="35" t="n"/>
      <c r="E130" s="34" t="n"/>
      <c r="F130" s="50">
        <f>IF(A130="","",COUNTIF('משימות'!$G$3:$G$122,"*"&amp;A130&amp;"*"))</f>
        <v/>
      </c>
      <c r="G130" s="35" t="n"/>
      <c r="H130" s="50">
        <f>IF(A130="","",SUMIF('היסטוריה'!$B$3:$B$3002,A130,'היסטוריה'!$E$3:$E$3002))</f>
        <v/>
      </c>
      <c r="I130" s="34" t="n"/>
    </row>
    <row r="131">
      <c r="A131" s="48" t="n"/>
      <c r="B131" s="53" t="n"/>
      <c r="C131" s="35" t="n"/>
      <c r="D131" s="35" t="n"/>
      <c r="E131" s="34" t="n"/>
      <c r="F131" s="50">
        <f>IF(A131="","",COUNTIF('משימות'!$G$3:$G$122,"*"&amp;A131&amp;"*"))</f>
        <v/>
      </c>
      <c r="G131" s="35" t="n"/>
      <c r="H131" s="50">
        <f>IF(A131="","",SUMIF('היסטוריה'!$B$3:$B$3002,A131,'היסטוריה'!$E$3:$E$3002))</f>
        <v/>
      </c>
      <c r="I131" s="34" t="n"/>
    </row>
    <row r="132">
      <c r="A132" s="48" t="n"/>
      <c r="B132" s="53" t="n"/>
      <c r="C132" s="35" t="n"/>
      <c r="D132" s="35" t="n"/>
      <c r="E132" s="34" t="n"/>
      <c r="F132" s="50">
        <f>IF(A132="","",COUNTIF('משימות'!$G$3:$G$122,"*"&amp;A132&amp;"*"))</f>
        <v/>
      </c>
      <c r="G132" s="35" t="n"/>
      <c r="H132" s="50">
        <f>IF(A132="","",SUMIF('היסטוריה'!$B$3:$B$3002,A132,'היסטוריה'!$E$3:$E$3002))</f>
        <v/>
      </c>
      <c r="I132" s="34" t="n"/>
    </row>
    <row r="133"/>
    <row r="134" ht="28" customHeight="1">
      <c r="A134" s="26" t="inlineStr">
        <is>
          <t>חבורה, זמינות, קבוצות השבת וניקוד השבת נכתבים ע"י השיבוץ מרשימת הנוכחות. «משימות השבת» נספר מ«משימות»; «ניקוד מצטבר» מסוכם מ«היסטוריה» (כל השבתות).</t>
        </is>
      </c>
    </row>
  </sheetData>
  <mergeCells count="2">
    <mergeCell ref="A1:I1"/>
    <mergeCell ref="A134:I134"/>
  </mergeCells>
  <dataValidations count="1">
    <dataValidation sqref="D3:D132" showDropDown="0" showInputMessage="0" showErrorMessage="0" allowBlank="1" type="list">
      <formula1>"כן,לא"</formula1>
    </dataValidation>
  </dataValidations>
  <pageMargins left="0.75" right="0.75" top="1" bottom="1" header="0.5" footer="0.5"/>
  <pageSetup paperSize="9" fitToHeight="0" fitToWidth="1"/>
</worksheet>
</file>

<file path=xl/worksheets/sheet6.xml><?xml version="1.0" encoding="utf-8"?>
<worksheet xmlns="http://schemas.openxmlformats.org/spreadsheetml/2006/main">
  <sheetPr>
    <tabColor rgb="003BA48C"/>
    <outlinePr summaryBelow="1" summaryRight="1"/>
    <pageSetUpPr fitToPage="1"/>
  </sheetPr>
  <dimension ref="A1:F284"/>
  <sheetViews>
    <sheetView showGridLines="0" rightToLeft="1" workbookViewId="0">
      <pane ySplit="2" topLeftCell="A3" activePane="bottomLeft" state="frozen"/>
      <selection pane="bottomLeft" activeCell="A1" sqref="A1"/>
    </sheetView>
  </sheetViews>
  <sheetFormatPr baseColWidth="8" defaultRowHeight="15"/>
  <cols>
    <col width="13" customWidth="1" min="1" max="1"/>
    <col width="28" customWidth="1" min="2" max="2"/>
    <col width="16" customWidth="1" min="3" max="3"/>
    <col width="30" customWidth="1" min="4" max="4"/>
    <col width="9" customWidth="1" min="5" max="5"/>
  </cols>
  <sheetData>
    <row r="1" ht="36" customHeight="1">
      <c r="A1" s="27" t="inlineStr">
        <is>
          <t>היסטוריית תורנויות — רשומה לכל תורנות של כל חניך</t>
        </is>
      </c>
    </row>
    <row r="2" ht="24" customHeight="1">
      <c r="A2" s="9" t="inlineStr">
        <is>
          <t>תאריך</t>
        </is>
      </c>
      <c r="B2" s="9" t="inlineStr">
        <is>
          <t>שם</t>
        </is>
      </c>
      <c r="C2" s="9" t="inlineStr">
        <is>
          <t>שלב</t>
        </is>
      </c>
      <c r="D2" s="9" t="inlineStr">
        <is>
          <t>קבוצה</t>
        </is>
      </c>
      <c r="E2" s="9" t="inlineStr">
        <is>
          <t>ניקוד</t>
        </is>
      </c>
    </row>
    <row r="3">
      <c r="A3" s="58" t="n">
        <v>46269</v>
      </c>
      <c r="B3" s="59" t="inlineStr">
        <is>
          <t>אוריה תעשה</t>
        </is>
      </c>
      <c r="C3" s="60" t="inlineStr">
        <is>
          <t>הכנות שישי</t>
        </is>
      </c>
      <c r="D3" s="59" t="inlineStr">
        <is>
          <t>ארוחת צהריים שישי</t>
        </is>
      </c>
      <c r="E3" s="60" t="n">
        <v>3</v>
      </c>
    </row>
    <row r="4">
      <c r="A4" s="58" t="n">
        <v>46269</v>
      </c>
      <c r="B4" s="59" t="inlineStr">
        <is>
          <t>ינון לוי</t>
        </is>
      </c>
      <c r="C4" s="60" t="inlineStr">
        <is>
          <t>הכנות שישי</t>
        </is>
      </c>
      <c r="D4" s="59" t="inlineStr">
        <is>
          <t>ארוחת צהריים שישי</t>
        </is>
      </c>
      <c r="E4" s="60" t="n">
        <v>3</v>
      </c>
    </row>
    <row r="5">
      <c r="A5" s="58" t="n">
        <v>46269</v>
      </c>
      <c r="B5" s="59" t="inlineStr">
        <is>
          <t>ליעם גבע</t>
        </is>
      </c>
      <c r="C5" s="60" t="inlineStr">
        <is>
          <t>הכנות שישי</t>
        </is>
      </c>
      <c r="D5" s="59" t="inlineStr">
        <is>
          <t>ארוחת צהריים שישי</t>
        </is>
      </c>
      <c r="E5" s="60" t="n">
        <v>3</v>
      </c>
    </row>
    <row r="6">
      <c r="A6" s="58" t="n">
        <v>46269</v>
      </c>
      <c r="B6" s="59" t="inlineStr">
        <is>
          <t>שי- לי וולגמוט</t>
        </is>
      </c>
      <c r="C6" s="60" t="inlineStr">
        <is>
          <t>הכנות שישי</t>
        </is>
      </c>
      <c r="D6" s="59" t="inlineStr">
        <is>
          <t>ארוחת צהריים שישי</t>
        </is>
      </c>
      <c r="E6" s="60" t="n">
        <v>3</v>
      </c>
    </row>
    <row r="7">
      <c r="A7" s="58" t="n">
        <v>46269</v>
      </c>
      <c r="B7" s="59" t="inlineStr">
        <is>
          <t>אביה וייל</t>
        </is>
      </c>
      <c r="C7" s="60" t="inlineStr">
        <is>
          <t>הכנות שישי</t>
        </is>
      </c>
      <c r="D7" s="59" t="inlineStr">
        <is>
          <t>עוגות · צוות יותם</t>
        </is>
      </c>
      <c r="E7" s="60" t="n">
        <v>3</v>
      </c>
    </row>
    <row r="8">
      <c r="A8" s="58" t="n">
        <v>46269</v>
      </c>
      <c r="B8" s="59" t="inlineStr">
        <is>
          <t>יואב אוחנה</t>
        </is>
      </c>
      <c r="C8" s="60" t="inlineStr">
        <is>
          <t>הכנות שישי</t>
        </is>
      </c>
      <c r="D8" s="59" t="inlineStr">
        <is>
          <t>עוגות · צוות יותם</t>
        </is>
      </c>
      <c r="E8" s="60" t="n">
        <v>3</v>
      </c>
    </row>
    <row r="9">
      <c r="A9" s="58" t="n">
        <v>46269</v>
      </c>
      <c r="B9" s="59" t="inlineStr">
        <is>
          <t>יותם ספיר</t>
        </is>
      </c>
      <c r="C9" s="60" t="inlineStr">
        <is>
          <t>הכנות שישי</t>
        </is>
      </c>
      <c r="D9" s="59" t="inlineStr">
        <is>
          <t>עוגות · צוות יותם</t>
        </is>
      </c>
      <c r="E9" s="60" t="n">
        <v>3</v>
      </c>
    </row>
    <row r="10">
      <c r="A10" s="58" t="n">
        <v>46269</v>
      </c>
      <c r="B10" s="59" t="inlineStr">
        <is>
          <t>כליל בלאוקופף</t>
        </is>
      </c>
      <c r="C10" s="60" t="inlineStr">
        <is>
          <t>הכנות שישי</t>
        </is>
      </c>
      <c r="D10" s="59" t="inlineStr">
        <is>
          <t>עוגות · צוות סהר</t>
        </is>
      </c>
      <c r="E10" s="60" t="n">
        <v>3</v>
      </c>
    </row>
    <row r="11">
      <c r="A11" s="58" t="n">
        <v>46269</v>
      </c>
      <c r="B11" s="59" t="inlineStr">
        <is>
          <t>נוה גריינר</t>
        </is>
      </c>
      <c r="C11" s="60" t="inlineStr">
        <is>
          <t>הכנות שישי</t>
        </is>
      </c>
      <c r="D11" s="59" t="inlineStr">
        <is>
          <t>עוגות · צוות סהר</t>
        </is>
      </c>
      <c r="E11" s="60" t="n">
        <v>3</v>
      </c>
    </row>
    <row r="12">
      <c r="A12" s="58" t="n">
        <v>46269</v>
      </c>
      <c r="B12" s="59" t="inlineStr">
        <is>
          <t>סהר שירון</t>
        </is>
      </c>
      <c r="C12" s="60" t="inlineStr">
        <is>
          <t>הכנות שישי</t>
        </is>
      </c>
      <c r="D12" s="59" t="inlineStr">
        <is>
          <t>עוגות · צוות סהר</t>
        </is>
      </c>
      <c r="E12" s="60" t="n">
        <v>3</v>
      </c>
    </row>
    <row r="13">
      <c r="A13" s="58" t="n">
        <v>46269</v>
      </c>
      <c r="B13" s="59" t="inlineStr">
        <is>
          <t>הילה עזרא</t>
        </is>
      </c>
      <c r="C13" s="60" t="inlineStr">
        <is>
          <t>הכנות שישי</t>
        </is>
      </c>
      <c r="D13" s="59" t="inlineStr">
        <is>
          <t>עוגות · צוות רותם</t>
        </is>
      </c>
      <c r="E13" s="60" t="n">
        <v>3</v>
      </c>
    </row>
    <row r="14">
      <c r="A14" s="58" t="n">
        <v>46269</v>
      </c>
      <c r="B14" s="59" t="inlineStr">
        <is>
          <t>יאר אלפסי</t>
        </is>
      </c>
      <c r="C14" s="60" t="inlineStr">
        <is>
          <t>הכנות שישי</t>
        </is>
      </c>
      <c r="D14" s="59" t="inlineStr">
        <is>
          <t>עוגות · צוות רותם</t>
        </is>
      </c>
      <c r="E14" s="60" t="n">
        <v>3</v>
      </c>
    </row>
    <row r="15">
      <c r="A15" s="58" t="n">
        <v>46269</v>
      </c>
      <c r="B15" s="59" t="inlineStr">
        <is>
          <t>רותם דרור</t>
        </is>
      </c>
      <c r="C15" s="60" t="inlineStr">
        <is>
          <t>הכנות שישי</t>
        </is>
      </c>
      <c r="D15" s="59" t="inlineStr">
        <is>
          <t>עוגות · צוות רותם</t>
        </is>
      </c>
      <c r="E15" s="60" t="n">
        <v>3</v>
      </c>
    </row>
    <row r="16">
      <c r="A16" s="58" t="n">
        <v>46269</v>
      </c>
      <c r="B16" s="59" t="inlineStr">
        <is>
          <t>רוני פרנקל</t>
        </is>
      </c>
      <c r="C16" s="60" t="inlineStr">
        <is>
          <t>הכנות שישי</t>
        </is>
      </c>
      <c r="D16" s="59" t="inlineStr">
        <is>
          <t>עוגות · צוות שילת</t>
        </is>
      </c>
      <c r="E16" s="60" t="n">
        <v>3</v>
      </c>
    </row>
    <row r="17">
      <c r="A17" s="58" t="n">
        <v>46269</v>
      </c>
      <c r="B17" s="59" t="inlineStr">
        <is>
          <t>שילת פילפל</t>
        </is>
      </c>
      <c r="C17" s="60" t="inlineStr">
        <is>
          <t>הכנות שישי</t>
        </is>
      </c>
      <c r="D17" s="59" t="inlineStr">
        <is>
          <t>עוגות · צוות שילת</t>
        </is>
      </c>
      <c r="E17" s="60" t="n">
        <v>3</v>
      </c>
    </row>
    <row r="18">
      <c r="A18" s="58" t="n">
        <v>46269</v>
      </c>
      <c r="B18" s="59" t="inlineStr">
        <is>
          <t>אריאלה מרכוס</t>
        </is>
      </c>
      <c r="C18" s="60" t="inlineStr">
        <is>
          <t>תורנות שבת</t>
        </is>
      </c>
      <c r="D18" s="59" t="inlineStr">
        <is>
          <t>בית מדרש · ארוחת ערב וטיש</t>
        </is>
      </c>
      <c r="E18" s="60" t="n">
        <v>2</v>
      </c>
    </row>
    <row r="19">
      <c r="A19" s="58" t="n">
        <v>46269</v>
      </c>
      <c r="B19" s="59" t="inlineStr">
        <is>
          <t>דנה שם טוב</t>
        </is>
      </c>
      <c r="C19" s="60" t="inlineStr">
        <is>
          <t>תורנות שבת</t>
        </is>
      </c>
      <c r="D19" s="59" t="inlineStr">
        <is>
          <t>בית מדרש · ארוחת ערב וטיש</t>
        </is>
      </c>
      <c r="E19" s="60" t="n">
        <v>2</v>
      </c>
    </row>
    <row r="20">
      <c r="A20" s="58" t="n">
        <v>46269</v>
      </c>
      <c r="B20" s="59" t="inlineStr">
        <is>
          <t>יערה ריס</t>
        </is>
      </c>
      <c r="C20" s="60" t="inlineStr">
        <is>
          <t>תורנות שבת</t>
        </is>
      </c>
      <c r="D20" s="59" t="inlineStr">
        <is>
          <t>בית מדרש · ארוחת ערב וטיש</t>
        </is>
      </c>
      <c r="E20" s="60" t="n">
        <v>2</v>
      </c>
    </row>
    <row r="21">
      <c r="A21" s="58" t="n">
        <v>46269</v>
      </c>
      <c r="B21" s="59" t="inlineStr">
        <is>
          <t>מאיה פקטר</t>
        </is>
      </c>
      <c r="C21" s="60" t="inlineStr">
        <is>
          <t>תורנות שבת</t>
        </is>
      </c>
      <c r="D21" s="59" t="inlineStr">
        <is>
          <t>בית מדרש · ארוחת ערב וטיש</t>
        </is>
      </c>
      <c r="E21" s="60" t="n">
        <v>2</v>
      </c>
    </row>
    <row r="22">
      <c r="A22" s="58" t="n">
        <v>46269</v>
      </c>
      <c r="B22" s="59" t="inlineStr">
        <is>
          <t>נדב טוקר</t>
        </is>
      </c>
      <c r="C22" s="60" t="inlineStr">
        <is>
          <t>תורנות שבת</t>
        </is>
      </c>
      <c r="D22" s="59" t="inlineStr">
        <is>
          <t>בית מדרש · ארוחת ערב וטיש</t>
        </is>
      </c>
      <c r="E22" s="60" t="n">
        <v>2</v>
      </c>
    </row>
    <row r="23">
      <c r="A23" s="58" t="n">
        <v>46269</v>
      </c>
      <c r="B23" s="59" t="inlineStr">
        <is>
          <t>נועם גלס</t>
        </is>
      </c>
      <c r="C23" s="60" t="inlineStr">
        <is>
          <t>תורנות שבת</t>
        </is>
      </c>
      <c r="D23" s="59" t="inlineStr">
        <is>
          <t>בית מדרש · ארוחת ערב וטיש</t>
        </is>
      </c>
      <c r="E23" s="60" t="n">
        <v>2</v>
      </c>
    </row>
    <row r="24">
      <c r="A24" s="58" t="n">
        <v>46269</v>
      </c>
      <c r="B24" s="59" t="inlineStr">
        <is>
          <t>ניתאי שלום</t>
        </is>
      </c>
      <c r="C24" s="60" t="inlineStr">
        <is>
          <t>תורנות שבת</t>
        </is>
      </c>
      <c r="D24" s="59" t="inlineStr">
        <is>
          <t>בית מדרש · ארוחת ערב וטיש</t>
        </is>
      </c>
      <c r="E24" s="60" t="n">
        <v>2</v>
      </c>
    </row>
    <row r="25">
      <c r="A25" s="58" t="n">
        <v>46269</v>
      </c>
      <c r="B25" s="59" t="inlineStr">
        <is>
          <t>עליזה בלום</t>
        </is>
      </c>
      <c r="C25" s="60" t="inlineStr">
        <is>
          <t>תורנות שבת</t>
        </is>
      </c>
      <c r="D25" s="59" t="inlineStr">
        <is>
          <t>בית מדרש · ארוחת ערב וטיש</t>
        </is>
      </c>
      <c r="E25" s="60" t="n">
        <v>2</v>
      </c>
    </row>
    <row r="26">
      <c r="A26" s="58" t="n">
        <v>46269</v>
      </c>
      <c r="B26" s="59" t="inlineStr">
        <is>
          <t>עמית סיילס</t>
        </is>
      </c>
      <c r="C26" s="60" t="inlineStr">
        <is>
          <t>תורנות שבת</t>
        </is>
      </c>
      <c r="D26" s="59" t="inlineStr">
        <is>
          <t>בית מדרש · ארוחת ערב וטיש</t>
        </is>
      </c>
      <c r="E26" s="60" t="n">
        <v>2</v>
      </c>
    </row>
    <row r="27">
      <c r="A27" s="58" t="n">
        <v>46269</v>
      </c>
      <c r="B27" s="59" t="inlineStr">
        <is>
          <t>שחר קרן</t>
        </is>
      </c>
      <c r="C27" s="60" t="inlineStr">
        <is>
          <t>תורנות שבת</t>
        </is>
      </c>
      <c r="D27" s="59" t="inlineStr">
        <is>
          <t>בית מדרש · ארוחת ערב וטיש</t>
        </is>
      </c>
      <c r="E27" s="60" t="n">
        <v>2</v>
      </c>
    </row>
    <row r="28">
      <c r="A28" s="58" t="n">
        <v>46269</v>
      </c>
      <c r="B28" s="59" t="inlineStr">
        <is>
          <t>אלון דיין</t>
        </is>
      </c>
      <c r="C28" s="60" t="inlineStr">
        <is>
          <t>תורנות שבת</t>
        </is>
      </c>
      <c r="D28" s="59" t="inlineStr">
        <is>
          <t>בית מדרש · צהריים בשבת</t>
        </is>
      </c>
      <c r="E28" s="60" t="n">
        <v>2</v>
      </c>
    </row>
    <row r="29">
      <c r="A29" s="58" t="n">
        <v>46269</v>
      </c>
      <c r="B29" s="59" t="inlineStr">
        <is>
          <t>יעל קהת</t>
        </is>
      </c>
      <c r="C29" s="60" t="inlineStr">
        <is>
          <t>תורנות שבת</t>
        </is>
      </c>
      <c r="D29" s="59" t="inlineStr">
        <is>
          <t>בית מדרש · צהריים בשבת</t>
        </is>
      </c>
      <c r="E29" s="60" t="n">
        <v>2</v>
      </c>
    </row>
    <row r="30">
      <c r="A30" s="58" t="n">
        <v>46269</v>
      </c>
      <c r="B30" s="59" t="inlineStr">
        <is>
          <t>נגה שוהם</t>
        </is>
      </c>
      <c r="C30" s="60" t="inlineStr">
        <is>
          <t>תורנות שבת</t>
        </is>
      </c>
      <c r="D30" s="59" t="inlineStr">
        <is>
          <t>בית מדרש · צהריים בשבת</t>
        </is>
      </c>
      <c r="E30" s="60" t="n">
        <v>2</v>
      </c>
    </row>
    <row r="31">
      <c r="A31" s="58" t="n">
        <v>46269</v>
      </c>
      <c r="B31" s="59" t="inlineStr">
        <is>
          <t>עפרי גזיאל</t>
        </is>
      </c>
      <c r="C31" s="60" t="inlineStr">
        <is>
          <t>תורנות שבת</t>
        </is>
      </c>
      <c r="D31" s="59" t="inlineStr">
        <is>
          <t>בית מדרש · צהריים בשבת</t>
        </is>
      </c>
      <c r="E31" s="60" t="n">
        <v>2</v>
      </c>
    </row>
    <row r="32">
      <c r="A32" s="58" t="n">
        <v>46269</v>
      </c>
      <c r="B32" s="59" t="inlineStr">
        <is>
          <t>קובי סמייסון</t>
        </is>
      </c>
      <c r="C32" s="60" t="inlineStr">
        <is>
          <t>תורנות שבת</t>
        </is>
      </c>
      <c r="D32" s="59" t="inlineStr">
        <is>
          <t>בית מדרש · צהריים בשבת</t>
        </is>
      </c>
      <c r="E32" s="60" t="n">
        <v>2</v>
      </c>
    </row>
    <row r="33">
      <c r="A33" s="58" t="n">
        <v>46269</v>
      </c>
      <c r="B33" s="59" t="inlineStr">
        <is>
          <t>אחיה נחמני</t>
        </is>
      </c>
      <c r="C33" s="60" t="inlineStr">
        <is>
          <t>תורנות שבת</t>
        </is>
      </c>
      <c r="D33" s="59" t="inlineStr">
        <is>
          <t>בית מדרש · קידוש</t>
        </is>
      </c>
      <c r="E33" s="60" t="n">
        <v>1</v>
      </c>
    </row>
    <row r="34">
      <c r="A34" s="58" t="n">
        <v>46269</v>
      </c>
      <c r="B34" s="59" t="inlineStr">
        <is>
          <t>יעל ברחד</t>
        </is>
      </c>
      <c r="C34" s="60" t="inlineStr">
        <is>
          <t>תורנות שבת</t>
        </is>
      </c>
      <c r="D34" s="59" t="inlineStr">
        <is>
          <t>בית מדרש · קידוש</t>
        </is>
      </c>
      <c r="E34" s="60" t="n">
        <v>1</v>
      </c>
    </row>
    <row r="35">
      <c r="A35" s="58" t="n">
        <v>46269</v>
      </c>
      <c r="B35" s="59" t="inlineStr">
        <is>
          <t>ליאור שימרלינג</t>
        </is>
      </c>
      <c r="C35" s="60" t="inlineStr">
        <is>
          <t>תורנות שבת</t>
        </is>
      </c>
      <c r="D35" s="59" t="inlineStr">
        <is>
          <t>בית מדרש · קידוש</t>
        </is>
      </c>
      <c r="E35" s="60" t="n">
        <v>1</v>
      </c>
    </row>
    <row r="36">
      <c r="A36" s="58" t="n">
        <v>46269</v>
      </c>
      <c r="B36" s="59" t="inlineStr">
        <is>
          <t>מעיין יוספי</t>
        </is>
      </c>
      <c r="C36" s="60" t="inlineStr">
        <is>
          <t>תורנות שבת</t>
        </is>
      </c>
      <c r="D36" s="59" t="inlineStr">
        <is>
          <t>בית מדרש · קידוש</t>
        </is>
      </c>
      <c r="E36" s="60" t="n">
        <v>1</v>
      </c>
    </row>
    <row r="37">
      <c r="A37" s="58" t="n">
        <v>46269</v>
      </c>
      <c r="B37" s="59" t="inlineStr">
        <is>
          <t>נעמי פונקלשטיין</t>
        </is>
      </c>
      <c r="C37" s="60" t="inlineStr">
        <is>
          <t>תורנות שבת</t>
        </is>
      </c>
      <c r="D37" s="59" t="inlineStr">
        <is>
          <t>בית מדרש · קידוש</t>
        </is>
      </c>
      <c r="E37" s="60" t="n">
        <v>1</v>
      </c>
    </row>
    <row r="38">
      <c r="A38" s="58" t="n">
        <v>46283</v>
      </c>
      <c r="B38" s="59" t="inlineStr">
        <is>
          <t>איתי גוסטינר</t>
        </is>
      </c>
      <c r="C38" s="60" t="inlineStr">
        <is>
          <t>הכנות שישי</t>
        </is>
      </c>
      <c r="D38" s="59" t="inlineStr">
        <is>
          <t>ארוחת צהריים שישי</t>
        </is>
      </c>
      <c r="E38" s="60" t="n">
        <v>3</v>
      </c>
    </row>
    <row r="39">
      <c r="A39" s="58" t="n">
        <v>46283</v>
      </c>
      <c r="B39" s="59" t="inlineStr">
        <is>
          <t>נבו בלוך</t>
        </is>
      </c>
      <c r="C39" s="60" t="inlineStr">
        <is>
          <t>הכנות שישי</t>
        </is>
      </c>
      <c r="D39" s="59" t="inlineStr">
        <is>
          <t>ארוחת צהריים שישי</t>
        </is>
      </c>
      <c r="E39" s="60" t="n">
        <v>3</v>
      </c>
    </row>
    <row r="40">
      <c r="A40" s="58" t="n">
        <v>46283</v>
      </c>
      <c r="B40" s="59" t="inlineStr">
        <is>
          <t>ניצן שטיין</t>
        </is>
      </c>
      <c r="C40" s="60" t="inlineStr">
        <is>
          <t>הכנות שישי</t>
        </is>
      </c>
      <c r="D40" s="59" t="inlineStr">
        <is>
          <t>בראוניז ללא גלוטן</t>
        </is>
      </c>
      <c r="E40" s="60" t="n">
        <v>3</v>
      </c>
    </row>
    <row r="41">
      <c r="A41" s="58" t="n">
        <v>46283</v>
      </c>
      <c r="B41" s="59" t="inlineStr">
        <is>
          <t>שי- לי וולגמוט</t>
        </is>
      </c>
      <c r="C41" s="60" t="inlineStr">
        <is>
          <t>הכנות שישי</t>
        </is>
      </c>
      <c r="D41" s="59" t="inlineStr">
        <is>
          <t>בראוניז ללא גלוטן</t>
        </is>
      </c>
      <c r="E41" s="60" t="n">
        <v>3</v>
      </c>
    </row>
    <row r="42">
      <c r="A42" s="58" t="n">
        <v>46283</v>
      </c>
      <c r="B42" s="59" t="inlineStr">
        <is>
          <t>איתמר אסנהיים</t>
        </is>
      </c>
      <c r="C42" s="60" t="inlineStr">
        <is>
          <t>הכנות שישי</t>
        </is>
      </c>
      <c r="D42" s="59" t="inlineStr">
        <is>
          <t>חלות</t>
        </is>
      </c>
      <c r="E42" s="60" t="n">
        <v>3</v>
      </c>
    </row>
    <row r="43">
      <c r="A43" s="58" t="n">
        <v>46283</v>
      </c>
      <c r="B43" s="59" t="inlineStr">
        <is>
          <t>אנה עזריאל</t>
        </is>
      </c>
      <c r="C43" s="60" t="inlineStr">
        <is>
          <t>הכנות שישי</t>
        </is>
      </c>
      <c r="D43" s="59" t="inlineStr">
        <is>
          <t>חלות</t>
        </is>
      </c>
      <c r="E43" s="60" t="n">
        <v>3</v>
      </c>
    </row>
    <row r="44">
      <c r="A44" s="58" t="n">
        <v>46283</v>
      </c>
      <c r="B44" s="59" t="inlineStr">
        <is>
          <t>ארבל פרנקו</t>
        </is>
      </c>
      <c r="C44" s="60" t="inlineStr">
        <is>
          <t>הכנות שישי</t>
        </is>
      </c>
      <c r="D44" s="59" t="inlineStr">
        <is>
          <t>חלות</t>
        </is>
      </c>
      <c r="E44" s="60" t="n">
        <v>3</v>
      </c>
    </row>
    <row r="45">
      <c r="A45" s="58" t="n">
        <v>46283</v>
      </c>
      <c r="B45" s="59" t="inlineStr">
        <is>
          <t>טליה קור</t>
        </is>
      </c>
      <c r="C45" s="60" t="inlineStr">
        <is>
          <t>הכנות שישי</t>
        </is>
      </c>
      <c r="D45" s="59" t="inlineStr">
        <is>
          <t>חלות</t>
        </is>
      </c>
      <c r="E45" s="60" t="n">
        <v>3</v>
      </c>
    </row>
    <row r="46">
      <c r="A46" s="58" t="n">
        <v>46283</v>
      </c>
      <c r="B46" s="59" t="inlineStr">
        <is>
          <t>רועי צבי סרי</t>
        </is>
      </c>
      <c r="C46" s="60" t="inlineStr">
        <is>
          <t>הכנות שישי</t>
        </is>
      </c>
      <c r="D46" s="59" t="inlineStr">
        <is>
          <t>חלות</t>
        </is>
      </c>
      <c r="E46" s="60" t="n">
        <v>3</v>
      </c>
    </row>
    <row r="47">
      <c r="A47" s="58" t="n">
        <v>46283</v>
      </c>
      <c r="B47" s="59" t="inlineStr">
        <is>
          <t>יעל קהת</t>
        </is>
      </c>
      <c r="C47" s="60" t="inlineStr">
        <is>
          <t>הכנות שישי</t>
        </is>
      </c>
      <c r="D47" s="59" t="inlineStr">
        <is>
          <t>מטבוחה</t>
        </is>
      </c>
      <c r="E47" s="60" t="n">
        <v>3</v>
      </c>
    </row>
    <row r="48">
      <c r="A48" s="58" t="n">
        <v>46283</v>
      </c>
      <c r="B48" s="59" t="inlineStr">
        <is>
          <t>נגה חוה כהן</t>
        </is>
      </c>
      <c r="C48" s="60" t="inlineStr">
        <is>
          <t>הכנות שישי</t>
        </is>
      </c>
      <c r="D48" s="59" t="inlineStr">
        <is>
          <t>מטבוחה</t>
        </is>
      </c>
      <c r="E48" s="60" t="n">
        <v>3</v>
      </c>
    </row>
    <row r="49">
      <c r="A49" s="58" t="n">
        <v>46283</v>
      </c>
      <c r="B49" s="59" t="inlineStr">
        <is>
          <t>שליו שישו</t>
        </is>
      </c>
      <c r="C49" s="60" t="inlineStr">
        <is>
          <t>הכנות שישי</t>
        </is>
      </c>
      <c r="D49" s="59" t="inlineStr">
        <is>
          <t>מטבוחה</t>
        </is>
      </c>
      <c r="E49" s="60" t="n">
        <v>3</v>
      </c>
    </row>
    <row r="50">
      <c r="A50" s="58" t="n">
        <v>46283</v>
      </c>
      <c r="B50" s="59" t="inlineStr">
        <is>
          <t>של״ו רובינשטיין</t>
        </is>
      </c>
      <c r="C50" s="60" t="inlineStr">
        <is>
          <t>הכנות שישי</t>
        </is>
      </c>
      <c r="D50" s="59" t="inlineStr">
        <is>
          <t>מטבוחה</t>
        </is>
      </c>
      <c r="E50" s="60" t="n">
        <v>3</v>
      </c>
    </row>
    <row r="51">
      <c r="A51" s="58" t="n">
        <v>46283</v>
      </c>
      <c r="B51" s="59" t="inlineStr">
        <is>
          <t>יובל יצחק</t>
        </is>
      </c>
      <c r="C51" s="60" t="inlineStr">
        <is>
          <t>הכנות שישי</t>
        </is>
      </c>
      <c r="D51" s="59" t="inlineStr">
        <is>
          <t>סלט חצילים</t>
        </is>
      </c>
      <c r="E51" s="60" t="n">
        <v>3</v>
      </c>
    </row>
    <row r="52">
      <c r="A52" s="58" t="n">
        <v>46283</v>
      </c>
      <c r="B52" s="59" t="inlineStr">
        <is>
          <t>שחר מרקוביץ' גליק</t>
        </is>
      </c>
      <c r="C52" s="60" t="inlineStr">
        <is>
          <t>הכנות שישי</t>
        </is>
      </c>
      <c r="D52" s="59" t="inlineStr">
        <is>
          <t>סלט חצילים</t>
        </is>
      </c>
      <c r="E52" s="60" t="n">
        <v>3</v>
      </c>
    </row>
    <row r="53">
      <c r="A53" s="58" t="n">
        <v>46283</v>
      </c>
      <c r="B53" s="59" t="inlineStr">
        <is>
          <t>איתן כהן</t>
        </is>
      </c>
      <c r="C53" s="60" t="inlineStr">
        <is>
          <t>הכנות שישי</t>
        </is>
      </c>
      <c r="D53" s="59" t="inlineStr">
        <is>
          <t>עוגות שמרים</t>
        </is>
      </c>
      <c r="E53" s="60" t="n">
        <v>3</v>
      </c>
    </row>
    <row r="54">
      <c r="A54" s="58" t="n">
        <v>46283</v>
      </c>
      <c r="B54" s="59" t="inlineStr">
        <is>
          <t>הילה עזרא</t>
        </is>
      </c>
      <c r="C54" s="60" t="inlineStr">
        <is>
          <t>הכנות שישי</t>
        </is>
      </c>
      <c r="D54" s="59" t="inlineStr">
        <is>
          <t>עוגות שמרים</t>
        </is>
      </c>
      <c r="E54" s="60" t="n">
        <v>3</v>
      </c>
    </row>
    <row r="55">
      <c r="A55" s="58" t="n">
        <v>46283</v>
      </c>
      <c r="B55" s="59" t="inlineStr">
        <is>
          <t>חיים שמאי</t>
        </is>
      </c>
      <c r="C55" s="60" t="inlineStr">
        <is>
          <t>הכנות שישי</t>
        </is>
      </c>
      <c r="D55" s="59" t="inlineStr">
        <is>
          <t>עוגות שמרים</t>
        </is>
      </c>
      <c r="E55" s="60" t="n">
        <v>3</v>
      </c>
    </row>
    <row r="56">
      <c r="A56" s="58" t="n">
        <v>46283</v>
      </c>
      <c r="B56" s="59" t="inlineStr">
        <is>
          <t>ירדן בן שחר</t>
        </is>
      </c>
      <c r="C56" s="60" t="inlineStr">
        <is>
          <t>הכנות שישי</t>
        </is>
      </c>
      <c r="D56" s="59" t="inlineStr">
        <is>
          <t>עוגות שמרים</t>
        </is>
      </c>
      <c r="E56" s="60" t="n">
        <v>3</v>
      </c>
    </row>
    <row r="57">
      <c r="A57" s="58" t="n">
        <v>46283</v>
      </c>
      <c r="B57" s="59" t="inlineStr">
        <is>
          <t>הילי אלפסי</t>
        </is>
      </c>
      <c r="C57" s="60" t="inlineStr">
        <is>
          <t>הכנות שישי</t>
        </is>
      </c>
      <c r="D57" s="59" t="inlineStr">
        <is>
          <t>עוגיות שוקולד צ'יפס</t>
        </is>
      </c>
      <c r="E57" s="60" t="n">
        <v>3</v>
      </c>
    </row>
    <row r="58">
      <c r="A58" s="58" t="n">
        <v>46283</v>
      </c>
      <c r="B58" s="59" t="inlineStr">
        <is>
          <t>יהב לוי</t>
        </is>
      </c>
      <c r="C58" s="60" t="inlineStr">
        <is>
          <t>הכנות שישי</t>
        </is>
      </c>
      <c r="D58" s="59" t="inlineStr">
        <is>
          <t>עוגיות שוקולד צ'יפס</t>
        </is>
      </c>
      <c r="E58" s="60" t="n">
        <v>3</v>
      </c>
    </row>
    <row r="59">
      <c r="A59" s="58" t="n">
        <v>46283</v>
      </c>
      <c r="B59" s="59" t="inlineStr">
        <is>
          <t>הילה לביא</t>
        </is>
      </c>
      <c r="C59" s="60" t="inlineStr">
        <is>
          <t>הכנות שישי</t>
        </is>
      </c>
      <c r="D59" s="59" t="inlineStr">
        <is>
          <t>עוגת דבש</t>
        </is>
      </c>
      <c r="E59" s="60" t="n">
        <v>3</v>
      </c>
    </row>
    <row r="60">
      <c r="A60" s="58" t="n">
        <v>46283</v>
      </c>
      <c r="B60" s="59" t="inlineStr">
        <is>
          <t>משה אוברשטיין</t>
        </is>
      </c>
      <c r="C60" s="60" t="inlineStr">
        <is>
          <t>הכנות שישי</t>
        </is>
      </c>
      <c r="D60" s="59" t="inlineStr">
        <is>
          <t>עוגת דבש</t>
        </is>
      </c>
      <c r="E60" s="60" t="n">
        <v>3</v>
      </c>
    </row>
    <row r="61">
      <c r="A61" s="58" t="n">
        <v>46283</v>
      </c>
      <c r="B61" s="59" t="inlineStr">
        <is>
          <t>אורי אסף</t>
        </is>
      </c>
      <c r="C61" s="60" t="inlineStr">
        <is>
          <t>תורנות שבת</t>
        </is>
      </c>
      <c r="D61" s="59" t="inlineStr">
        <is>
          <t>ארוחת ערב</t>
        </is>
      </c>
      <c r="E61" s="60" t="n">
        <v>2</v>
      </c>
    </row>
    <row r="62">
      <c r="A62" s="58" t="n">
        <v>46283</v>
      </c>
      <c r="B62" s="59" t="inlineStr">
        <is>
          <t>איתן וינסטון</t>
        </is>
      </c>
      <c r="C62" s="60" t="inlineStr">
        <is>
          <t>תורנות שבת</t>
        </is>
      </c>
      <c r="D62" s="59" t="inlineStr">
        <is>
          <t>ארוחת ערב</t>
        </is>
      </c>
      <c r="E62" s="60" t="n">
        <v>2</v>
      </c>
    </row>
    <row r="63">
      <c r="A63" s="58" t="n">
        <v>46283</v>
      </c>
      <c r="B63" s="59" t="inlineStr">
        <is>
          <t>אלה גוטליב</t>
        </is>
      </c>
      <c r="C63" s="60" t="inlineStr">
        <is>
          <t>תורנות שבת</t>
        </is>
      </c>
      <c r="D63" s="59" t="inlineStr">
        <is>
          <t>ארוחת ערב</t>
        </is>
      </c>
      <c r="E63" s="60" t="n">
        <v>2</v>
      </c>
    </row>
    <row r="64">
      <c r="A64" s="58" t="n">
        <v>46283</v>
      </c>
      <c r="B64" s="59" t="inlineStr">
        <is>
          <t>זואי כהן</t>
        </is>
      </c>
      <c r="C64" s="60" t="inlineStr">
        <is>
          <t>תורנות שבת</t>
        </is>
      </c>
      <c r="D64" s="59" t="inlineStr">
        <is>
          <t>ארוחת ערב</t>
        </is>
      </c>
      <c r="E64" s="60" t="n">
        <v>2</v>
      </c>
    </row>
    <row r="65">
      <c r="A65" s="58" t="n">
        <v>46283</v>
      </c>
      <c r="B65" s="59" t="inlineStr">
        <is>
          <t>חיים שמאי</t>
        </is>
      </c>
      <c r="C65" s="60" t="inlineStr">
        <is>
          <t>תורנות שבת</t>
        </is>
      </c>
      <c r="D65" s="59" t="inlineStr">
        <is>
          <t>ארוחת ערב</t>
        </is>
      </c>
      <c r="E65" s="60" t="n">
        <v>2</v>
      </c>
    </row>
    <row r="66">
      <c r="A66" s="58" t="n">
        <v>46283</v>
      </c>
      <c r="B66" s="59" t="inlineStr">
        <is>
          <t>יונתן לירז</t>
        </is>
      </c>
      <c r="C66" s="60" t="inlineStr">
        <is>
          <t>תורנות שבת</t>
        </is>
      </c>
      <c r="D66" s="59" t="inlineStr">
        <is>
          <t>ארוחת ערב</t>
        </is>
      </c>
      <c r="E66" s="60" t="n">
        <v>2</v>
      </c>
    </row>
    <row r="67">
      <c r="A67" s="58" t="n">
        <v>46283</v>
      </c>
      <c r="B67" s="59" t="inlineStr">
        <is>
          <t>עמית שי אברהם</t>
        </is>
      </c>
      <c r="C67" s="60" t="inlineStr">
        <is>
          <t>תורנות שבת</t>
        </is>
      </c>
      <c r="D67" s="59" t="inlineStr">
        <is>
          <t>ארוחת ערב</t>
        </is>
      </c>
      <c r="E67" s="60" t="n">
        <v>2</v>
      </c>
    </row>
    <row r="68">
      <c r="A68" s="58" t="n">
        <v>46283</v>
      </c>
      <c r="B68" s="59" t="inlineStr">
        <is>
          <t>שירה ספונוב</t>
        </is>
      </c>
      <c r="C68" s="60" t="inlineStr">
        <is>
          <t>תורנות שבת</t>
        </is>
      </c>
      <c r="D68" s="59" t="inlineStr">
        <is>
          <t>ארוחת ערב</t>
        </is>
      </c>
      <c r="E68" s="60" t="n">
        <v>2</v>
      </c>
    </row>
    <row r="69">
      <c r="A69" s="58" t="n">
        <v>46283</v>
      </c>
      <c r="B69" s="59" t="inlineStr">
        <is>
          <t>איתמר אסנהיים</t>
        </is>
      </c>
      <c r="C69" s="60" t="inlineStr">
        <is>
          <t>תורנות שבת</t>
        </is>
      </c>
      <c r="D69" s="59" t="inlineStr">
        <is>
          <t>ארוחת צהריים שבת</t>
        </is>
      </c>
      <c r="E69" s="60" t="n">
        <v>2</v>
      </c>
    </row>
    <row r="70">
      <c r="A70" s="58" t="n">
        <v>46283</v>
      </c>
      <c r="B70" s="59" t="inlineStr">
        <is>
          <t>נגה שוהם</t>
        </is>
      </c>
      <c r="C70" s="60" t="inlineStr">
        <is>
          <t>תורנות שבת</t>
        </is>
      </c>
      <c r="D70" s="59" t="inlineStr">
        <is>
          <t>ארוחת צהריים שבת</t>
        </is>
      </c>
      <c r="E70" s="60" t="n">
        <v>2</v>
      </c>
    </row>
    <row r="71">
      <c r="A71" s="58" t="n">
        <v>46283</v>
      </c>
      <c r="B71" s="59" t="inlineStr">
        <is>
          <t>נדב טוקר</t>
        </is>
      </c>
      <c r="C71" s="60" t="inlineStr">
        <is>
          <t>תורנות שבת</t>
        </is>
      </c>
      <c r="D71" s="59" t="inlineStr">
        <is>
          <t>ארוחת צהריים שבת</t>
        </is>
      </c>
      <c r="E71" s="60" t="n">
        <v>2</v>
      </c>
    </row>
    <row r="72">
      <c r="A72" s="58" t="n">
        <v>46283</v>
      </c>
      <c r="B72" s="59" t="inlineStr">
        <is>
          <t>נעמי פונקלשטיין</t>
        </is>
      </c>
      <c r="C72" s="60" t="inlineStr">
        <is>
          <t>תורנות שבת</t>
        </is>
      </c>
      <c r="D72" s="59" t="inlineStr">
        <is>
          <t>ארוחת צהריים שבת</t>
        </is>
      </c>
      <c r="E72" s="60" t="n">
        <v>2</v>
      </c>
    </row>
    <row r="73">
      <c r="A73" s="58" t="n">
        <v>46283</v>
      </c>
      <c r="B73" s="59" t="inlineStr">
        <is>
          <t>עפרי גזיאל</t>
        </is>
      </c>
      <c r="C73" s="60" t="inlineStr">
        <is>
          <t>תורנות שבת</t>
        </is>
      </c>
      <c r="D73" s="59" t="inlineStr">
        <is>
          <t>ארוחת צהריים שבת</t>
        </is>
      </c>
      <c r="E73" s="60" t="n">
        <v>2</v>
      </c>
    </row>
    <row r="74">
      <c r="A74" s="58" t="n">
        <v>46283</v>
      </c>
      <c r="B74" s="59" t="inlineStr">
        <is>
          <t>אחיה נחמני</t>
        </is>
      </c>
      <c r="C74" s="60" t="inlineStr">
        <is>
          <t>תורנות שבת</t>
        </is>
      </c>
      <c r="D74" s="59" t="inlineStr">
        <is>
          <t>טיש</t>
        </is>
      </c>
      <c r="E74" s="60" t="n">
        <v>1</v>
      </c>
    </row>
    <row r="75">
      <c r="A75" s="58" t="n">
        <v>46283</v>
      </c>
      <c r="B75" s="59" t="inlineStr">
        <is>
          <t>הדר עמדי</t>
        </is>
      </c>
      <c r="C75" s="60" t="inlineStr">
        <is>
          <t>תורנות שבת</t>
        </is>
      </c>
      <c r="D75" s="59" t="inlineStr">
        <is>
          <t>טיש</t>
        </is>
      </c>
      <c r="E75" s="60" t="n">
        <v>1</v>
      </c>
    </row>
    <row r="76">
      <c r="A76" s="58" t="n">
        <v>46283</v>
      </c>
      <c r="B76" s="59" t="inlineStr">
        <is>
          <t>מעיין יוספי</t>
        </is>
      </c>
      <c r="C76" s="60" t="inlineStr">
        <is>
          <t>תורנות שבת</t>
        </is>
      </c>
      <c r="D76" s="59" t="inlineStr">
        <is>
          <t>טיש</t>
        </is>
      </c>
      <c r="E76" s="60" t="n">
        <v>1</v>
      </c>
    </row>
    <row r="77">
      <c r="A77" s="58" t="n">
        <v>46283</v>
      </c>
      <c r="B77" s="59" t="inlineStr">
        <is>
          <t>מעיין רחל דינר</t>
        </is>
      </c>
      <c r="C77" s="60" t="inlineStr">
        <is>
          <t>תורנות שבת</t>
        </is>
      </c>
      <c r="D77" s="59" t="inlineStr">
        <is>
          <t>טיש</t>
        </is>
      </c>
      <c r="E77" s="60" t="n">
        <v>1</v>
      </c>
    </row>
    <row r="78">
      <c r="A78" s="58" t="n">
        <v>46283</v>
      </c>
      <c r="B78" s="59" t="inlineStr">
        <is>
          <t>רוני כהן</t>
        </is>
      </c>
      <c r="C78" s="60" t="inlineStr">
        <is>
          <t>תורנות שבת</t>
        </is>
      </c>
      <c r="D78" s="59" t="inlineStr">
        <is>
          <t>טיש</t>
        </is>
      </c>
      <c r="E78" s="60" t="n">
        <v>1</v>
      </c>
    </row>
    <row r="79">
      <c r="A79" s="58" t="n">
        <v>46283</v>
      </c>
      <c r="B79" s="59" t="inlineStr">
        <is>
          <t>אריאלה מרכוס</t>
        </is>
      </c>
      <c r="C79" s="60" t="inlineStr">
        <is>
          <t>תורנות שבת</t>
        </is>
      </c>
      <c r="D79" s="59" t="inlineStr">
        <is>
          <t>קידוש</t>
        </is>
      </c>
      <c r="E79" s="60" t="n">
        <v>1</v>
      </c>
    </row>
    <row r="80">
      <c r="A80" s="58" t="n">
        <v>46283</v>
      </c>
      <c r="B80" s="59" t="inlineStr">
        <is>
          <t>דנה שם טוב</t>
        </is>
      </c>
      <c r="C80" s="60" t="inlineStr">
        <is>
          <t>תורנות שבת</t>
        </is>
      </c>
      <c r="D80" s="59" t="inlineStr">
        <is>
          <t>קידוש</t>
        </is>
      </c>
      <c r="E80" s="60" t="n">
        <v>1</v>
      </c>
    </row>
    <row r="81">
      <c r="A81" s="58" t="n">
        <v>46283</v>
      </c>
      <c r="B81" s="59" t="inlineStr">
        <is>
          <t>יעל ברחד</t>
        </is>
      </c>
      <c r="C81" s="60" t="inlineStr">
        <is>
          <t>תורנות שבת</t>
        </is>
      </c>
      <c r="D81" s="59" t="inlineStr">
        <is>
          <t>קידוש</t>
        </is>
      </c>
      <c r="E81" s="60" t="n">
        <v>1</v>
      </c>
    </row>
    <row r="82">
      <c r="A82" s="58" t="n">
        <v>46283</v>
      </c>
      <c r="B82" s="59" t="inlineStr">
        <is>
          <t>ליאור שימרלינג</t>
        </is>
      </c>
      <c r="C82" s="60" t="inlineStr">
        <is>
          <t>תורנות שבת</t>
        </is>
      </c>
      <c r="D82" s="59" t="inlineStr">
        <is>
          <t>קידוש</t>
        </is>
      </c>
      <c r="E82" s="60" t="n">
        <v>1</v>
      </c>
    </row>
    <row r="83">
      <c r="A83" s="58" t="n">
        <v>46283</v>
      </c>
      <c r="B83" s="59" t="inlineStr">
        <is>
          <t>עמרי קולטון</t>
        </is>
      </c>
      <c r="C83" s="60" t="inlineStr">
        <is>
          <t>תורנות שבת</t>
        </is>
      </c>
      <c r="D83" s="59" t="inlineStr">
        <is>
          <t>קידוש</t>
        </is>
      </c>
      <c r="E83" s="60" t="n">
        <v>1</v>
      </c>
    </row>
    <row r="84">
      <c r="A84" s="58" t="n">
        <v>46283</v>
      </c>
      <c r="B84" s="59" t="inlineStr">
        <is>
          <t>אורי טילינגר</t>
        </is>
      </c>
      <c r="C84" s="60" t="inlineStr">
        <is>
          <t>תורנות שישי</t>
        </is>
      </c>
      <c r="D84" s="59" t="inlineStr">
        <is>
          <t>בית מדרש</t>
        </is>
      </c>
      <c r="E84" s="60" t="n">
        <v>3</v>
      </c>
    </row>
    <row r="85">
      <c r="A85" s="58" t="n">
        <v>46283</v>
      </c>
      <c r="B85" s="59" t="inlineStr">
        <is>
          <t>איתי בן יהודה</t>
        </is>
      </c>
      <c r="C85" s="60" t="inlineStr">
        <is>
          <t>תורנות שישי</t>
        </is>
      </c>
      <c r="D85" s="59" t="inlineStr">
        <is>
          <t>בית מדרש</t>
        </is>
      </c>
      <c r="E85" s="60" t="n">
        <v>3</v>
      </c>
    </row>
    <row r="86">
      <c r="A86" s="58" t="n">
        <v>46283</v>
      </c>
      <c r="B86" s="59" t="inlineStr">
        <is>
          <t>איתי בן מנחם</t>
        </is>
      </c>
      <c r="C86" s="60" t="inlineStr">
        <is>
          <t>תורנות שישי</t>
        </is>
      </c>
      <c r="D86" s="59" t="inlineStr">
        <is>
          <t>בית מדרש</t>
        </is>
      </c>
      <c r="E86" s="60" t="n">
        <v>3</v>
      </c>
    </row>
    <row r="87">
      <c r="A87" s="58" t="n">
        <v>46283</v>
      </c>
      <c r="B87" s="59" t="inlineStr">
        <is>
          <t>איתי רוס</t>
        </is>
      </c>
      <c r="C87" s="60" t="inlineStr">
        <is>
          <t>תורנות שישי</t>
        </is>
      </c>
      <c r="D87" s="59" t="inlineStr">
        <is>
          <t>בית מדרש</t>
        </is>
      </c>
      <c r="E87" s="60" t="n">
        <v>3</v>
      </c>
    </row>
    <row r="88">
      <c r="A88" s="58" t="n">
        <v>46283</v>
      </c>
      <c r="B88" s="59" t="inlineStr">
        <is>
          <t>איתן וינסטון</t>
        </is>
      </c>
      <c r="C88" s="60" t="inlineStr">
        <is>
          <t>תורנות שישי</t>
        </is>
      </c>
      <c r="D88" s="59" t="inlineStr">
        <is>
          <t>בית מדרש</t>
        </is>
      </c>
      <c r="E88" s="60" t="n">
        <v>3</v>
      </c>
    </row>
    <row r="89">
      <c r="A89" s="58" t="n">
        <v>46283</v>
      </c>
      <c r="B89" s="59" t="inlineStr">
        <is>
          <t>אלה מאיר</t>
        </is>
      </c>
      <c r="C89" s="60" t="inlineStr">
        <is>
          <t>תורנות שישי</t>
        </is>
      </c>
      <c r="D89" s="59" t="inlineStr">
        <is>
          <t>בית מדרש</t>
        </is>
      </c>
      <c r="E89" s="60" t="n">
        <v>3</v>
      </c>
    </row>
    <row r="90">
      <c r="A90" s="58" t="n">
        <v>46283</v>
      </c>
      <c r="B90" s="59" t="inlineStr">
        <is>
          <t>נועם ישראל קומפאס</t>
        </is>
      </c>
      <c r="C90" s="60" t="inlineStr">
        <is>
          <t>תורנות שישי</t>
        </is>
      </c>
      <c r="D90" s="59" t="inlineStr">
        <is>
          <t>בית מדרש</t>
        </is>
      </c>
      <c r="E90" s="60" t="n">
        <v>3</v>
      </c>
    </row>
    <row r="91">
      <c r="A91" s="58" t="n">
        <v>46283</v>
      </c>
      <c r="B91" s="59" t="inlineStr">
        <is>
          <t>סהר שירון</t>
        </is>
      </c>
      <c r="C91" s="60" t="inlineStr">
        <is>
          <t>תורנות שישי</t>
        </is>
      </c>
      <c r="D91" s="59" t="inlineStr">
        <is>
          <t>בית מדרש</t>
        </is>
      </c>
      <c r="E91" s="60" t="n">
        <v>3</v>
      </c>
    </row>
    <row r="92">
      <c r="A92" s="58" t="n">
        <v>46283</v>
      </c>
      <c r="B92" s="59" t="inlineStr">
        <is>
          <t>עומר יוסף גנון</t>
        </is>
      </c>
      <c r="C92" s="60" t="inlineStr">
        <is>
          <t>תורנות שישי</t>
        </is>
      </c>
      <c r="D92" s="59" t="inlineStr">
        <is>
          <t>בית מדרש</t>
        </is>
      </c>
      <c r="E92" s="60" t="n">
        <v>3</v>
      </c>
    </row>
    <row r="93">
      <c r="A93" s="58" t="n">
        <v>46283</v>
      </c>
      <c r="B93" s="59" t="inlineStr">
        <is>
          <t>עופר בביוף</t>
        </is>
      </c>
      <c r="C93" s="60" t="inlineStr">
        <is>
          <t>תורנות שישי</t>
        </is>
      </c>
      <c r="D93" s="59" t="inlineStr">
        <is>
          <t>בית מדרש</t>
        </is>
      </c>
      <c r="E93" s="60" t="n">
        <v>3</v>
      </c>
    </row>
    <row r="94">
      <c r="A94" s="58" t="n">
        <v>46283</v>
      </c>
      <c r="B94" s="59" t="inlineStr">
        <is>
          <t>עשהאל ירושלמי</t>
        </is>
      </c>
      <c r="C94" s="60" t="inlineStr">
        <is>
          <t>תורנות שישי</t>
        </is>
      </c>
      <c r="D94" s="59" t="inlineStr">
        <is>
          <t>בית מדרש</t>
        </is>
      </c>
      <c r="E94" s="60" t="n">
        <v>3</v>
      </c>
    </row>
    <row r="95">
      <c r="A95" s="58" t="n">
        <v>46283</v>
      </c>
      <c r="B95" s="59" t="inlineStr">
        <is>
          <t>פרת פולס</t>
        </is>
      </c>
      <c r="C95" s="60" t="inlineStr">
        <is>
          <t>תורנות שישי</t>
        </is>
      </c>
      <c r="D95" s="59" t="inlineStr">
        <is>
          <t>בית מדרש</t>
        </is>
      </c>
      <c r="E95" s="60" t="n">
        <v>3</v>
      </c>
    </row>
    <row r="96">
      <c r="A96" s="58" t="n">
        <v>46283</v>
      </c>
      <c r="B96" s="59" t="inlineStr">
        <is>
          <t>רותם דרור</t>
        </is>
      </c>
      <c r="C96" s="60" t="inlineStr">
        <is>
          <t>תורנות שישי</t>
        </is>
      </c>
      <c r="D96" s="59" t="inlineStr">
        <is>
          <t>בית מדרש</t>
        </is>
      </c>
      <c r="E96" s="60" t="n">
        <v>3</v>
      </c>
    </row>
    <row r="97">
      <c r="A97" s="58" t="n">
        <v>46283</v>
      </c>
      <c r="B97" s="59" t="inlineStr">
        <is>
          <t>שירה אדלה לוזון</t>
        </is>
      </c>
      <c r="C97" s="60" t="inlineStr">
        <is>
          <t>תורנות שישי</t>
        </is>
      </c>
      <c r="D97" s="59" t="inlineStr">
        <is>
          <t>בית מדרש</t>
        </is>
      </c>
      <c r="E97" s="60" t="n">
        <v>3</v>
      </c>
    </row>
    <row r="98">
      <c r="A98" s="58" t="n">
        <v>46283</v>
      </c>
      <c r="B98" s="59" t="inlineStr">
        <is>
          <t>תמר פרידמן</t>
        </is>
      </c>
      <c r="C98" s="60" t="inlineStr">
        <is>
          <t>תורנות שישי</t>
        </is>
      </c>
      <c r="D98" s="59" t="inlineStr">
        <is>
          <t>בית מדרש</t>
        </is>
      </c>
      <c r="E98" s="60" t="n">
        <v>3</v>
      </c>
    </row>
    <row r="99">
      <c r="A99" s="58" t="n">
        <v>46283</v>
      </c>
      <c r="B99" s="59" t="inlineStr">
        <is>
          <t>תמר פרימור</t>
        </is>
      </c>
      <c r="C99" s="60" t="inlineStr">
        <is>
          <t>תורנות שישי</t>
        </is>
      </c>
      <c r="D99" s="59" t="inlineStr">
        <is>
          <t>בית מדרש</t>
        </is>
      </c>
      <c r="E99" s="60" t="n">
        <v>3</v>
      </c>
    </row>
    <row r="100">
      <c r="A100" s="58" t="n">
        <v>46311</v>
      </c>
      <c r="B100" s="59" t="inlineStr">
        <is>
          <t>אחיה נחמני</t>
        </is>
      </c>
      <c r="C100" s="60" t="inlineStr">
        <is>
          <t>הכנות שישי</t>
        </is>
      </c>
      <c r="D100" s="59" t="inlineStr">
        <is>
          <t>ארוחת צהריים שישי</t>
        </is>
      </c>
      <c r="E100" s="60" t="n">
        <v>3</v>
      </c>
    </row>
    <row r="101">
      <c r="A101" s="58" t="n">
        <v>46311</v>
      </c>
      <c r="B101" s="59" t="inlineStr">
        <is>
          <t>עמית סיילס</t>
        </is>
      </c>
      <c r="C101" s="60" t="inlineStr">
        <is>
          <t>הכנות שישי</t>
        </is>
      </c>
      <c r="D101" s="59" t="inlineStr">
        <is>
          <t>ארוחת צהריים שישי</t>
        </is>
      </c>
      <c r="E101" s="60" t="n">
        <v>3</v>
      </c>
    </row>
    <row r="102">
      <c r="A102" s="58" t="n">
        <v>46311</v>
      </c>
      <c r="B102" s="59" t="inlineStr">
        <is>
          <t>עמית שי אברהם</t>
        </is>
      </c>
      <c r="C102" s="60" t="inlineStr">
        <is>
          <t>הכנות שישי</t>
        </is>
      </c>
      <c r="D102" s="59" t="inlineStr">
        <is>
          <t>ארוחת צהריים שישי</t>
        </is>
      </c>
      <c r="E102" s="60" t="n">
        <v>3</v>
      </c>
    </row>
    <row r="103">
      <c r="A103" s="58" t="n">
        <v>46311</v>
      </c>
      <c r="B103" s="59" t="inlineStr">
        <is>
          <t>של״ו רובינשטיין</t>
        </is>
      </c>
      <c r="C103" s="60" t="inlineStr">
        <is>
          <t>הכנות שישי</t>
        </is>
      </c>
      <c r="D103" s="59" t="inlineStr">
        <is>
          <t>ארוחת צהריים שישי</t>
        </is>
      </c>
      <c r="E103" s="60" t="n">
        <v>3</v>
      </c>
    </row>
    <row r="104">
      <c r="A104" s="58" t="n">
        <v>46311</v>
      </c>
      <c r="B104" s="59" t="inlineStr">
        <is>
          <t>הלל פינגולד</t>
        </is>
      </c>
      <c r="C104" s="60" t="inlineStr">
        <is>
          <t>הכנות שישי</t>
        </is>
      </c>
      <c r="D104" s="59" t="inlineStr">
        <is>
          <t>חלות</t>
        </is>
      </c>
      <c r="E104" s="60" t="n">
        <v>3</v>
      </c>
    </row>
    <row r="105">
      <c r="A105" s="58" t="n">
        <v>46311</v>
      </c>
      <c r="B105" s="59" t="inlineStr">
        <is>
          <t>ניצן גמלא</t>
        </is>
      </c>
      <c r="C105" s="60" t="inlineStr">
        <is>
          <t>הכנות שישי</t>
        </is>
      </c>
      <c r="D105" s="59" t="inlineStr">
        <is>
          <t>חלות</t>
        </is>
      </c>
      <c r="E105" s="60" t="n">
        <v>3</v>
      </c>
    </row>
    <row r="106">
      <c r="A106" s="58" t="n">
        <v>46311</v>
      </c>
      <c r="B106" s="59" t="inlineStr">
        <is>
          <t>רוני כהן</t>
        </is>
      </c>
      <c r="C106" s="60" t="inlineStr">
        <is>
          <t>הכנות שישי</t>
        </is>
      </c>
      <c r="D106" s="59" t="inlineStr">
        <is>
          <t>חלות</t>
        </is>
      </c>
      <c r="E106" s="60" t="n">
        <v>3</v>
      </c>
    </row>
    <row r="107">
      <c r="A107" s="58" t="n">
        <v>46311</v>
      </c>
      <c r="B107" s="59" t="inlineStr">
        <is>
          <t>אלה גוטליב</t>
        </is>
      </c>
      <c r="C107" s="60" t="inlineStr">
        <is>
          <t>הכנות שישי</t>
        </is>
      </c>
      <c r="D107" s="59" t="inlineStr">
        <is>
          <t>מטבוחה</t>
        </is>
      </c>
      <c r="E107" s="60" t="n">
        <v>3</v>
      </c>
    </row>
    <row r="108">
      <c r="A108" s="58" t="n">
        <v>46311</v>
      </c>
      <c r="B108" s="59" t="inlineStr">
        <is>
          <t>הדר עמדי</t>
        </is>
      </c>
      <c r="C108" s="60" t="inlineStr">
        <is>
          <t>הכנות שישי</t>
        </is>
      </c>
      <c r="D108" s="59" t="inlineStr">
        <is>
          <t>מטבוחה</t>
        </is>
      </c>
      <c r="E108" s="60" t="n">
        <v>3</v>
      </c>
    </row>
    <row r="109">
      <c r="A109" s="58" t="n">
        <v>46311</v>
      </c>
      <c r="B109" s="59" t="inlineStr">
        <is>
          <t>ליבי בוכריס</t>
        </is>
      </c>
      <c r="C109" s="60" t="inlineStr">
        <is>
          <t>הכנות שישי</t>
        </is>
      </c>
      <c r="D109" s="59" t="inlineStr">
        <is>
          <t>מטבוחה</t>
        </is>
      </c>
      <c r="E109" s="60" t="n">
        <v>3</v>
      </c>
    </row>
    <row r="110">
      <c r="A110" s="58" t="n">
        <v>46311</v>
      </c>
      <c r="B110" s="59" t="inlineStr">
        <is>
          <t>שחר קרן</t>
        </is>
      </c>
      <c r="C110" s="60" t="inlineStr">
        <is>
          <t>הכנות שישי</t>
        </is>
      </c>
      <c r="D110" s="59" t="inlineStr">
        <is>
          <t>מטבוחה</t>
        </is>
      </c>
      <c r="E110" s="60" t="n">
        <v>3</v>
      </c>
    </row>
    <row r="111">
      <c r="A111" s="58" t="n">
        <v>46311</v>
      </c>
      <c r="B111" s="59" t="inlineStr">
        <is>
          <t>מאיה פקטר</t>
        </is>
      </c>
      <c r="C111" s="60" t="inlineStr">
        <is>
          <t>הכנות שישי</t>
        </is>
      </c>
      <c r="D111" s="59" t="inlineStr">
        <is>
          <t>עוגיות שוקולד צ'יפס</t>
        </is>
      </c>
      <c r="E111" s="60" t="n">
        <v>3</v>
      </c>
    </row>
    <row r="112">
      <c r="A112" s="58" t="n">
        <v>46311</v>
      </c>
      <c r="B112" s="59" t="inlineStr">
        <is>
          <t>קובי סמייסון</t>
        </is>
      </c>
      <c r="C112" s="60" t="inlineStr">
        <is>
          <t>הכנות שישי</t>
        </is>
      </c>
      <c r="D112" s="59" t="inlineStr">
        <is>
          <t>עוגיות שוקולד צ'יפס</t>
        </is>
      </c>
      <c r="E112" s="60" t="n">
        <v>3</v>
      </c>
    </row>
    <row r="113">
      <c r="A113" s="58" t="n">
        <v>46311</v>
      </c>
      <c r="B113" s="59" t="inlineStr">
        <is>
          <t>בניה מעוז</t>
        </is>
      </c>
      <c r="C113" s="60" t="inlineStr">
        <is>
          <t>הכנות שישי</t>
        </is>
      </c>
      <c r="D113" s="59" t="inlineStr">
        <is>
          <t>עוגת שוקולד</t>
        </is>
      </c>
      <c r="E113" s="60" t="n">
        <v>3</v>
      </c>
    </row>
    <row r="114">
      <c r="A114" s="58" t="n">
        <v>46311</v>
      </c>
      <c r="B114" s="59" t="inlineStr">
        <is>
          <t>הילה לביא</t>
        </is>
      </c>
      <c r="C114" s="60" t="inlineStr">
        <is>
          <t>הכנות שישי</t>
        </is>
      </c>
      <c r="D114" s="59" t="inlineStr">
        <is>
          <t>עוגת שוקולד</t>
        </is>
      </c>
      <c r="E114" s="60" t="n">
        <v>3</v>
      </c>
    </row>
    <row r="115">
      <c r="A115" s="58" t="n">
        <v>46311</v>
      </c>
      <c r="B115" s="59" t="inlineStr">
        <is>
          <t>איתן כהן</t>
        </is>
      </c>
      <c r="C115" s="60" t="inlineStr">
        <is>
          <t>הכנות שישי</t>
        </is>
      </c>
      <c r="D115" s="59" t="inlineStr">
        <is>
          <t>עוגת שמרים</t>
        </is>
      </c>
      <c r="E115" s="60" t="n">
        <v>3</v>
      </c>
    </row>
    <row r="116">
      <c r="A116" s="58" t="n">
        <v>46311</v>
      </c>
      <c r="B116" s="59" t="inlineStr">
        <is>
          <t>אלרואי גרינברג</t>
        </is>
      </c>
      <c r="C116" s="60" t="inlineStr">
        <is>
          <t>הכנות שישי</t>
        </is>
      </c>
      <c r="D116" s="59" t="inlineStr">
        <is>
          <t>עוגת שמרים</t>
        </is>
      </c>
      <c r="E116" s="60" t="n">
        <v>3</v>
      </c>
    </row>
    <row r="117">
      <c r="A117" s="58" t="n">
        <v>46311</v>
      </c>
      <c r="B117" s="59" t="inlineStr">
        <is>
          <t>רגב שהם</t>
        </is>
      </c>
      <c r="C117" s="60" t="inlineStr">
        <is>
          <t>הכנות שישי</t>
        </is>
      </c>
      <c r="D117" s="59" t="inlineStr">
        <is>
          <t>עוגת שמרים</t>
        </is>
      </c>
      <c r="E117" s="60" t="n">
        <v>3</v>
      </c>
    </row>
    <row r="118">
      <c r="A118" s="58" t="n">
        <v>46311</v>
      </c>
      <c r="B118" s="59" t="inlineStr">
        <is>
          <t>אלה גוטליב</t>
        </is>
      </c>
      <c r="C118" s="60" t="inlineStr">
        <is>
          <t>תורנות מוצ"ש</t>
        </is>
      </c>
      <c r="D118" s="59" t="inlineStr">
        <is>
          <t>ארוחת ערב מוצ"ש</t>
        </is>
      </c>
      <c r="E118" s="60" t="n">
        <v>3</v>
      </c>
    </row>
    <row r="119">
      <c r="A119" s="58" t="n">
        <v>46311</v>
      </c>
      <c r="B119" s="59" t="inlineStr">
        <is>
          <t>ירדן בן שחר</t>
        </is>
      </c>
      <c r="C119" s="60" t="inlineStr">
        <is>
          <t>תורנות מוצ"ש</t>
        </is>
      </c>
      <c r="D119" s="59" t="inlineStr">
        <is>
          <t>ארוחת ערב מוצ"ש</t>
        </is>
      </c>
      <c r="E119" s="60" t="n">
        <v>3</v>
      </c>
    </row>
    <row r="120">
      <c r="A120" s="58" t="n">
        <v>46311</v>
      </c>
      <c r="B120" s="59" t="inlineStr">
        <is>
          <t>משה אוברשטיין</t>
        </is>
      </c>
      <c r="C120" s="60" t="inlineStr">
        <is>
          <t>תורנות מוצ"ש</t>
        </is>
      </c>
      <c r="D120" s="59" t="inlineStr">
        <is>
          <t>ארוחת ערב מוצ"ש</t>
        </is>
      </c>
      <c r="E120" s="60" t="n">
        <v>3</v>
      </c>
    </row>
    <row r="121">
      <c r="A121" s="58" t="n">
        <v>46311</v>
      </c>
      <c r="B121" s="59" t="inlineStr">
        <is>
          <t>שחר קרן</t>
        </is>
      </c>
      <c r="C121" s="60" t="inlineStr">
        <is>
          <t>תורנות מוצ"ש</t>
        </is>
      </c>
      <c r="D121" s="59" t="inlineStr">
        <is>
          <t>ארוחת ערב מוצ"ש</t>
        </is>
      </c>
      <c r="E121" s="60" t="n">
        <v>3</v>
      </c>
    </row>
    <row r="122">
      <c r="A122" s="58" t="n">
        <v>46311</v>
      </c>
      <c r="B122" s="59" t="inlineStr">
        <is>
          <t>תמר פרידמן</t>
        </is>
      </c>
      <c r="C122" s="60" t="inlineStr">
        <is>
          <t>תורנות מוצ"ש</t>
        </is>
      </c>
      <c r="D122" s="59" t="inlineStr">
        <is>
          <t>ארוחת ערב מוצ"ש</t>
        </is>
      </c>
      <c r="E122" s="60" t="n">
        <v>3</v>
      </c>
    </row>
    <row r="123">
      <c r="A123" s="58" t="n">
        <v>46311</v>
      </c>
      <c r="B123" s="59" t="inlineStr">
        <is>
          <t>אביה וייל</t>
        </is>
      </c>
      <c r="C123" s="60" t="inlineStr">
        <is>
          <t>תורנות מוצ"ש</t>
        </is>
      </c>
      <c r="D123" s="59" t="inlineStr">
        <is>
          <t>ניקיון בית המדרש במוצ"ש</t>
        </is>
      </c>
      <c r="E123" s="60" t="n">
        <v>2</v>
      </c>
    </row>
    <row r="124">
      <c r="A124" s="58" t="n">
        <v>46311</v>
      </c>
      <c r="B124" s="59" t="inlineStr">
        <is>
          <t>אוריה תעשה</t>
        </is>
      </c>
      <c r="C124" s="60" t="inlineStr">
        <is>
          <t>תורנות מוצ"ש</t>
        </is>
      </c>
      <c r="D124" s="59" t="inlineStr">
        <is>
          <t>ניקיון בית המדרש במוצ"ש</t>
        </is>
      </c>
      <c r="E124" s="60" t="n">
        <v>2</v>
      </c>
    </row>
    <row r="125">
      <c r="A125" s="58" t="n">
        <v>46311</v>
      </c>
      <c r="B125" s="59" t="inlineStr">
        <is>
          <t>ארבל פרנקו</t>
        </is>
      </c>
      <c r="C125" s="60" t="inlineStr">
        <is>
          <t>תורנות מוצ"ש</t>
        </is>
      </c>
      <c r="D125" s="59" t="inlineStr">
        <is>
          <t>ניקיון בית המדרש במוצ"ש</t>
        </is>
      </c>
      <c r="E125" s="60" t="n">
        <v>2</v>
      </c>
    </row>
    <row r="126">
      <c r="A126" s="58" t="n">
        <v>46311</v>
      </c>
      <c r="B126" s="59" t="inlineStr">
        <is>
          <t>חיים שמאי</t>
        </is>
      </c>
      <c r="C126" s="60" t="inlineStr">
        <is>
          <t>תורנות מוצ"ש</t>
        </is>
      </c>
      <c r="D126" s="59" t="inlineStr">
        <is>
          <t>ניקיון בית המדרש במוצ"ש</t>
        </is>
      </c>
      <c r="E126" s="60" t="n">
        <v>2</v>
      </c>
    </row>
    <row r="127">
      <c r="A127" s="58" t="n">
        <v>46311</v>
      </c>
      <c r="B127" s="59" t="inlineStr">
        <is>
          <t>יונתן לירז</t>
        </is>
      </c>
      <c r="C127" s="60" t="inlineStr">
        <is>
          <t>תורנות מוצ"ש</t>
        </is>
      </c>
      <c r="D127" s="59" t="inlineStr">
        <is>
          <t>ניקיון בית המדרש במוצ"ש</t>
        </is>
      </c>
      <c r="E127" s="60" t="n">
        <v>2</v>
      </c>
    </row>
    <row r="128">
      <c r="A128" s="58" t="n">
        <v>46311</v>
      </c>
      <c r="B128" s="59" t="inlineStr">
        <is>
          <t>יערה ריס</t>
        </is>
      </c>
      <c r="C128" s="60" t="inlineStr">
        <is>
          <t>תורנות מוצ"ש</t>
        </is>
      </c>
      <c r="D128" s="59" t="inlineStr">
        <is>
          <t>ניקיון בית המדרש במוצ"ש</t>
        </is>
      </c>
      <c r="E128" s="60" t="n">
        <v>2</v>
      </c>
    </row>
    <row r="129">
      <c r="A129" s="58" t="n">
        <v>46311</v>
      </c>
      <c r="B129" s="59" t="inlineStr">
        <is>
          <t>מעיין יוספי</t>
        </is>
      </c>
      <c r="C129" s="60" t="inlineStr">
        <is>
          <t>תורנות מוצ"ש</t>
        </is>
      </c>
      <c r="D129" s="59" t="inlineStr">
        <is>
          <t>ניקיון בית המדרש במוצ"ש</t>
        </is>
      </c>
      <c r="E129" s="60" t="n">
        <v>2</v>
      </c>
    </row>
    <row r="130">
      <c r="A130" s="58" t="n">
        <v>46311</v>
      </c>
      <c r="B130" s="59" t="inlineStr">
        <is>
          <t>מעיין רחל דינר</t>
        </is>
      </c>
      <c r="C130" s="60" t="inlineStr">
        <is>
          <t>תורנות מוצ"ש</t>
        </is>
      </c>
      <c r="D130" s="59" t="inlineStr">
        <is>
          <t>ניקיון בית המדרש במוצ"ש</t>
        </is>
      </c>
      <c r="E130" s="60" t="n">
        <v>2</v>
      </c>
    </row>
    <row r="131">
      <c r="A131" s="58" t="n">
        <v>46311</v>
      </c>
      <c r="B131" s="59" t="inlineStr">
        <is>
          <t>ניתאי שלום</t>
        </is>
      </c>
      <c r="C131" s="60" t="inlineStr">
        <is>
          <t>תורנות מוצ"ש</t>
        </is>
      </c>
      <c r="D131" s="59" t="inlineStr">
        <is>
          <t>ניקיון בית המדרש במוצ"ש</t>
        </is>
      </c>
      <c r="E131" s="60" t="n">
        <v>2</v>
      </c>
    </row>
    <row r="132">
      <c r="A132" s="58" t="n">
        <v>46311</v>
      </c>
      <c r="B132" s="59" t="inlineStr">
        <is>
          <t>שירה ספונוב</t>
        </is>
      </c>
      <c r="C132" s="60" t="inlineStr">
        <is>
          <t>תורנות מוצ"ש</t>
        </is>
      </c>
      <c r="D132" s="59" t="inlineStr">
        <is>
          <t>ניקיון בית המדרש במוצ"ש</t>
        </is>
      </c>
      <c r="E132" s="60" t="n">
        <v>2</v>
      </c>
    </row>
    <row r="133">
      <c r="A133" s="58" t="n">
        <v>46311</v>
      </c>
      <c r="B133" s="59" t="inlineStr">
        <is>
          <t>איתמר אסנהיים</t>
        </is>
      </c>
      <c r="C133" s="60" t="inlineStr">
        <is>
          <t>תורנות מוצ"ש</t>
        </is>
      </c>
      <c r="D133" s="59" t="inlineStr">
        <is>
          <t>ניקיון חדר האוכל במוצ"ש</t>
        </is>
      </c>
      <c r="E133" s="60" t="n">
        <v>3</v>
      </c>
    </row>
    <row r="134">
      <c r="A134" s="58" t="n">
        <v>46311</v>
      </c>
      <c r="B134" s="59" t="inlineStr">
        <is>
          <t>איתן וינסטון</t>
        </is>
      </c>
      <c r="C134" s="60" t="inlineStr">
        <is>
          <t>תורנות מוצ"ש</t>
        </is>
      </c>
      <c r="D134" s="59" t="inlineStr">
        <is>
          <t>ניקיון חדר האוכל במוצ"ש</t>
        </is>
      </c>
      <c r="E134" s="60" t="n">
        <v>3</v>
      </c>
    </row>
    <row r="135">
      <c r="A135" s="58" t="n">
        <v>46311</v>
      </c>
      <c r="B135" s="59" t="inlineStr">
        <is>
          <t>אלה מאיר</t>
        </is>
      </c>
      <c r="C135" s="60" t="inlineStr">
        <is>
          <t>תורנות מוצ"ש</t>
        </is>
      </c>
      <c r="D135" s="59" t="inlineStr">
        <is>
          <t>ניקיון חדר האוכל במוצ"ש</t>
        </is>
      </c>
      <c r="E135" s="60" t="n">
        <v>3</v>
      </c>
    </row>
    <row r="136">
      <c r="A136" s="58" t="n">
        <v>46311</v>
      </c>
      <c r="B136" s="59" t="inlineStr">
        <is>
          <t>יואב אוחנה</t>
        </is>
      </c>
      <c r="C136" s="60" t="inlineStr">
        <is>
          <t>תורנות מוצ"ש</t>
        </is>
      </c>
      <c r="D136" s="59" t="inlineStr">
        <is>
          <t>ניקיון חדר האוכל במוצ"ש</t>
        </is>
      </c>
      <c r="E136" s="60" t="n">
        <v>3</v>
      </c>
    </row>
    <row r="137">
      <c r="A137" s="58" t="n">
        <v>46311</v>
      </c>
      <c r="B137" s="59" t="inlineStr">
        <is>
          <t>יובל יצחק</t>
        </is>
      </c>
      <c r="C137" s="60" t="inlineStr">
        <is>
          <t>תורנות מוצ"ש</t>
        </is>
      </c>
      <c r="D137" s="59" t="inlineStr">
        <is>
          <t>ניקיון חדר האוכל במוצ"ש</t>
        </is>
      </c>
      <c r="E137" s="60" t="n">
        <v>3</v>
      </c>
    </row>
    <row r="138">
      <c r="A138" s="58" t="n">
        <v>46311</v>
      </c>
      <c r="B138" s="59" t="inlineStr">
        <is>
          <t>ינון לוי</t>
        </is>
      </c>
      <c r="C138" s="60" t="inlineStr">
        <is>
          <t>תורנות מוצ"ש</t>
        </is>
      </c>
      <c r="D138" s="59" t="inlineStr">
        <is>
          <t>ניקיון חדר האוכל במוצ"ש</t>
        </is>
      </c>
      <c r="E138" s="60" t="n">
        <v>3</v>
      </c>
    </row>
    <row r="139">
      <c r="A139" s="58" t="n">
        <v>46311</v>
      </c>
      <c r="B139" s="59" t="inlineStr">
        <is>
          <t>מאיה פקטר</t>
        </is>
      </c>
      <c r="C139" s="60" t="inlineStr">
        <is>
          <t>תורנות מוצ"ש</t>
        </is>
      </c>
      <c r="D139" s="59" t="inlineStr">
        <is>
          <t>ניקיון חדר האוכל במוצ"ש</t>
        </is>
      </c>
      <c r="E139" s="60" t="n">
        <v>3</v>
      </c>
    </row>
    <row r="140">
      <c r="A140" s="58" t="n">
        <v>46311</v>
      </c>
      <c r="B140" s="59" t="inlineStr">
        <is>
          <t>נדב טוקר</t>
        </is>
      </c>
      <c r="C140" s="60" t="inlineStr">
        <is>
          <t>תורנות מוצ"ש</t>
        </is>
      </c>
      <c r="D140" s="59" t="inlineStr">
        <is>
          <t>ניקיון חדר האוכל במוצ"ש</t>
        </is>
      </c>
      <c r="E140" s="60" t="n">
        <v>3</v>
      </c>
    </row>
    <row r="141">
      <c r="A141" s="58" t="n">
        <v>46311</v>
      </c>
      <c r="B141" s="59" t="inlineStr">
        <is>
          <t>עמית סיילס</t>
        </is>
      </c>
      <c r="C141" s="60" t="inlineStr">
        <is>
          <t>תורנות מוצ"ש</t>
        </is>
      </c>
      <c r="D141" s="59" t="inlineStr">
        <is>
          <t>ניקיון חדר האוכל במוצ"ש</t>
        </is>
      </c>
      <c r="E141" s="60" t="n">
        <v>3</v>
      </c>
    </row>
    <row r="142">
      <c r="A142" s="58" t="n">
        <v>46311</v>
      </c>
      <c r="B142" s="59" t="inlineStr">
        <is>
          <t>עמית שי אברהם</t>
        </is>
      </c>
      <c r="C142" s="60" t="inlineStr">
        <is>
          <t>תורנות מוצ"ש</t>
        </is>
      </c>
      <c r="D142" s="59" t="inlineStr">
        <is>
          <t>ניקיון חדר האוכל במוצ"ש</t>
        </is>
      </c>
      <c r="E142" s="60" t="n">
        <v>3</v>
      </c>
    </row>
    <row r="143">
      <c r="A143" s="58" t="n">
        <v>46311</v>
      </c>
      <c r="B143" s="59" t="inlineStr">
        <is>
          <t>רועי צבי סרי</t>
        </is>
      </c>
      <c r="C143" s="60" t="inlineStr">
        <is>
          <t>תורנות מוצ"ש</t>
        </is>
      </c>
      <c r="D143" s="59" t="inlineStr">
        <is>
          <t>ניקיון חדר האוכל במוצ"ש</t>
        </is>
      </c>
      <c r="E143" s="60" t="n">
        <v>3</v>
      </c>
    </row>
    <row r="144">
      <c r="A144" s="58" t="n">
        <v>46311</v>
      </c>
      <c r="B144" s="59" t="inlineStr">
        <is>
          <t>שילת פילפל</t>
        </is>
      </c>
      <c r="C144" s="60" t="inlineStr">
        <is>
          <t>תורנות מוצ"ש</t>
        </is>
      </c>
      <c r="D144" s="59" t="inlineStr">
        <is>
          <t>ניקיון חדר האוכל במוצ"ש</t>
        </is>
      </c>
      <c r="E144" s="60" t="n">
        <v>3</v>
      </c>
    </row>
    <row r="145">
      <c r="A145" s="58" t="n">
        <v>46311</v>
      </c>
      <c r="B145" s="59" t="inlineStr">
        <is>
          <t>יונתן לירז</t>
        </is>
      </c>
      <c r="C145" s="60" t="inlineStr">
        <is>
          <t>תורנות שבת</t>
        </is>
      </c>
      <c r="D145" s="59" t="inlineStr">
        <is>
          <t>ארוחת ערב</t>
        </is>
      </c>
      <c r="E145" s="60" t="n">
        <v>2</v>
      </c>
    </row>
    <row r="146">
      <c r="A146" s="58" t="n">
        <v>46311</v>
      </c>
      <c r="B146" s="59" t="inlineStr">
        <is>
          <t>מעיין יוספי</t>
        </is>
      </c>
      <c r="C146" s="60" t="inlineStr">
        <is>
          <t>תורנות שבת</t>
        </is>
      </c>
      <c r="D146" s="59" t="inlineStr">
        <is>
          <t>ארוחת ערב</t>
        </is>
      </c>
      <c r="E146" s="60" t="n">
        <v>2</v>
      </c>
    </row>
    <row r="147">
      <c r="A147" s="58" t="n">
        <v>46311</v>
      </c>
      <c r="B147" s="59" t="inlineStr">
        <is>
          <t>מעיין רחל דינר</t>
        </is>
      </c>
      <c r="C147" s="60" t="inlineStr">
        <is>
          <t>תורנות שבת</t>
        </is>
      </c>
      <c r="D147" s="59" t="inlineStr">
        <is>
          <t>ארוחת ערב</t>
        </is>
      </c>
      <c r="E147" s="60" t="n">
        <v>2</v>
      </c>
    </row>
    <row r="148">
      <c r="A148" s="58" t="n">
        <v>46311</v>
      </c>
      <c r="B148" s="59" t="inlineStr">
        <is>
          <t>ניתאי שלום</t>
        </is>
      </c>
      <c r="C148" s="60" t="inlineStr">
        <is>
          <t>תורנות שבת</t>
        </is>
      </c>
      <c r="D148" s="59" t="inlineStr">
        <is>
          <t>ארוחת ערב</t>
        </is>
      </c>
      <c r="E148" s="60" t="n">
        <v>2</v>
      </c>
    </row>
    <row r="149">
      <c r="A149" s="58" t="n">
        <v>46311</v>
      </c>
      <c r="B149" s="59" t="inlineStr">
        <is>
          <t>אלרואי גרינברג</t>
        </is>
      </c>
      <c r="C149" s="60" t="inlineStr">
        <is>
          <t>תורנות שבת</t>
        </is>
      </c>
      <c r="D149" s="59" t="inlineStr">
        <is>
          <t>ארוחת צהריים שבת</t>
        </is>
      </c>
      <c r="E149" s="60" t="n">
        <v>2</v>
      </c>
    </row>
    <row r="150">
      <c r="A150" s="58" t="n">
        <v>46311</v>
      </c>
      <c r="B150" s="59" t="inlineStr">
        <is>
          <t>בניה מעוז</t>
        </is>
      </c>
      <c r="C150" s="60" t="inlineStr">
        <is>
          <t>תורנות שבת</t>
        </is>
      </c>
      <c r="D150" s="59" t="inlineStr">
        <is>
          <t>ארוחת צהריים שבת</t>
        </is>
      </c>
      <c r="E150" s="60" t="n">
        <v>2</v>
      </c>
    </row>
    <row r="151">
      <c r="A151" s="58" t="n">
        <v>46311</v>
      </c>
      <c r="B151" s="59" t="inlineStr">
        <is>
          <t>רגב שהם</t>
        </is>
      </c>
      <c r="C151" s="60" t="inlineStr">
        <is>
          <t>תורנות שבת</t>
        </is>
      </c>
      <c r="D151" s="59" t="inlineStr">
        <is>
          <t>ארוחת צהריים שבת</t>
        </is>
      </c>
      <c r="E151" s="60" t="n">
        <v>2</v>
      </c>
    </row>
    <row r="152">
      <c r="A152" s="58" t="n">
        <v>46311</v>
      </c>
      <c r="B152" s="59" t="inlineStr">
        <is>
          <t>רוני כהן</t>
        </is>
      </c>
      <c r="C152" s="60" t="inlineStr">
        <is>
          <t>תורנות שבת</t>
        </is>
      </c>
      <c r="D152" s="59" t="inlineStr">
        <is>
          <t>ארוחת צהריים שבת</t>
        </is>
      </c>
      <c r="E152" s="60" t="n">
        <v>2</v>
      </c>
    </row>
    <row r="153">
      <c r="A153" s="58" t="n">
        <v>46311</v>
      </c>
      <c r="B153" s="59" t="inlineStr">
        <is>
          <t>אלה מאיר</t>
        </is>
      </c>
      <c r="C153" s="60" t="inlineStr">
        <is>
          <t>תורנות שבת</t>
        </is>
      </c>
      <c r="D153" s="59" t="inlineStr">
        <is>
          <t>גסטרונומים</t>
        </is>
      </c>
      <c r="E153" s="60" t="n">
        <v>2</v>
      </c>
    </row>
    <row r="154">
      <c r="A154" s="58" t="n">
        <v>46311</v>
      </c>
      <c r="B154" s="59" t="inlineStr">
        <is>
          <t>שילת פילפל</t>
        </is>
      </c>
      <c r="C154" s="60" t="inlineStr">
        <is>
          <t>תורנות שבת</t>
        </is>
      </c>
      <c r="D154" s="59" t="inlineStr">
        <is>
          <t>גסטרונומים</t>
        </is>
      </c>
      <c r="E154" s="60" t="n">
        <v>2</v>
      </c>
    </row>
    <row r="155">
      <c r="A155" s="58" t="n">
        <v>46311</v>
      </c>
      <c r="B155" s="59" t="inlineStr">
        <is>
          <t>אוריה תעשה</t>
        </is>
      </c>
      <c r="C155" s="60" t="inlineStr">
        <is>
          <t>תורנות שבת</t>
        </is>
      </c>
      <c r="D155" s="59" t="inlineStr">
        <is>
          <t>טיש</t>
        </is>
      </c>
      <c r="E155" s="60" t="n">
        <v>1</v>
      </c>
    </row>
    <row r="156">
      <c r="A156" s="58" t="n">
        <v>46311</v>
      </c>
      <c r="B156" s="59" t="inlineStr">
        <is>
          <t>ארבל פרנקו</t>
        </is>
      </c>
      <c r="C156" s="60" t="inlineStr">
        <is>
          <t>תורנות שבת</t>
        </is>
      </c>
      <c r="D156" s="59" t="inlineStr">
        <is>
          <t>טיש</t>
        </is>
      </c>
      <c r="E156" s="60" t="n">
        <v>1</v>
      </c>
    </row>
    <row r="157">
      <c r="A157" s="58" t="n">
        <v>46311</v>
      </c>
      <c r="B157" s="59" t="inlineStr">
        <is>
          <t>נדב טוקר</t>
        </is>
      </c>
      <c r="C157" s="60" t="inlineStr">
        <is>
          <t>תורנות שבת</t>
        </is>
      </c>
      <c r="D157" s="59" t="inlineStr">
        <is>
          <t>טיש</t>
        </is>
      </c>
      <c r="E157" s="60" t="n">
        <v>1</v>
      </c>
    </row>
    <row r="158">
      <c r="A158" s="58" t="n">
        <v>46311</v>
      </c>
      <c r="B158" s="59" t="inlineStr">
        <is>
          <t>אביה וייל</t>
        </is>
      </c>
      <c r="C158" s="60" t="inlineStr">
        <is>
          <t>תורנות שבת</t>
        </is>
      </c>
      <c r="D158" s="59" t="inlineStr">
        <is>
          <t>פינוי ארוחת ערב</t>
        </is>
      </c>
      <c r="E158" s="60" t="n">
        <v>2</v>
      </c>
    </row>
    <row r="159">
      <c r="A159" s="58" t="n">
        <v>46311</v>
      </c>
      <c r="B159" s="59" t="inlineStr">
        <is>
          <t>יואב אוחנה</t>
        </is>
      </c>
      <c r="C159" s="60" t="inlineStr">
        <is>
          <t>תורנות שבת</t>
        </is>
      </c>
      <c r="D159" s="59" t="inlineStr">
        <is>
          <t>פינוי ארוחת ערב</t>
        </is>
      </c>
      <c r="E159" s="60" t="n">
        <v>2</v>
      </c>
    </row>
    <row r="160">
      <c r="A160" s="58" t="n">
        <v>46311</v>
      </c>
      <c r="B160" s="59" t="inlineStr">
        <is>
          <t>יובל יצחק</t>
        </is>
      </c>
      <c r="C160" s="60" t="inlineStr">
        <is>
          <t>תורנות שבת</t>
        </is>
      </c>
      <c r="D160" s="59" t="inlineStr">
        <is>
          <t>פינוי ארוחת ערב</t>
        </is>
      </c>
      <c r="E160" s="60" t="n">
        <v>2</v>
      </c>
    </row>
    <row r="161">
      <c r="A161" s="58" t="n">
        <v>46311</v>
      </c>
      <c r="B161" s="59" t="inlineStr">
        <is>
          <t>ינון לוי</t>
        </is>
      </c>
      <c r="C161" s="60" t="inlineStr">
        <is>
          <t>תורנות שבת</t>
        </is>
      </c>
      <c r="D161" s="59" t="inlineStr">
        <is>
          <t>פינוי ארוחת ערב</t>
        </is>
      </c>
      <c r="E161" s="60" t="n">
        <v>2</v>
      </c>
    </row>
    <row r="162">
      <c r="A162" s="58" t="n">
        <v>46311</v>
      </c>
      <c r="B162" s="59" t="inlineStr">
        <is>
          <t>רועי צבי סרי</t>
        </is>
      </c>
      <c r="C162" s="60" t="inlineStr">
        <is>
          <t>תורנות שבת</t>
        </is>
      </c>
      <c r="D162" s="59" t="inlineStr">
        <is>
          <t>פינוי ארוחת ערב</t>
        </is>
      </c>
      <c r="E162" s="60" t="n">
        <v>2</v>
      </c>
    </row>
    <row r="163">
      <c r="A163" s="58" t="n">
        <v>46311</v>
      </c>
      <c r="B163" s="59" t="inlineStr">
        <is>
          <t>אחיה נחמני</t>
        </is>
      </c>
      <c r="C163" s="60" t="inlineStr">
        <is>
          <t>תורנות שבת</t>
        </is>
      </c>
      <c r="D163" s="59" t="inlineStr">
        <is>
          <t>פינוי ארוחת צהריים וסעודה שלישית</t>
        </is>
      </c>
      <c r="E163" s="60" t="n">
        <v>2</v>
      </c>
    </row>
    <row r="164">
      <c r="A164" s="58" t="n">
        <v>46311</v>
      </c>
      <c r="B164" s="59" t="inlineStr">
        <is>
          <t>הדר עמדי</t>
        </is>
      </c>
      <c r="C164" s="60" t="inlineStr">
        <is>
          <t>תורנות שבת</t>
        </is>
      </c>
      <c r="D164" s="59" t="inlineStr">
        <is>
          <t>פינוי ארוחת צהריים וסעודה שלישית</t>
        </is>
      </c>
      <c r="E164" s="60" t="n">
        <v>2</v>
      </c>
    </row>
    <row r="165">
      <c r="A165" s="58" t="n">
        <v>46311</v>
      </c>
      <c r="B165" s="59" t="inlineStr">
        <is>
          <t>זואי כהן</t>
        </is>
      </c>
      <c r="C165" s="60" t="inlineStr">
        <is>
          <t>תורנות שבת</t>
        </is>
      </c>
      <c r="D165" s="59" t="inlineStr">
        <is>
          <t>פינוי ארוחת צהריים וסעודה שלישית</t>
        </is>
      </c>
      <c r="E165" s="60" t="n">
        <v>2</v>
      </c>
    </row>
    <row r="166">
      <c r="A166" s="58" t="n">
        <v>46311</v>
      </c>
      <c r="B166" s="59" t="inlineStr">
        <is>
          <t>נגה שוהם</t>
        </is>
      </c>
      <c r="C166" s="60" t="inlineStr">
        <is>
          <t>תורנות שבת</t>
        </is>
      </c>
      <c r="D166" s="59" t="inlineStr">
        <is>
          <t>פינוי ארוחת צהריים וסעודה שלישית</t>
        </is>
      </c>
      <c r="E166" s="60" t="n">
        <v>2</v>
      </c>
    </row>
    <row r="167">
      <c r="A167" s="58" t="n">
        <v>46311</v>
      </c>
      <c r="B167" s="59" t="inlineStr">
        <is>
          <t>קובי סמייסון</t>
        </is>
      </c>
      <c r="C167" s="60" t="inlineStr">
        <is>
          <t>תורנות שבת</t>
        </is>
      </c>
      <c r="D167" s="59" t="inlineStr">
        <is>
          <t>פינוי ארוחת צהריים וסעודה שלישית</t>
        </is>
      </c>
      <c r="E167" s="60" t="n">
        <v>2</v>
      </c>
    </row>
    <row r="168">
      <c r="A168" s="58" t="n">
        <v>46311</v>
      </c>
      <c r="B168" s="59" t="inlineStr">
        <is>
          <t>הלל פינגולד</t>
        </is>
      </c>
      <c r="C168" s="60" t="inlineStr">
        <is>
          <t>תורנות שבת</t>
        </is>
      </c>
      <c r="D168" s="59" t="inlineStr">
        <is>
          <t>קידוש</t>
        </is>
      </c>
      <c r="E168" s="60" t="n">
        <v>1</v>
      </c>
    </row>
    <row r="169">
      <c r="A169" s="58" t="n">
        <v>46311</v>
      </c>
      <c r="B169" s="59" t="inlineStr">
        <is>
          <t>ליבי בוכריס</t>
        </is>
      </c>
      <c r="C169" s="60" t="inlineStr">
        <is>
          <t>תורנות שבת</t>
        </is>
      </c>
      <c r="D169" s="59" t="inlineStr">
        <is>
          <t>קידוש</t>
        </is>
      </c>
      <c r="E169" s="60" t="n">
        <v>1</v>
      </c>
    </row>
    <row r="170">
      <c r="A170" s="58" t="n">
        <v>46311</v>
      </c>
      <c r="B170" s="59" t="inlineStr">
        <is>
          <t>ניצן גמלא</t>
        </is>
      </c>
      <c r="C170" s="60" t="inlineStr">
        <is>
          <t>תורנות שבת</t>
        </is>
      </c>
      <c r="D170" s="59" t="inlineStr">
        <is>
          <t>קידוש</t>
        </is>
      </c>
      <c r="E170" s="60" t="n">
        <v>1</v>
      </c>
    </row>
    <row r="171">
      <c r="A171" s="58" t="n">
        <v>46311</v>
      </c>
      <c r="B171" s="59" t="inlineStr">
        <is>
          <t>הילי אלפסי</t>
        </is>
      </c>
      <c r="C171" s="60" t="inlineStr">
        <is>
          <t>תורנות שישי</t>
        </is>
      </c>
      <c r="D171" s="59" t="inlineStr">
        <is>
          <t>בית מדרש</t>
        </is>
      </c>
      <c r="E171" s="60" t="n">
        <v>3</v>
      </c>
    </row>
    <row r="172">
      <c r="A172" s="58" t="n">
        <v>46311</v>
      </c>
      <c r="B172" s="59" t="inlineStr">
        <is>
          <t>זואי כהן</t>
        </is>
      </c>
      <c r="C172" s="60" t="inlineStr">
        <is>
          <t>תורנות שישי</t>
        </is>
      </c>
      <c r="D172" s="59" t="inlineStr">
        <is>
          <t>בית מדרש</t>
        </is>
      </c>
      <c r="E172" s="60" t="n">
        <v>3</v>
      </c>
    </row>
    <row r="173">
      <c r="A173" s="58" t="n">
        <v>46311</v>
      </c>
      <c r="B173" s="59" t="inlineStr">
        <is>
          <t>טליה קור</t>
        </is>
      </c>
      <c r="C173" s="60" t="inlineStr">
        <is>
          <t>תורנות שישי</t>
        </is>
      </c>
      <c r="D173" s="59" t="inlineStr">
        <is>
          <t>בית מדרש</t>
        </is>
      </c>
      <c r="E173" s="60" t="n">
        <v>3</v>
      </c>
    </row>
    <row r="174">
      <c r="A174" s="58" t="n">
        <v>46311</v>
      </c>
      <c r="B174" s="59" t="inlineStr">
        <is>
          <t>יהב לוי</t>
        </is>
      </c>
      <c r="C174" s="60" t="inlineStr">
        <is>
          <t>תורנות שישי</t>
        </is>
      </c>
      <c r="D174" s="59" t="inlineStr">
        <is>
          <t>בית מדרש</t>
        </is>
      </c>
      <c r="E174" s="60" t="n">
        <v>3</v>
      </c>
    </row>
    <row r="175">
      <c r="A175" s="58" t="n">
        <v>46311</v>
      </c>
      <c r="B175" s="59" t="inlineStr">
        <is>
          <t>יערה ריס</t>
        </is>
      </c>
      <c r="C175" s="60" t="inlineStr">
        <is>
          <t>תורנות שישי</t>
        </is>
      </c>
      <c r="D175" s="59" t="inlineStr">
        <is>
          <t>בית מדרש</t>
        </is>
      </c>
      <c r="E175" s="60" t="n">
        <v>3</v>
      </c>
    </row>
    <row r="176">
      <c r="A176" s="58" t="n">
        <v>46311</v>
      </c>
      <c r="B176" s="59" t="inlineStr">
        <is>
          <t>כליל בלאוקופף</t>
        </is>
      </c>
      <c r="C176" s="60" t="inlineStr">
        <is>
          <t>תורנות שישי</t>
        </is>
      </c>
      <c r="D176" s="59" t="inlineStr">
        <is>
          <t>בית מדרש</t>
        </is>
      </c>
      <c r="E176" s="60" t="n">
        <v>3</v>
      </c>
    </row>
    <row r="177">
      <c r="A177" s="58" t="n">
        <v>46311</v>
      </c>
      <c r="B177" s="59" t="inlineStr">
        <is>
          <t>נבו בלוך</t>
        </is>
      </c>
      <c r="C177" s="60" t="inlineStr">
        <is>
          <t>תורנות שישי</t>
        </is>
      </c>
      <c r="D177" s="59" t="inlineStr">
        <is>
          <t>בית מדרש</t>
        </is>
      </c>
      <c r="E177" s="60" t="n">
        <v>3</v>
      </c>
    </row>
    <row r="178">
      <c r="A178" s="58" t="n">
        <v>46311</v>
      </c>
      <c r="B178" s="59" t="inlineStr">
        <is>
          <t>עופר בביוף</t>
        </is>
      </c>
      <c r="C178" s="60" t="inlineStr">
        <is>
          <t>תורנות שישי</t>
        </is>
      </c>
      <c r="D178" s="59" t="inlineStr">
        <is>
          <t>בית מדרש</t>
        </is>
      </c>
      <c r="E178" s="60" t="n">
        <v>3</v>
      </c>
    </row>
    <row r="179">
      <c r="A179" s="58" t="n">
        <v>46311</v>
      </c>
      <c r="B179" s="59" t="inlineStr">
        <is>
          <t>רוני פרנקל</t>
        </is>
      </c>
      <c r="C179" s="60" t="inlineStr">
        <is>
          <t>תורנות שישי</t>
        </is>
      </c>
      <c r="D179" s="59" t="inlineStr">
        <is>
          <t>בית מדרש</t>
        </is>
      </c>
      <c r="E179" s="60" t="n">
        <v>3</v>
      </c>
    </row>
    <row r="180">
      <c r="A180" s="58" t="n">
        <v>46311</v>
      </c>
      <c r="B180" s="59" t="inlineStr">
        <is>
          <t>שחר מרקוביץ' גליק</t>
        </is>
      </c>
      <c r="C180" s="60" t="inlineStr">
        <is>
          <t>תורנות שישי</t>
        </is>
      </c>
      <c r="D180" s="59" t="inlineStr">
        <is>
          <t>בית מדרש</t>
        </is>
      </c>
      <c r="E180" s="60" t="n">
        <v>3</v>
      </c>
    </row>
    <row r="181">
      <c r="A181" s="58" t="n">
        <v>46311</v>
      </c>
      <c r="B181" s="59" t="inlineStr">
        <is>
          <t>שירה ספונוב</t>
        </is>
      </c>
      <c r="C181" s="60" t="inlineStr">
        <is>
          <t>תורנות שישי</t>
        </is>
      </c>
      <c r="D181" s="59" t="inlineStr">
        <is>
          <t>בית מדרש</t>
        </is>
      </c>
      <c r="E181" s="60" t="n">
        <v>3</v>
      </c>
    </row>
    <row r="182">
      <c r="A182" s="58" t="n">
        <v>46311</v>
      </c>
      <c r="B182" s="59" t="inlineStr">
        <is>
          <t>תמר פרידמן</t>
        </is>
      </c>
      <c r="C182" s="60" t="inlineStr">
        <is>
          <t>תורנות שישי</t>
        </is>
      </c>
      <c r="D182" s="59" t="inlineStr">
        <is>
          <t>בית מדרש</t>
        </is>
      </c>
      <c r="E182" s="60" t="n">
        <v>3</v>
      </c>
    </row>
    <row r="183">
      <c r="A183" s="58" t="n">
        <v>46311</v>
      </c>
      <c r="B183" s="59" t="inlineStr">
        <is>
          <t>איתי בן מנחם</t>
        </is>
      </c>
      <c r="C183" s="60" t="inlineStr">
        <is>
          <t>תורנות שישי</t>
        </is>
      </c>
      <c r="D183" s="59" t="inlineStr">
        <is>
          <t>ניקיון חדר האוכל בשישי</t>
        </is>
      </c>
      <c r="E183" s="60" t="n">
        <v>3</v>
      </c>
    </row>
    <row r="184">
      <c r="A184" s="58" t="n">
        <v>46311</v>
      </c>
      <c r="B184" s="59" t="inlineStr">
        <is>
          <t>אנה עזריאל</t>
        </is>
      </c>
      <c r="C184" s="60" t="inlineStr">
        <is>
          <t>תורנות שישי</t>
        </is>
      </c>
      <c r="D184" s="59" t="inlineStr">
        <is>
          <t>ניקיון חדר האוכל בשישי</t>
        </is>
      </c>
      <c r="E184" s="60" t="n">
        <v>3</v>
      </c>
    </row>
    <row r="185">
      <c r="A185" s="58" t="n">
        <v>46311</v>
      </c>
      <c r="B185" s="59" t="inlineStr">
        <is>
          <t>ירדן בן שחר</t>
        </is>
      </c>
      <c r="C185" s="60" t="inlineStr">
        <is>
          <t>תורנות שישי</t>
        </is>
      </c>
      <c r="D185" s="59" t="inlineStr">
        <is>
          <t>ניקיון חדר האוכל בשישי</t>
        </is>
      </c>
      <c r="E185" s="60" t="n">
        <v>3</v>
      </c>
    </row>
    <row r="186">
      <c r="A186" s="58" t="n">
        <v>46311</v>
      </c>
      <c r="B186" s="59" t="inlineStr">
        <is>
          <t>משה אוברשטיין</t>
        </is>
      </c>
      <c r="C186" s="60" t="inlineStr">
        <is>
          <t>תורנות שישי</t>
        </is>
      </c>
      <c r="D186" s="59" t="inlineStr">
        <is>
          <t>ניקיון חדר האוכל בשישי</t>
        </is>
      </c>
      <c r="E186" s="60" t="n">
        <v>3</v>
      </c>
    </row>
    <row r="187">
      <c r="A187" s="58" t="n">
        <v>46311</v>
      </c>
      <c r="B187" s="59" t="inlineStr">
        <is>
          <t>נגה חוה כהן</t>
        </is>
      </c>
      <c r="C187" s="60" t="inlineStr">
        <is>
          <t>תורנות שישי</t>
        </is>
      </c>
      <c r="D187" s="59" t="inlineStr">
        <is>
          <t>ניקיון חדר האוכל בשישי</t>
        </is>
      </c>
      <c r="E187" s="60" t="n">
        <v>3</v>
      </c>
    </row>
    <row r="188">
      <c r="A188" s="58" t="n">
        <v>46311</v>
      </c>
      <c r="B188" s="59" t="inlineStr">
        <is>
          <t>נועם ישראל קומפאס</t>
        </is>
      </c>
      <c r="C188" s="60" t="inlineStr">
        <is>
          <t>תורנות שישי</t>
        </is>
      </c>
      <c r="D188" s="59" t="inlineStr">
        <is>
          <t>ניקיון חדר האוכל בשישי</t>
        </is>
      </c>
      <c r="E188" s="60" t="n">
        <v>3</v>
      </c>
    </row>
    <row r="189">
      <c r="A189" s="58" t="n">
        <v>46311</v>
      </c>
      <c r="B189" s="59" t="inlineStr">
        <is>
          <t>תמר פרימור</t>
        </is>
      </c>
      <c r="C189" s="60" t="inlineStr">
        <is>
          <t>תורנות שישי</t>
        </is>
      </c>
      <c r="D189" s="59" t="inlineStr">
        <is>
          <t>ניקיון חדר האוכל בשישי</t>
        </is>
      </c>
      <c r="E189" s="60" t="n">
        <v>3</v>
      </c>
    </row>
    <row r="190">
      <c r="A190" s="58" t="n">
        <v>46325</v>
      </c>
      <c r="B190" s="59" t="inlineStr">
        <is>
          <t>הילה עזרא</t>
        </is>
      </c>
      <c r="C190" s="60" t="inlineStr">
        <is>
          <t>הכנות שישי</t>
        </is>
      </c>
      <c r="D190" s="59" t="inlineStr">
        <is>
          <t>ארוחת צהריים שישי</t>
        </is>
      </c>
      <c r="E190" s="60" t="n">
        <v>3</v>
      </c>
    </row>
    <row r="191">
      <c r="A191" s="58" t="n">
        <v>46325</v>
      </c>
      <c r="B191" s="59" t="inlineStr">
        <is>
          <t>רוני פרנקל</t>
        </is>
      </c>
      <c r="C191" s="60" t="inlineStr">
        <is>
          <t>הכנות שישי</t>
        </is>
      </c>
      <c r="D191" s="59" t="inlineStr">
        <is>
          <t>ארוחת צהריים שישי</t>
        </is>
      </c>
      <c r="E191" s="60" t="n">
        <v>3</v>
      </c>
    </row>
    <row r="192">
      <c r="A192" s="58" t="n">
        <v>46325</v>
      </c>
      <c r="B192" s="59" t="inlineStr">
        <is>
          <t>רותם דרור</t>
        </is>
      </c>
      <c r="C192" s="60" t="inlineStr">
        <is>
          <t>הכנות שישי</t>
        </is>
      </c>
      <c r="D192" s="59" t="inlineStr">
        <is>
          <t>ארוחת צהריים שישי</t>
        </is>
      </c>
      <c r="E192" s="60" t="n">
        <v>3</v>
      </c>
    </row>
    <row r="193">
      <c r="A193" s="58" t="n">
        <v>46325</v>
      </c>
      <c r="B193" s="59" t="inlineStr">
        <is>
          <t>שחר מרקוביץ' גליק</t>
        </is>
      </c>
      <c r="C193" s="60" t="inlineStr">
        <is>
          <t>הכנות שישי</t>
        </is>
      </c>
      <c r="D193" s="59" t="inlineStr">
        <is>
          <t>ארוחת צהריים שישי</t>
        </is>
      </c>
      <c r="E193" s="60" t="n">
        <v>3</v>
      </c>
    </row>
    <row r="194">
      <c r="A194" s="58" t="n">
        <v>46325</v>
      </c>
      <c r="B194" s="59" t="inlineStr">
        <is>
          <t>אריאלה מרכוס</t>
        </is>
      </c>
      <c r="C194" s="60" t="inlineStr">
        <is>
          <t>הכנות שישי</t>
        </is>
      </c>
      <c r="D194" s="59" t="inlineStr">
        <is>
          <t>חלות</t>
        </is>
      </c>
      <c r="E194" s="60" t="n">
        <v>3</v>
      </c>
    </row>
    <row r="195">
      <c r="A195" s="58" t="n">
        <v>46325</v>
      </c>
      <c r="B195" s="59" t="inlineStr">
        <is>
          <t>ליעם גבע</t>
        </is>
      </c>
      <c r="C195" s="60" t="inlineStr">
        <is>
          <t>הכנות שישי</t>
        </is>
      </c>
      <c r="D195" s="59" t="inlineStr">
        <is>
          <t>חלות</t>
        </is>
      </c>
      <c r="E195" s="60" t="n">
        <v>3</v>
      </c>
    </row>
    <row r="196">
      <c r="A196" s="58" t="n">
        <v>46325</v>
      </c>
      <c r="B196" s="59" t="inlineStr">
        <is>
          <t>פנחס אליהו גלוסקין</t>
        </is>
      </c>
      <c r="C196" s="60" t="inlineStr">
        <is>
          <t>הכנות שישי</t>
        </is>
      </c>
      <c r="D196" s="59" t="inlineStr">
        <is>
          <t>חלות</t>
        </is>
      </c>
      <c r="E196" s="60" t="n">
        <v>3</v>
      </c>
    </row>
    <row r="197">
      <c r="A197" s="58" t="n">
        <v>46325</v>
      </c>
      <c r="B197" s="59" t="inlineStr">
        <is>
          <t>הילי אלפסי</t>
        </is>
      </c>
      <c r="C197" s="60" t="inlineStr">
        <is>
          <t>הכנות שישי</t>
        </is>
      </c>
      <c r="D197" s="59" t="inlineStr">
        <is>
          <t>מטבוחה</t>
        </is>
      </c>
      <c r="E197" s="60" t="n">
        <v>3</v>
      </c>
    </row>
    <row r="198">
      <c r="A198" s="58" t="n">
        <v>46325</v>
      </c>
      <c r="B198" s="59" t="inlineStr">
        <is>
          <t>טליה קור</t>
        </is>
      </c>
      <c r="C198" s="60" t="inlineStr">
        <is>
          <t>הכנות שישי</t>
        </is>
      </c>
      <c r="D198" s="59" t="inlineStr">
        <is>
          <t>מטבוחה</t>
        </is>
      </c>
      <c r="E198" s="60" t="n">
        <v>3</v>
      </c>
    </row>
    <row r="199">
      <c r="A199" s="58" t="n">
        <v>46325</v>
      </c>
      <c r="B199" s="59" t="inlineStr">
        <is>
          <t>נועם ישראל קומפאס</t>
        </is>
      </c>
      <c r="C199" s="60" t="inlineStr">
        <is>
          <t>הכנות שישי</t>
        </is>
      </c>
      <c r="D199" s="59" t="inlineStr">
        <is>
          <t>מטבוחה</t>
        </is>
      </c>
      <c r="E199" s="60" t="n">
        <v>3</v>
      </c>
    </row>
    <row r="200">
      <c r="A200" s="58" t="n">
        <v>46325</v>
      </c>
      <c r="B200" s="59" t="inlineStr">
        <is>
          <t>של״ו רובינשטיין</t>
        </is>
      </c>
      <c r="C200" s="60" t="inlineStr">
        <is>
          <t>הכנות שישי</t>
        </is>
      </c>
      <c r="D200" s="59" t="inlineStr">
        <is>
          <t>מטבוחה</t>
        </is>
      </c>
      <c r="E200" s="60" t="n">
        <v>3</v>
      </c>
    </row>
    <row r="201">
      <c r="A201" s="58" t="n">
        <v>46325</v>
      </c>
      <c r="B201" s="59" t="inlineStr">
        <is>
          <t>הדר עמדי</t>
        </is>
      </c>
      <c r="C201" s="60" t="inlineStr">
        <is>
          <t>הכנות שישי</t>
        </is>
      </c>
      <c r="D201" s="59" t="inlineStr">
        <is>
          <t>עוגיות שוקולד צ'יפס</t>
        </is>
      </c>
      <c r="E201" s="60" t="n">
        <v>3</v>
      </c>
    </row>
    <row r="202">
      <c r="A202" s="58" t="n">
        <v>46325</v>
      </c>
      <c r="B202" s="59" t="inlineStr">
        <is>
          <t>שי- לי וולגמוט</t>
        </is>
      </c>
      <c r="C202" s="60" t="inlineStr">
        <is>
          <t>הכנות שישי</t>
        </is>
      </c>
      <c r="D202" s="59" t="inlineStr">
        <is>
          <t>עוגיות שוקולד צ'יפס</t>
        </is>
      </c>
      <c r="E202" s="60" t="n">
        <v>3</v>
      </c>
    </row>
    <row r="203">
      <c r="A203" s="58" t="n">
        <v>46325</v>
      </c>
      <c r="B203" s="59" t="inlineStr">
        <is>
          <t>יותם ספיר</t>
        </is>
      </c>
      <c r="C203" s="60" t="inlineStr">
        <is>
          <t>הכנות שישי</t>
        </is>
      </c>
      <c r="D203" s="59" t="inlineStr">
        <is>
          <t>עוגת שוקולד</t>
        </is>
      </c>
      <c r="E203" s="60" t="n">
        <v>3</v>
      </c>
    </row>
    <row r="204">
      <c r="A204" s="58" t="n">
        <v>46325</v>
      </c>
      <c r="B204" s="59" t="inlineStr">
        <is>
          <t>ניצן גמלא</t>
        </is>
      </c>
      <c r="C204" s="60" t="inlineStr">
        <is>
          <t>הכנות שישי</t>
        </is>
      </c>
      <c r="D204" s="59" t="inlineStr">
        <is>
          <t>עוגת שוקולד</t>
        </is>
      </c>
      <c r="E204" s="60" t="n">
        <v>3</v>
      </c>
    </row>
    <row r="205">
      <c r="A205" s="58" t="n">
        <v>46325</v>
      </c>
      <c r="B205" s="59" t="inlineStr">
        <is>
          <t>הלל פינגולד</t>
        </is>
      </c>
      <c r="C205" s="60" t="inlineStr">
        <is>
          <t>הכנות שישי</t>
        </is>
      </c>
      <c r="D205" s="59" t="inlineStr">
        <is>
          <t>עוגת שמרים</t>
        </is>
      </c>
      <c r="E205" s="60" t="n">
        <v>3</v>
      </c>
    </row>
    <row r="206">
      <c r="A206" s="58" t="n">
        <v>46325</v>
      </c>
      <c r="B206" s="59" t="inlineStr">
        <is>
          <t>ליבי בוכריס</t>
        </is>
      </c>
      <c r="C206" s="60" t="inlineStr">
        <is>
          <t>הכנות שישי</t>
        </is>
      </c>
      <c r="D206" s="59" t="inlineStr">
        <is>
          <t>עוגת שמרים</t>
        </is>
      </c>
      <c r="E206" s="60" t="n">
        <v>3</v>
      </c>
    </row>
    <row r="207">
      <c r="A207" s="58" t="n">
        <v>46325</v>
      </c>
      <c r="B207" s="59" t="inlineStr">
        <is>
          <t>מעיין רחל דינר</t>
        </is>
      </c>
      <c r="C207" s="60" t="inlineStr">
        <is>
          <t>הכנות שישי</t>
        </is>
      </c>
      <c r="D207" s="59" t="inlineStr">
        <is>
          <t>עוגת שמרים</t>
        </is>
      </c>
      <c r="E207" s="60" t="n">
        <v>3</v>
      </c>
    </row>
    <row r="208">
      <c r="A208" s="58" t="n">
        <v>46325</v>
      </c>
      <c r="B208" s="59" t="inlineStr">
        <is>
          <t>איתמר אסנהיים</t>
        </is>
      </c>
      <c r="C208" s="60" t="inlineStr">
        <is>
          <t>תורנות מוצ"ש</t>
        </is>
      </c>
      <c r="D208" s="59" t="inlineStr">
        <is>
          <t>ארוחת ערב מוצ"ש</t>
        </is>
      </c>
      <c r="E208" s="60" t="n">
        <v>3</v>
      </c>
    </row>
    <row r="209">
      <c r="A209" s="58" t="n">
        <v>46325</v>
      </c>
      <c r="B209" s="59" t="inlineStr">
        <is>
          <t>אלה מאיר</t>
        </is>
      </c>
      <c r="C209" s="60" t="inlineStr">
        <is>
          <t>תורנות מוצ"ש</t>
        </is>
      </c>
      <c r="D209" s="59" t="inlineStr">
        <is>
          <t>ארוחת ערב מוצ"ש</t>
        </is>
      </c>
      <c r="E209" s="60" t="n">
        <v>3</v>
      </c>
    </row>
    <row r="210">
      <c r="A210" s="58" t="n">
        <v>46325</v>
      </c>
      <c r="B210" s="59" t="inlineStr">
        <is>
          <t>ינון לוי</t>
        </is>
      </c>
      <c r="C210" s="60" t="inlineStr">
        <is>
          <t>תורנות מוצ"ש</t>
        </is>
      </c>
      <c r="D210" s="59" t="inlineStr">
        <is>
          <t>ארוחת ערב מוצ"ש</t>
        </is>
      </c>
      <c r="E210" s="60" t="n">
        <v>3</v>
      </c>
    </row>
    <row r="211">
      <c r="A211" s="58" t="n">
        <v>46325</v>
      </c>
      <c r="B211" s="59" t="inlineStr">
        <is>
          <t>ירדן בן שחר</t>
        </is>
      </c>
      <c r="C211" s="60" t="inlineStr">
        <is>
          <t>תורנות מוצ"ש</t>
        </is>
      </c>
      <c r="D211" s="59" t="inlineStr">
        <is>
          <t>ארוחת ערב מוצ"ש</t>
        </is>
      </c>
      <c r="E211" s="60" t="n">
        <v>3</v>
      </c>
    </row>
    <row r="212">
      <c r="A212" s="58" t="n">
        <v>46325</v>
      </c>
      <c r="B212" s="59" t="inlineStr">
        <is>
          <t>עמית שי אברהם</t>
        </is>
      </c>
      <c r="C212" s="60" t="inlineStr">
        <is>
          <t>תורנות מוצ"ש</t>
        </is>
      </c>
      <c r="D212" s="59" t="inlineStr">
        <is>
          <t>ארוחת ערב מוצ"ש</t>
        </is>
      </c>
      <c r="E212" s="60" t="n">
        <v>3</v>
      </c>
    </row>
    <row r="213">
      <c r="A213" s="58" t="n">
        <v>46325</v>
      </c>
      <c r="B213" s="59" t="inlineStr">
        <is>
          <t>אחיה נחמני</t>
        </is>
      </c>
      <c r="C213" s="60" t="inlineStr">
        <is>
          <t>תורנות מוצ"ש</t>
        </is>
      </c>
      <c r="D213" s="59" t="inlineStr">
        <is>
          <t>ניקיון בית המדרש במוצ"ש</t>
        </is>
      </c>
      <c r="E213" s="60" t="n">
        <v>2</v>
      </c>
    </row>
    <row r="214">
      <c r="A214" s="58" t="n">
        <v>46325</v>
      </c>
      <c r="B214" s="59" t="inlineStr">
        <is>
          <t>הדר עמדי</t>
        </is>
      </c>
      <c r="C214" s="60" t="inlineStr">
        <is>
          <t>תורנות מוצ"ש</t>
        </is>
      </c>
      <c r="D214" s="59" t="inlineStr">
        <is>
          <t>ניקיון בית המדרש במוצ"ש</t>
        </is>
      </c>
      <c r="E214" s="60" t="n">
        <v>2</v>
      </c>
    </row>
    <row r="215">
      <c r="A215" s="58" t="n">
        <v>46325</v>
      </c>
      <c r="B215" s="59" t="inlineStr">
        <is>
          <t>חיים שמאי</t>
        </is>
      </c>
      <c r="C215" s="60" t="inlineStr">
        <is>
          <t>תורנות מוצ"ש</t>
        </is>
      </c>
      <c r="D215" s="59" t="inlineStr">
        <is>
          <t>ניקיון בית המדרש במוצ"ש</t>
        </is>
      </c>
      <c r="E215" s="60" t="n">
        <v>2</v>
      </c>
    </row>
    <row r="216">
      <c r="A216" s="58" t="n">
        <v>46325</v>
      </c>
      <c r="B216" s="59" t="inlineStr">
        <is>
          <t>יובל יצחק</t>
        </is>
      </c>
      <c r="C216" s="60" t="inlineStr">
        <is>
          <t>תורנות מוצ"ש</t>
        </is>
      </c>
      <c r="D216" s="59" t="inlineStr">
        <is>
          <t>ניקיון בית המדרש במוצ"ש</t>
        </is>
      </c>
      <c r="E216" s="60" t="n">
        <v>2</v>
      </c>
    </row>
    <row r="217">
      <c r="A217" s="58" t="n">
        <v>46325</v>
      </c>
      <c r="B217" s="59" t="inlineStr">
        <is>
          <t>יונתן לירז</t>
        </is>
      </c>
      <c r="C217" s="60" t="inlineStr">
        <is>
          <t>תורנות מוצ"ש</t>
        </is>
      </c>
      <c r="D217" s="59" t="inlineStr">
        <is>
          <t>ניקיון בית המדרש במוצ"ש</t>
        </is>
      </c>
      <c r="E217" s="60" t="n">
        <v>2</v>
      </c>
    </row>
    <row r="218">
      <c r="A218" s="58" t="n">
        <v>46325</v>
      </c>
      <c r="B218" s="59" t="inlineStr">
        <is>
          <t>יערה ריס</t>
        </is>
      </c>
      <c r="C218" s="60" t="inlineStr">
        <is>
          <t>תורנות מוצ"ש</t>
        </is>
      </c>
      <c r="D218" s="59" t="inlineStr">
        <is>
          <t>ניקיון בית המדרש במוצ"ש</t>
        </is>
      </c>
      <c r="E218" s="60" t="n">
        <v>2</v>
      </c>
    </row>
    <row r="219">
      <c r="A219" s="58" t="n">
        <v>46325</v>
      </c>
      <c r="B219" s="59" t="inlineStr">
        <is>
          <t>סהר שירון</t>
        </is>
      </c>
      <c r="C219" s="60" t="inlineStr">
        <is>
          <t>תורנות מוצ"ש</t>
        </is>
      </c>
      <c r="D219" s="59" t="inlineStr">
        <is>
          <t>ניקיון בית המדרש במוצ"ש</t>
        </is>
      </c>
      <c r="E219" s="60" t="n">
        <v>2</v>
      </c>
    </row>
    <row r="220">
      <c r="A220" s="58" t="n">
        <v>46325</v>
      </c>
      <c r="B220" s="59" t="inlineStr">
        <is>
          <t>רוני פרנקל</t>
        </is>
      </c>
      <c r="C220" s="60" t="inlineStr">
        <is>
          <t>תורנות מוצ"ש</t>
        </is>
      </c>
      <c r="D220" s="59" t="inlineStr">
        <is>
          <t>ניקיון בית המדרש במוצ"ש</t>
        </is>
      </c>
      <c r="E220" s="60" t="n">
        <v>2</v>
      </c>
    </row>
    <row r="221">
      <c r="A221" s="58" t="n">
        <v>46325</v>
      </c>
      <c r="B221" s="59" t="inlineStr">
        <is>
          <t>שחר מרקוביץ' גליק</t>
        </is>
      </c>
      <c r="C221" s="60" t="inlineStr">
        <is>
          <t>תורנות מוצ"ש</t>
        </is>
      </c>
      <c r="D221" s="59" t="inlineStr">
        <is>
          <t>ניקיון בית המדרש במוצ"ש</t>
        </is>
      </c>
      <c r="E221" s="60" t="n">
        <v>2</v>
      </c>
    </row>
    <row r="222">
      <c r="A222" s="58" t="n">
        <v>46325</v>
      </c>
      <c r="B222" s="59" t="inlineStr">
        <is>
          <t>תמר פרידמן</t>
        </is>
      </c>
      <c r="C222" s="60" t="inlineStr">
        <is>
          <t>תורנות מוצ"ש</t>
        </is>
      </c>
      <c r="D222" s="59" t="inlineStr">
        <is>
          <t>ניקיון בית המדרש במוצ"ש</t>
        </is>
      </c>
      <c r="E222" s="60" t="n">
        <v>2</v>
      </c>
    </row>
    <row r="223">
      <c r="A223" s="58" t="n">
        <v>46325</v>
      </c>
      <c r="B223" s="59" t="inlineStr">
        <is>
          <t>אביה וייל</t>
        </is>
      </c>
      <c r="C223" s="60" t="inlineStr">
        <is>
          <t>תורנות מוצ"ש</t>
        </is>
      </c>
      <c r="D223" s="59" t="inlineStr">
        <is>
          <t>ניקיון חדר האוכל במוצ"ש</t>
        </is>
      </c>
      <c r="E223" s="60" t="n">
        <v>3</v>
      </c>
    </row>
    <row r="224">
      <c r="A224" s="58" t="n">
        <v>46325</v>
      </c>
      <c r="B224" s="59" t="inlineStr">
        <is>
          <t>אלה גוטליב</t>
        </is>
      </c>
      <c r="C224" s="60" t="inlineStr">
        <is>
          <t>תורנות מוצ"ש</t>
        </is>
      </c>
      <c r="D224" s="59" t="inlineStr">
        <is>
          <t>ניקיון חדר האוכל במוצ"ש</t>
        </is>
      </c>
      <c r="E224" s="60" t="n">
        <v>3</v>
      </c>
    </row>
    <row r="225">
      <c r="A225" s="58" t="n">
        <v>46325</v>
      </c>
      <c r="B225" s="59" t="inlineStr">
        <is>
          <t>זואי כהן</t>
        </is>
      </c>
      <c r="C225" s="60" t="inlineStr">
        <is>
          <t>תורנות מוצ"ש</t>
        </is>
      </c>
      <c r="D225" s="59" t="inlineStr">
        <is>
          <t>ניקיון חדר האוכל במוצ"ש</t>
        </is>
      </c>
      <c r="E225" s="60" t="n">
        <v>3</v>
      </c>
    </row>
    <row r="226">
      <c r="A226" s="58" t="n">
        <v>46325</v>
      </c>
      <c r="B226" s="59" t="inlineStr">
        <is>
          <t>יואב אוחנה</t>
        </is>
      </c>
      <c r="C226" s="60" t="inlineStr">
        <is>
          <t>תורנות מוצ"ש</t>
        </is>
      </c>
      <c r="D226" s="59" t="inlineStr">
        <is>
          <t>ניקיון חדר האוכל במוצ"ש</t>
        </is>
      </c>
      <c r="E226" s="60" t="n">
        <v>3</v>
      </c>
    </row>
    <row r="227">
      <c r="A227" s="58" t="n">
        <v>46325</v>
      </c>
      <c r="B227" s="59" t="inlineStr">
        <is>
          <t>מאיה פקטר</t>
        </is>
      </c>
      <c r="C227" s="60" t="inlineStr">
        <is>
          <t>תורנות מוצ"ש</t>
        </is>
      </c>
      <c r="D227" s="59" t="inlineStr">
        <is>
          <t>ניקיון חדר האוכל במוצ"ש</t>
        </is>
      </c>
      <c r="E227" s="60" t="n">
        <v>3</v>
      </c>
    </row>
    <row r="228">
      <c r="A228" s="58" t="n">
        <v>46325</v>
      </c>
      <c r="B228" s="59" t="inlineStr">
        <is>
          <t>משה אוברשטיין</t>
        </is>
      </c>
      <c r="C228" s="60" t="inlineStr">
        <is>
          <t>תורנות מוצ"ש</t>
        </is>
      </c>
      <c r="D228" s="59" t="inlineStr">
        <is>
          <t>ניקיון חדר האוכל במוצ"ש</t>
        </is>
      </c>
      <c r="E228" s="60" t="n">
        <v>3</v>
      </c>
    </row>
    <row r="229">
      <c r="A229" s="58" t="n">
        <v>46325</v>
      </c>
      <c r="B229" s="59" t="inlineStr">
        <is>
          <t>עמית סיילס</t>
        </is>
      </c>
      <c r="C229" s="60" t="inlineStr">
        <is>
          <t>תורנות מוצ"ש</t>
        </is>
      </c>
      <c r="D229" s="59" t="inlineStr">
        <is>
          <t>ניקיון חדר האוכל במוצ"ש</t>
        </is>
      </c>
      <c r="E229" s="60" t="n">
        <v>3</v>
      </c>
    </row>
    <row r="230">
      <c r="A230" s="58" t="n">
        <v>46325</v>
      </c>
      <c r="B230" s="59" t="inlineStr">
        <is>
          <t>שחר קרן</t>
        </is>
      </c>
      <c r="C230" s="60" t="inlineStr">
        <is>
          <t>תורנות מוצ"ש</t>
        </is>
      </c>
      <c r="D230" s="59" t="inlineStr">
        <is>
          <t>ניקיון חדר האוכל במוצ"ש</t>
        </is>
      </c>
      <c r="E230" s="60" t="n">
        <v>3</v>
      </c>
    </row>
    <row r="231">
      <c r="A231" s="58" t="n">
        <v>46325</v>
      </c>
      <c r="B231" s="59" t="inlineStr">
        <is>
          <t>שילת פילפל</t>
        </is>
      </c>
      <c r="C231" s="60" t="inlineStr">
        <is>
          <t>תורנות מוצ"ש</t>
        </is>
      </c>
      <c r="D231" s="59" t="inlineStr">
        <is>
          <t>ניקיון חדר האוכל במוצ"ש</t>
        </is>
      </c>
      <c r="E231" s="60" t="n">
        <v>3</v>
      </c>
    </row>
    <row r="232">
      <c r="A232" s="58" t="n">
        <v>46325</v>
      </c>
      <c r="B232" s="59" t="inlineStr">
        <is>
          <t>שירה ספונוב</t>
        </is>
      </c>
      <c r="C232" s="60" t="inlineStr">
        <is>
          <t>תורנות מוצ"ש</t>
        </is>
      </c>
      <c r="D232" s="59" t="inlineStr">
        <is>
          <t>ניקיון חדר האוכל במוצ"ש</t>
        </is>
      </c>
      <c r="E232" s="60" t="n">
        <v>3</v>
      </c>
    </row>
    <row r="233">
      <c r="A233" s="58" t="n">
        <v>46325</v>
      </c>
      <c r="B233" s="59" t="inlineStr">
        <is>
          <t>יואב אוחנה</t>
        </is>
      </c>
      <c r="C233" s="60" t="inlineStr">
        <is>
          <t>תורנות שבת</t>
        </is>
      </c>
      <c r="D233" s="59" t="inlineStr">
        <is>
          <t>ארוחת ערב</t>
        </is>
      </c>
      <c r="E233" s="60" t="n">
        <v>2</v>
      </c>
    </row>
    <row r="234">
      <c r="A234" s="58" t="n">
        <v>46325</v>
      </c>
      <c r="B234" s="59" t="inlineStr">
        <is>
          <t>יובל יצחק</t>
        </is>
      </c>
      <c r="C234" s="60" t="inlineStr">
        <is>
          <t>תורנות שבת</t>
        </is>
      </c>
      <c r="D234" s="59" t="inlineStr">
        <is>
          <t>ארוחת ערב</t>
        </is>
      </c>
      <c r="E234" s="60" t="n">
        <v>2</v>
      </c>
    </row>
    <row r="235">
      <c r="A235" s="58" t="n">
        <v>46325</v>
      </c>
      <c r="B235" s="59" t="inlineStr">
        <is>
          <t>יונתן לירז</t>
        </is>
      </c>
      <c r="C235" s="60" t="inlineStr">
        <is>
          <t>תורנות שבת</t>
        </is>
      </c>
      <c r="D235" s="59" t="inlineStr">
        <is>
          <t>ארוחת ערב</t>
        </is>
      </c>
      <c r="E235" s="60" t="n">
        <v>2</v>
      </c>
    </row>
    <row r="236">
      <c r="A236" s="58" t="n">
        <v>46325</v>
      </c>
      <c r="B236" s="59" t="inlineStr">
        <is>
          <t>רוני כהן</t>
        </is>
      </c>
      <c r="C236" s="60" t="inlineStr">
        <is>
          <t>תורנות שבת</t>
        </is>
      </c>
      <c r="D236" s="59" t="inlineStr">
        <is>
          <t>ארוחת ערב</t>
        </is>
      </c>
      <c r="E236" s="60" t="n">
        <v>2</v>
      </c>
    </row>
    <row r="237">
      <c r="A237" s="58" t="n">
        <v>46325</v>
      </c>
      <c r="B237" s="59" t="inlineStr">
        <is>
          <t>הלל פינגולד</t>
        </is>
      </c>
      <c r="C237" s="60" t="inlineStr">
        <is>
          <t>תורנות שבת</t>
        </is>
      </c>
      <c r="D237" s="59" t="inlineStr">
        <is>
          <t>ארוחת צהריים שבת</t>
        </is>
      </c>
      <c r="E237" s="60" t="n">
        <v>2</v>
      </c>
    </row>
    <row r="238">
      <c r="A238" s="58" t="n">
        <v>46325</v>
      </c>
      <c r="B238" s="59" t="inlineStr">
        <is>
          <t>יותם ספיר</t>
        </is>
      </c>
      <c r="C238" s="60" t="inlineStr">
        <is>
          <t>תורנות שבת</t>
        </is>
      </c>
      <c r="D238" s="59" t="inlineStr">
        <is>
          <t>ארוחת צהריים שבת</t>
        </is>
      </c>
      <c r="E238" s="60" t="n">
        <v>2</v>
      </c>
    </row>
    <row r="239">
      <c r="A239" s="58" t="n">
        <v>46325</v>
      </c>
      <c r="B239" s="59" t="inlineStr">
        <is>
          <t>ליבי בוכריס</t>
        </is>
      </c>
      <c r="C239" s="60" t="inlineStr">
        <is>
          <t>תורנות שבת</t>
        </is>
      </c>
      <c r="D239" s="59" t="inlineStr">
        <is>
          <t>ארוחת צהריים שבת</t>
        </is>
      </c>
      <c r="E239" s="60" t="n">
        <v>2</v>
      </c>
    </row>
    <row r="240">
      <c r="A240" s="58" t="n">
        <v>46325</v>
      </c>
      <c r="B240" s="59" t="inlineStr">
        <is>
          <t>ניצן גמלא</t>
        </is>
      </c>
      <c r="C240" s="60" t="inlineStr">
        <is>
          <t>תורנות שבת</t>
        </is>
      </c>
      <c r="D240" s="59" t="inlineStr">
        <is>
          <t>ארוחת צהריים שבת</t>
        </is>
      </c>
      <c r="E240" s="60" t="n">
        <v>2</v>
      </c>
    </row>
    <row r="241">
      <c r="A241" s="58" t="n">
        <v>46325</v>
      </c>
      <c r="B241" s="59" t="inlineStr">
        <is>
          <t>ניתאי שלום</t>
        </is>
      </c>
      <c r="C241" s="60" t="inlineStr">
        <is>
          <t>תורנות שבת</t>
        </is>
      </c>
      <c r="D241" s="59" t="inlineStr">
        <is>
          <t>גסטרונומים</t>
        </is>
      </c>
      <c r="E241" s="60" t="n">
        <v>2</v>
      </c>
    </row>
    <row r="242">
      <c r="A242" s="58" t="n">
        <v>46325</v>
      </c>
      <c r="B242" s="59" t="inlineStr">
        <is>
          <t>שי- לי וולגמוט</t>
        </is>
      </c>
      <c r="C242" s="60" t="inlineStr">
        <is>
          <t>תורנות שבת</t>
        </is>
      </c>
      <c r="D242" s="59" t="inlineStr">
        <is>
          <t>גסטרונומים</t>
        </is>
      </c>
      <c r="E242" s="60" t="n">
        <v>2</v>
      </c>
    </row>
    <row r="243">
      <c r="A243" s="58" t="n">
        <v>46325</v>
      </c>
      <c r="B243" s="59" t="inlineStr">
        <is>
          <t>טליה קור</t>
        </is>
      </c>
      <c r="C243" s="60" t="inlineStr">
        <is>
          <t>תורנות שבת</t>
        </is>
      </c>
      <c r="D243" s="59" t="inlineStr">
        <is>
          <t>טיש</t>
        </is>
      </c>
      <c r="E243" s="60" t="n">
        <v>1</v>
      </c>
    </row>
    <row r="244">
      <c r="A244" s="58" t="n">
        <v>46325</v>
      </c>
      <c r="B244" s="59" t="inlineStr">
        <is>
          <t>עופר בביוף</t>
        </is>
      </c>
      <c r="C244" s="60" t="inlineStr">
        <is>
          <t>תורנות שבת</t>
        </is>
      </c>
      <c r="D244" s="59" t="inlineStr">
        <is>
          <t>טיש</t>
        </is>
      </c>
      <c r="E244" s="60" t="n">
        <v>1</v>
      </c>
    </row>
    <row r="245">
      <c r="A245" s="58" t="n">
        <v>46325</v>
      </c>
      <c r="B245" s="59" t="inlineStr">
        <is>
          <t>תמר פרידמן</t>
        </is>
      </c>
      <c r="C245" s="60" t="inlineStr">
        <is>
          <t>תורנות שבת</t>
        </is>
      </c>
      <c r="D245" s="59" t="inlineStr">
        <is>
          <t>טיש</t>
        </is>
      </c>
      <c r="E245" s="60" t="n">
        <v>1</v>
      </c>
    </row>
    <row r="246">
      <c r="A246" s="58" t="n">
        <v>46325</v>
      </c>
      <c r="B246" s="59" t="inlineStr">
        <is>
          <t>אוריה תעשה</t>
        </is>
      </c>
      <c r="C246" s="60" t="inlineStr">
        <is>
          <t>תורנות שבת</t>
        </is>
      </c>
      <c r="D246" s="59" t="inlineStr">
        <is>
          <t>פינוי ארוחת ערב</t>
        </is>
      </c>
      <c r="E246" s="60" t="n">
        <v>2</v>
      </c>
    </row>
    <row r="247">
      <c r="A247" s="58" t="n">
        <v>46325</v>
      </c>
      <c r="B247" s="59" t="inlineStr">
        <is>
          <t>ארבל פרנקו</t>
        </is>
      </c>
      <c r="C247" s="60" t="inlineStr">
        <is>
          <t>תורנות שבת</t>
        </is>
      </c>
      <c r="D247" s="59" t="inlineStr">
        <is>
          <t>פינוי ארוחת ערב</t>
        </is>
      </c>
      <c r="E247" s="60" t="n">
        <v>2</v>
      </c>
    </row>
    <row r="248">
      <c r="A248" s="58" t="n">
        <v>46325</v>
      </c>
      <c r="B248" s="59" t="inlineStr">
        <is>
          <t>כליל בלאוקופף</t>
        </is>
      </c>
      <c r="C248" s="60" t="inlineStr">
        <is>
          <t>תורנות שבת</t>
        </is>
      </c>
      <c r="D248" s="59" t="inlineStr">
        <is>
          <t>פינוי ארוחת ערב</t>
        </is>
      </c>
      <c r="E248" s="60" t="n">
        <v>2</v>
      </c>
    </row>
    <row r="249">
      <c r="A249" s="58" t="n">
        <v>46325</v>
      </c>
      <c r="B249" s="59" t="inlineStr">
        <is>
          <t>משה אוברשטיין</t>
        </is>
      </c>
      <c r="C249" s="60" t="inlineStr">
        <is>
          <t>תורנות שבת</t>
        </is>
      </c>
      <c r="D249" s="59" t="inlineStr">
        <is>
          <t>פינוי ארוחת ערב</t>
        </is>
      </c>
      <c r="E249" s="60" t="n">
        <v>2</v>
      </c>
    </row>
    <row r="250">
      <c r="A250" s="58" t="n">
        <v>46325</v>
      </c>
      <c r="B250" s="59" t="inlineStr">
        <is>
          <t>נבו בלוך</t>
        </is>
      </c>
      <c r="C250" s="60" t="inlineStr">
        <is>
          <t>תורנות שבת</t>
        </is>
      </c>
      <c r="D250" s="59" t="inlineStr">
        <is>
          <t>פינוי ארוחת ערב</t>
        </is>
      </c>
      <c r="E250" s="60" t="n">
        <v>2</v>
      </c>
    </row>
    <row r="251">
      <c r="A251" s="58" t="n">
        <v>46325</v>
      </c>
      <c r="B251" s="59" t="inlineStr">
        <is>
          <t>רותם דרור</t>
        </is>
      </c>
      <c r="C251" s="60" t="inlineStr">
        <is>
          <t>תורנות שבת</t>
        </is>
      </c>
      <c r="D251" s="59" t="inlineStr">
        <is>
          <t>פינוי ארוחת ערב</t>
        </is>
      </c>
      <c r="E251" s="60" t="n">
        <v>2</v>
      </c>
    </row>
    <row r="252">
      <c r="A252" s="58" t="n">
        <v>46325</v>
      </c>
      <c r="B252" s="59" t="inlineStr">
        <is>
          <t>של״ו רובינשטיין</t>
        </is>
      </c>
      <c r="C252" s="60" t="inlineStr">
        <is>
          <t>תורנות שבת</t>
        </is>
      </c>
      <c r="D252" s="59" t="inlineStr">
        <is>
          <t>פינוי ארוחת ערב</t>
        </is>
      </c>
      <c r="E252" s="60" t="n">
        <v>2</v>
      </c>
    </row>
    <row r="253">
      <c r="A253" s="58" t="n">
        <v>46325</v>
      </c>
      <c r="B253" s="59" t="inlineStr">
        <is>
          <t>הילה עזרא</t>
        </is>
      </c>
      <c r="C253" s="60" t="inlineStr">
        <is>
          <t>תורנות שבת</t>
        </is>
      </c>
      <c r="D253" s="59" t="inlineStr">
        <is>
          <t>פינוי ארוחת צהריים וסעודה שלישית</t>
        </is>
      </c>
      <c r="E253" s="60" t="n">
        <v>2</v>
      </c>
    </row>
    <row r="254">
      <c r="A254" s="58" t="n">
        <v>46325</v>
      </c>
      <c r="B254" s="59" t="inlineStr">
        <is>
          <t>הילי אלפסי</t>
        </is>
      </c>
      <c r="C254" s="60" t="inlineStr">
        <is>
          <t>תורנות שבת</t>
        </is>
      </c>
      <c r="D254" s="59" t="inlineStr">
        <is>
          <t>פינוי ארוחת צהריים וסעודה שלישית</t>
        </is>
      </c>
      <c r="E254" s="60" t="n">
        <v>2</v>
      </c>
    </row>
    <row r="255">
      <c r="A255" s="58" t="n">
        <v>46325</v>
      </c>
      <c r="B255" s="59" t="inlineStr">
        <is>
          <t>מעיין רחל דינר</t>
        </is>
      </c>
      <c r="C255" s="60" t="inlineStr">
        <is>
          <t>תורנות שבת</t>
        </is>
      </c>
      <c r="D255" s="59" t="inlineStr">
        <is>
          <t>פינוי ארוחת צהריים וסעודה שלישית</t>
        </is>
      </c>
      <c r="E255" s="60" t="n">
        <v>2</v>
      </c>
    </row>
    <row r="256">
      <c r="A256" s="58" t="n">
        <v>46325</v>
      </c>
      <c r="B256" s="59" t="inlineStr">
        <is>
          <t>נגה שוהם</t>
        </is>
      </c>
      <c r="C256" s="60" t="inlineStr">
        <is>
          <t>תורנות שבת</t>
        </is>
      </c>
      <c r="D256" s="59" t="inlineStr">
        <is>
          <t>פינוי ארוחת צהריים וסעודה שלישית</t>
        </is>
      </c>
      <c r="E256" s="60" t="n">
        <v>2</v>
      </c>
    </row>
    <row r="257">
      <c r="A257" s="58" t="n">
        <v>46325</v>
      </c>
      <c r="B257" s="59" t="inlineStr">
        <is>
          <t>נועם ישראל קומפאס</t>
        </is>
      </c>
      <c r="C257" s="60" t="inlineStr">
        <is>
          <t>תורנות שבת</t>
        </is>
      </c>
      <c r="D257" s="59" t="inlineStr">
        <is>
          <t>פינוי ארוחת צהריים וסעודה שלישית</t>
        </is>
      </c>
      <c r="E257" s="60" t="n">
        <v>2</v>
      </c>
    </row>
    <row r="258">
      <c r="A258" s="58" t="n">
        <v>46325</v>
      </c>
      <c r="B258" s="59" t="inlineStr">
        <is>
          <t>אריאלה מרכוס</t>
        </is>
      </c>
      <c r="C258" s="60" t="inlineStr">
        <is>
          <t>תורנות שבת</t>
        </is>
      </c>
      <c r="D258" s="59" t="inlineStr">
        <is>
          <t>קידוש</t>
        </is>
      </c>
      <c r="E258" s="60" t="n">
        <v>1</v>
      </c>
    </row>
    <row r="259">
      <c r="A259" s="58" t="n">
        <v>46325</v>
      </c>
      <c r="B259" s="59" t="inlineStr">
        <is>
          <t>ליעם גבע</t>
        </is>
      </c>
      <c r="C259" s="60" t="inlineStr">
        <is>
          <t>תורנות שבת</t>
        </is>
      </c>
      <c r="D259" s="59" t="inlineStr">
        <is>
          <t>קידוש</t>
        </is>
      </c>
      <c r="E259" s="60" t="n">
        <v>1</v>
      </c>
    </row>
    <row r="260">
      <c r="A260" s="58" t="n">
        <v>46325</v>
      </c>
      <c r="B260" s="59" t="inlineStr">
        <is>
          <t>פנחס אליהו גלוסקין</t>
        </is>
      </c>
      <c r="C260" s="60" t="inlineStr">
        <is>
          <t>תורנות שבת</t>
        </is>
      </c>
      <c r="D260" s="59" t="inlineStr">
        <is>
          <t>קידוש</t>
        </is>
      </c>
      <c r="E260" s="60" t="n">
        <v>1</v>
      </c>
    </row>
    <row r="261">
      <c r="A261" s="58" t="n">
        <v>46325</v>
      </c>
      <c r="B261" s="59" t="inlineStr">
        <is>
          <t>אביה וייל</t>
        </is>
      </c>
      <c r="C261" s="60" t="inlineStr">
        <is>
          <t>תורנות שישי</t>
        </is>
      </c>
      <c r="D261" s="59" t="inlineStr">
        <is>
          <t>בית מדרש</t>
        </is>
      </c>
      <c r="E261" s="60" t="n">
        <v>3</v>
      </c>
    </row>
    <row r="262">
      <c r="A262" s="58" t="n">
        <v>46325</v>
      </c>
      <c r="B262" s="59" t="inlineStr">
        <is>
          <t>אוריה תעשה</t>
        </is>
      </c>
      <c r="C262" s="60" t="inlineStr">
        <is>
          <t>תורנות שישי</t>
        </is>
      </c>
      <c r="D262" s="59" t="inlineStr">
        <is>
          <t>בית מדרש</t>
        </is>
      </c>
      <c r="E262" s="60" t="n">
        <v>3</v>
      </c>
    </row>
    <row r="263">
      <c r="A263" s="58" t="n">
        <v>46325</v>
      </c>
      <c r="B263" s="59" t="inlineStr">
        <is>
          <t>אחיה נחמני</t>
        </is>
      </c>
      <c r="C263" s="60" t="inlineStr">
        <is>
          <t>תורנות שישי</t>
        </is>
      </c>
      <c r="D263" s="59" t="inlineStr">
        <is>
          <t>בית מדרש</t>
        </is>
      </c>
      <c r="E263" s="60" t="n">
        <v>3</v>
      </c>
    </row>
    <row r="264">
      <c r="A264" s="58" t="n">
        <v>46325</v>
      </c>
      <c r="B264" s="59" t="inlineStr">
        <is>
          <t>ארבל פרנקו</t>
        </is>
      </c>
      <c r="C264" s="60" t="inlineStr">
        <is>
          <t>תורנות שישי</t>
        </is>
      </c>
      <c r="D264" s="59" t="inlineStr">
        <is>
          <t>בית מדרש</t>
        </is>
      </c>
      <c r="E264" s="60" t="n">
        <v>3</v>
      </c>
    </row>
    <row r="265">
      <c r="A265" s="58" t="n">
        <v>46325</v>
      </c>
      <c r="B265" s="59" t="inlineStr">
        <is>
          <t>חיים שמאי</t>
        </is>
      </c>
      <c r="C265" s="60" t="inlineStr">
        <is>
          <t>תורנות שישי</t>
        </is>
      </c>
      <c r="D265" s="59" t="inlineStr">
        <is>
          <t>בית מדרש</t>
        </is>
      </c>
      <c r="E265" s="60" t="n">
        <v>3</v>
      </c>
    </row>
    <row r="266">
      <c r="A266" s="58" t="n">
        <v>46325</v>
      </c>
      <c r="B266" s="59" t="inlineStr">
        <is>
          <t>כליל בלאוקופף</t>
        </is>
      </c>
      <c r="C266" s="60" t="inlineStr">
        <is>
          <t>תורנות שישי</t>
        </is>
      </c>
      <c r="D266" s="59" t="inlineStr">
        <is>
          <t>בית מדרש</t>
        </is>
      </c>
      <c r="E266" s="60" t="n">
        <v>3</v>
      </c>
    </row>
    <row r="267">
      <c r="A267" s="58" t="n">
        <v>46325</v>
      </c>
      <c r="B267" s="59" t="inlineStr">
        <is>
          <t>נבו בלוך</t>
        </is>
      </c>
      <c r="C267" s="60" t="inlineStr">
        <is>
          <t>תורנות שישי</t>
        </is>
      </c>
      <c r="D267" s="59" t="inlineStr">
        <is>
          <t>בית מדרש</t>
        </is>
      </c>
      <c r="E267" s="60" t="n">
        <v>3</v>
      </c>
    </row>
    <row r="268">
      <c r="A268" s="58" t="n">
        <v>46325</v>
      </c>
      <c r="B268" s="59" t="inlineStr">
        <is>
          <t>נגה שוהם</t>
        </is>
      </c>
      <c r="C268" s="60" t="inlineStr">
        <is>
          <t>תורנות שישי</t>
        </is>
      </c>
      <c r="D268" s="59" t="inlineStr">
        <is>
          <t>בית מדרש</t>
        </is>
      </c>
      <c r="E268" s="60" t="n">
        <v>3</v>
      </c>
    </row>
    <row r="269">
      <c r="A269" s="58" t="n">
        <v>46325</v>
      </c>
      <c r="B269" s="59" t="inlineStr">
        <is>
          <t>ניתאי שלום</t>
        </is>
      </c>
      <c r="C269" s="60" t="inlineStr">
        <is>
          <t>תורנות שישי</t>
        </is>
      </c>
      <c r="D269" s="59" t="inlineStr">
        <is>
          <t>בית מדרש</t>
        </is>
      </c>
      <c r="E269" s="60" t="n">
        <v>3</v>
      </c>
    </row>
    <row r="270">
      <c r="A270" s="58" t="n">
        <v>46325</v>
      </c>
      <c r="B270" s="59" t="inlineStr">
        <is>
          <t>סהר שירון</t>
        </is>
      </c>
      <c r="C270" s="60" t="inlineStr">
        <is>
          <t>תורנות שישי</t>
        </is>
      </c>
      <c r="D270" s="59" t="inlineStr">
        <is>
          <t>בית מדרש</t>
        </is>
      </c>
      <c r="E270" s="60" t="n">
        <v>3</v>
      </c>
    </row>
    <row r="271">
      <c r="A271" s="58" t="n">
        <v>46325</v>
      </c>
      <c r="B271" s="59" t="inlineStr">
        <is>
          <t>עופר בביוף</t>
        </is>
      </c>
      <c r="C271" s="60" t="inlineStr">
        <is>
          <t>תורנות שישי</t>
        </is>
      </c>
      <c r="D271" s="59" t="inlineStr">
        <is>
          <t>בית מדרש</t>
        </is>
      </c>
      <c r="E271" s="60" t="n">
        <v>3</v>
      </c>
    </row>
    <row r="272">
      <c r="A272" s="58" t="n">
        <v>46325</v>
      </c>
      <c r="B272" s="59" t="inlineStr">
        <is>
          <t>שירה ספונוב</t>
        </is>
      </c>
      <c r="C272" s="60" t="inlineStr">
        <is>
          <t>תורנות שישי</t>
        </is>
      </c>
      <c r="D272" s="59" t="inlineStr">
        <is>
          <t>בית מדרש</t>
        </is>
      </c>
      <c r="E272" s="60" t="n">
        <v>3</v>
      </c>
    </row>
    <row r="273">
      <c r="A273" s="58" t="n">
        <v>46325</v>
      </c>
      <c r="B273" s="59" t="inlineStr">
        <is>
          <t>איתמר אסנהיים</t>
        </is>
      </c>
      <c r="C273" s="60" t="inlineStr">
        <is>
          <t>תורנות שישי</t>
        </is>
      </c>
      <c r="D273" s="59" t="inlineStr">
        <is>
          <t>ניקיון חדר האוכל בשישי</t>
        </is>
      </c>
      <c r="E273" s="60" t="n">
        <v>3</v>
      </c>
    </row>
    <row r="274">
      <c r="A274" s="58" t="n">
        <v>46325</v>
      </c>
      <c r="B274" s="59" t="inlineStr">
        <is>
          <t>אלה גוטליב</t>
        </is>
      </c>
      <c r="C274" s="60" t="inlineStr">
        <is>
          <t>תורנות שישי</t>
        </is>
      </c>
      <c r="D274" s="59" t="inlineStr">
        <is>
          <t>ניקיון חדר האוכל בשישי</t>
        </is>
      </c>
      <c r="E274" s="60" t="n">
        <v>3</v>
      </c>
    </row>
    <row r="275">
      <c r="A275" s="58" t="n">
        <v>46325</v>
      </c>
      <c r="B275" s="59" t="inlineStr">
        <is>
          <t>אלה מאיר</t>
        </is>
      </c>
      <c r="C275" s="60" t="inlineStr">
        <is>
          <t>תורנות שישי</t>
        </is>
      </c>
      <c r="D275" s="59" t="inlineStr">
        <is>
          <t>ניקיון חדר האוכל בשישי</t>
        </is>
      </c>
      <c r="E275" s="60" t="n">
        <v>3</v>
      </c>
    </row>
    <row r="276">
      <c r="A276" s="58" t="n">
        <v>46325</v>
      </c>
      <c r="B276" s="59" t="inlineStr">
        <is>
          <t>זואי כהן</t>
        </is>
      </c>
      <c r="C276" s="60" t="inlineStr">
        <is>
          <t>תורנות שישי</t>
        </is>
      </c>
      <c r="D276" s="59" t="inlineStr">
        <is>
          <t>ניקיון חדר האוכל בשישי</t>
        </is>
      </c>
      <c r="E276" s="60" t="n">
        <v>3</v>
      </c>
    </row>
    <row r="277">
      <c r="A277" s="58" t="n">
        <v>46325</v>
      </c>
      <c r="B277" s="59" t="inlineStr">
        <is>
          <t>ינון לוי</t>
        </is>
      </c>
      <c r="C277" s="60" t="inlineStr">
        <is>
          <t>תורנות שישי</t>
        </is>
      </c>
      <c r="D277" s="59" t="inlineStr">
        <is>
          <t>ניקיון חדר האוכל בשישי</t>
        </is>
      </c>
      <c r="E277" s="60" t="n">
        <v>3</v>
      </c>
    </row>
    <row r="278">
      <c r="A278" s="58" t="n">
        <v>46325</v>
      </c>
      <c r="B278" s="59" t="inlineStr">
        <is>
          <t>יערה ריס</t>
        </is>
      </c>
      <c r="C278" s="60" t="inlineStr">
        <is>
          <t>תורנות שישי</t>
        </is>
      </c>
      <c r="D278" s="59" t="inlineStr">
        <is>
          <t>ניקיון חדר האוכל בשישי</t>
        </is>
      </c>
      <c r="E278" s="60" t="n">
        <v>3</v>
      </c>
    </row>
    <row r="279">
      <c r="A279" s="58" t="n">
        <v>46325</v>
      </c>
      <c r="B279" s="59" t="inlineStr">
        <is>
          <t>ירדן בן שחר</t>
        </is>
      </c>
      <c r="C279" s="60" t="inlineStr">
        <is>
          <t>תורנות שישי</t>
        </is>
      </c>
      <c r="D279" s="59" t="inlineStr">
        <is>
          <t>ניקיון חדר האוכל בשישי</t>
        </is>
      </c>
      <c r="E279" s="60" t="n">
        <v>3</v>
      </c>
    </row>
    <row r="280">
      <c r="A280" s="58" t="n">
        <v>46325</v>
      </c>
      <c r="B280" s="59" t="inlineStr">
        <is>
          <t>מאיה פקטר</t>
        </is>
      </c>
      <c r="C280" s="60" t="inlineStr">
        <is>
          <t>תורנות שישי</t>
        </is>
      </c>
      <c r="D280" s="59" t="inlineStr">
        <is>
          <t>ניקיון חדר האוכל בשישי</t>
        </is>
      </c>
      <c r="E280" s="60" t="n">
        <v>3</v>
      </c>
    </row>
    <row r="281">
      <c r="A281" s="58" t="n">
        <v>46325</v>
      </c>
      <c r="B281" s="59" t="inlineStr">
        <is>
          <t>עמית סיילס</t>
        </is>
      </c>
      <c r="C281" s="60" t="inlineStr">
        <is>
          <t>תורנות שישי</t>
        </is>
      </c>
      <c r="D281" s="59" t="inlineStr">
        <is>
          <t>ניקיון חדר האוכל בשישי</t>
        </is>
      </c>
      <c r="E281" s="60" t="n">
        <v>3</v>
      </c>
    </row>
    <row r="282">
      <c r="A282" s="58" t="n">
        <v>46325</v>
      </c>
      <c r="B282" s="59" t="inlineStr">
        <is>
          <t>עמית שי אברהם</t>
        </is>
      </c>
      <c r="C282" s="60" t="inlineStr">
        <is>
          <t>תורנות שישי</t>
        </is>
      </c>
      <c r="D282" s="59" t="inlineStr">
        <is>
          <t>ניקיון חדר האוכל בשישי</t>
        </is>
      </c>
      <c r="E282" s="60" t="n">
        <v>3</v>
      </c>
    </row>
    <row r="283">
      <c r="A283" s="58" t="n">
        <v>46325</v>
      </c>
      <c r="B283" s="59" t="inlineStr">
        <is>
          <t>שחר קרן</t>
        </is>
      </c>
      <c r="C283" s="60" t="inlineStr">
        <is>
          <t>תורנות שישי</t>
        </is>
      </c>
      <c r="D283" s="59" t="inlineStr">
        <is>
          <t>ניקיון חדר האוכל בשישי</t>
        </is>
      </c>
      <c r="E283" s="60" t="n">
        <v>3</v>
      </c>
    </row>
    <row r="284">
      <c r="A284" s="58" t="n">
        <v>46325</v>
      </c>
      <c r="B284" s="59" t="inlineStr">
        <is>
          <t>שילת פילפל</t>
        </is>
      </c>
      <c r="C284" s="60" t="inlineStr">
        <is>
          <t>תורנות שישי</t>
        </is>
      </c>
      <c r="D284" s="59" t="inlineStr">
        <is>
          <t>ניקיון חדר האוכל בשישי</t>
        </is>
      </c>
      <c r="E284" s="60" t="n">
        <v>3</v>
      </c>
    </row>
  </sheetData>
  <mergeCells count="1">
    <mergeCell ref="A1:E1"/>
  </mergeCells>
  <pageMargins left="0.75" right="0.75" top="1" bottom="1" header="0.5" footer="0.5"/>
  <pageSetup paperSize="9" fitToHeight="0" fitToWidth="1"/>
</worksheet>
</file>

<file path=xl/worksheets/sheet7.xml><?xml version="1.0" encoding="utf-8"?>
<worksheet xmlns="http://schemas.openxmlformats.org/spreadsheetml/2006/main">
  <sheetPr>
    <tabColor rgb="00E8A33D"/>
    <outlinePr summaryBelow="1" summaryRight="1"/>
    <pageSetUpPr fitToPage="1"/>
  </sheetPr>
  <dimension ref="A1:F84"/>
  <sheetViews>
    <sheetView showGridLines="0" rightToLeft="1" workbookViewId="0">
      <pane ySplit="2" topLeftCell="A3" activePane="bottomLeft" state="frozen"/>
      <selection pane="bottomLeft" activeCell="A1" sqref="A1"/>
    </sheetView>
  </sheetViews>
  <sheetFormatPr baseColWidth="8" defaultRowHeight="15"/>
  <cols>
    <col width="18" customWidth="1" min="1" max="1"/>
    <col width="26" customWidth="1" min="2" max="2"/>
    <col width="12" customWidth="1" min="3" max="3"/>
    <col width="50" customWidth="1" min="4" max="4"/>
    <col width="50" customWidth="1" min="5" max="5"/>
    <col width="24" customWidth="1" min="6" max="6"/>
  </cols>
  <sheetData>
    <row r="1" ht="36" customHeight="1">
      <c r="A1" s="27" t="inlineStr">
        <is>
          <t>מתכונים — עוגות, סלטים, מטבוחה וארוחת צהריים שישי</t>
        </is>
      </c>
    </row>
    <row r="2" ht="24" customHeight="1">
      <c r="A2" s="9" t="inlineStr">
        <is>
          <t>קטגוריה</t>
        </is>
      </c>
      <c r="B2" s="9" t="inlineStr">
        <is>
          <t>מנה</t>
        </is>
      </c>
      <c r="C2" s="9" t="inlineStr">
        <is>
          <t>כמות</t>
        </is>
      </c>
      <c r="D2" s="9" t="inlineStr">
        <is>
          <t>מרכיבים</t>
        </is>
      </c>
      <c r="E2" s="9" t="inlineStr">
        <is>
          <t>הוראות</t>
        </is>
      </c>
      <c r="F2" s="9" t="inlineStr">
        <is>
          <t>הערה</t>
        </is>
      </c>
    </row>
    <row r="3" ht="120" customHeight="1">
      <c r="A3" s="53" t="inlineStr">
        <is>
          <t>מאפים</t>
        </is>
      </c>
      <c r="B3" s="47" t="inlineStr">
        <is>
          <t>חלות</t>
        </is>
      </c>
      <c r="C3" s="53" t="inlineStr">
        <is>
          <t>10 ק"ג קמח</t>
        </is>
      </c>
      <c r="D3" s="21" t="inlineStr">
        <is>
          <t>10 ק"ג קמח, 1 קילוגרם סוכר, 200 גרם שמרים יבשים,  1.2 ליטר שמן</t>
        </is>
      </c>
      <c r="E3" s="21" t="inlineStr">
        <is>
          <t>בצק:
שמים בקערה
2.5 כוסות מים
½ כוס סוכר
2 כפות שמרים
מחכים 10 דקות עד שהשמרים מתחילים לעבוד ואז מוסיפים
קילו קמח
½ כוס שמן
1.5 כפות מלח
לשים 10 דקות ומתפיחים
הפעלת השמרים:
1. שמים בקערה את המים, הסוכר והשמרים, ומחכים 10 דקות עד שהשמרים מתחילים לעבוד.
2. לישה: מוסיפים את הקמח, השמן והמלח, ולשים היטב במשך 10 דקות עד לקבלת בצק אחיד ורך.
3. התפחה ראשונה: מכסים את הקערה במגבת ומתפיחים כ-שעה במקום חמים, עד שהבצק מכפיל את נפחו.
4. עיצוב הרצועות:
מוציאים את האוויר מהבצק ומחלקים לכדורים שווים.
מרדדים כל כדור בעזרת מערוך לעלה שטוח.
מגלגלים את העלה ההדוק מקצה לקצה ליצירת גליל/נחש.
מגלגלים את הגליל מעט על משטח העבודה עם כפות הידיים כדי להאריך אותו לרצועה אחידה (התהליך הזה מעניק לחלה מרקם ענני ומחולק יפה מבפנים).
5. קליעה והתפחה שנייה: קולעים את הרצועות לחלות, מניחים על תבנית מרופדת בנייר אפייה, מכסים במגבת ומתפיחים עוד 30–40 דקות.
6. אפייה: מברישים את החלות בעדינות בביצה טרופה, מפזרים שומשום או קצח, ואופים בתנור שחומם מראש ל-180 מעלות במשך 25–30 דקות, עד שהחלות שזופות ויפות מלמעלה ובתחתית.
7. צינון: מוציאים לרשת צינון. לכיסוי קל במגבת מיד כשהן יוצאות מהתנור לשמירה על רכות מקסימלית.</t>
        </is>
      </c>
      <c r="F3" s="21" t="inlineStr">
        <is>
          <t>שתי התפחות — להתחיל מוקדם</t>
        </is>
      </c>
    </row>
    <row r="4" ht="120" customHeight="1">
      <c r="A4" s="53" t="inlineStr">
        <is>
          <t>עוגות</t>
        </is>
      </c>
      <c r="B4" s="47" t="inlineStr">
        <is>
          <t>עוגות שמרים (קינמון ושוקולד)</t>
        </is>
      </c>
      <c r="C4" s="53" t="inlineStr">
        <is>
          <t>6–8 עוגות</t>
        </is>
      </c>
      <c r="D4" s="21" t="inlineStr">
        <is>
          <t>לבצק:
3 ק"ג קמח
50 גרם שמרים יבשים
3 שקיות אבקת אפייה
400 גרם סוכר (כ-2 כוסות)
12 ביצים
500 מ"ל שמן
תמצית וניל
כ-700–900 מ"ל מים פושרים (לפי ספיגת הבצק)
למילוי:
1.6 ק"ג סוכר
300 גרם קקאו
6 כפות קינמון
500 מ"ל שמן (למריחה וחיבור המילוי)</t>
        </is>
      </c>
      <c r="E4" s="21" t="inlineStr">
        <is>
          <t>הבצק: מערבבים קמח, שמרים, אבקת אפייה ו-400 גרם סוכר. מוסיפים ביצים, תמצית וניל, שמן ומים בהדרגה. לשים כ-10 דקות לבצק רך, חלק וגמיש. מתפיחים שעה עד שעה וחצי להכפלת הנפח.
המילוי: מערבבים את הסוכר שנותר, הקקאו והקינמון לתערובת אחידה.
מחלקים את הבצק ל-6–8 כדורים שווים ומרדדים כל אחד למלבן דק.
מברישים בשכבת שמן נדיבה ומפזרים שכבה אחידה ונדיבה מתערובת הסוכר-קקאו-קינמון.
מגלגלים לרולדה מהודקת, חוצים לאורכה לשתי רצועות וקולעים לצמת בורג.
מניחים בתבניות, מתפיחים 30 דקות נוספות, ואופים ב-175 מעלות 25–30 דקות עד להשחמה יפה.</t>
        </is>
      </c>
      <c r="F4" s="21" t="n"/>
    </row>
    <row r="5" ht="120" customHeight="1">
      <c r="A5" s="53" t="inlineStr">
        <is>
          <t>בישול</t>
        </is>
      </c>
      <c r="B5" s="47" t="inlineStr">
        <is>
          <t>מטבוחה</t>
        </is>
      </c>
      <c r="C5" s="53" t="inlineStr">
        <is>
          <t>100 עגבניות</t>
        </is>
      </c>
      <c r="D5" s="21" t="inlineStr">
        <is>
          <t>100 עגבניות אדומות בשלות (כ-13–16 ק"ג)
4 כוסות שמן עדיף זית(כ-1 ליטר)
פלפלים אדומים (כ-3–4 ק"ג)
6 פלפלים ירוקים חריפים (כ-500–600 גרם, לפי הטעם)
22 שיני שום (כ-2 ראשי שום / כ-100 גרם)
קילו עגבניות שרי (לא חובה)</t>
        </is>
      </c>
      <c r="E5" s="21" t="inlineStr">
        <is>
          <t>חותכים את העגבניות לקוביות. אם רוצים, קולפים את העגבניות לפני.
מחממים את שמן הזית בסיר בגודל בינוני.
מוסיפים את הפלפלים (החריף והאדום) ומטגנים אותם מעל להבה גבוהה, תוך כדי ערבוב, בערך 3 דקות או עד שהתרככו.
מוסיפים את השום ומטגנים את השיניים כדקה תוך ערבוב מתמיד – אנחנו רוצים לרכך את השיניים אבל לא להשחים אותן. זהירות לא לשרוף
מוסיפים את עגבניות השרי חתוכות לרבעים וממשיכים לטגן, משהו כמו דקה נוספת, עד שהעגבניות התרככו והמיצים שלהן ממלאים את הסיר.
מוסיפים את קוביות העגבניות ומעט מים. מתבלים במעט מלח.
מביאים לרתיחה ומבשלים מעל להבה בינונית נמוכה, תוך ערבוב מדי פעם, משהו כמו שעה ורבע-וחצי (בלי לכסות) או עד שהעגבניות התרככו והתפרקו לחלוטין, כל הטעמים התמזגו והרוטב הצמטצם לבערך שליש מהכמות שהייתה בו כשהעגבניות רק הגיעו לרתיחה.
טועמים ומוסיפים מלח ופפריקה לפי הטעם.</t>
        </is>
      </c>
      <c r="F5" s="21" t="inlineStr">
        <is>
          <t>בישול ארוך — כ-4 שעות בסך הכל</t>
        </is>
      </c>
    </row>
    <row r="6" ht="120" customHeight="1">
      <c r="A6" s="53" t="inlineStr">
        <is>
          <t>עוגות</t>
        </is>
      </c>
      <c r="B6" s="47" t="inlineStr">
        <is>
          <t>עוגת דבש</t>
        </is>
      </c>
      <c r="C6" s="53" t="inlineStr">
        <is>
          <t>10–12 תבניות אינגליש קייק</t>
        </is>
      </c>
      <c r="D6" s="21" t="inlineStr">
        <is>
          <t>30 ביצים
1.5 ק"ג סוכר (7.5 כוסות)
1.8 ליטר שמן (7.5 כוסות)
7.5 כוסות דבש
10 כפיות גדושות קפה נמס (מומסות ב-3 כוסות מים רותחים)
2.8 ק"ג קמח (20 כוסות)
10 כפיות אבקת אפייה (כ-3 שקיות)
5 כפיות סודה לשתייה
5 כפיות קינמון</t>
        </is>
      </c>
      <c r="E6" s="21" t="inlineStr">
        <is>
          <t>בקערת ערבוב ענקית טורפים היטב את הביצים עם הסוכר עד לתערובת בהירה ומעט תפוחה.
מוסיפים בהדרגה את השמן, הדבש והקפה המומס (לוודא שאינו רותח מדי שלא יבשל את הביצים) וטורפים עד לאיחוד.
בקערה נפרדת מערבבים את היבשים: קמח, אבקת אפייה, סודה לשתייה וקינמון.
מוסיפים את היבשים אל הרטובים וטורפים רק עד לבלילה חלקה ללא גושים (ערבוב יתר יפגע באווריריות).
מחלקים לתבניות אינגליש משומנות (עד 2/3 מגובה התבנית) ואופים ב-165 מעלות 35–45 דקות, עד שקיסם במרכז יוצא יבש עם פירורים לחים.</t>
        </is>
      </c>
      <c r="F6" s="21" t="n"/>
    </row>
    <row r="7" ht="120" customHeight="1">
      <c r="A7" s="53" t="inlineStr">
        <is>
          <t>עוגות</t>
        </is>
      </c>
      <c r="B7" s="47" t="inlineStr">
        <is>
          <t>עוגיות שוקולד צ'יפס</t>
        </is>
      </c>
      <c r="C7" s="53" t="inlineStr">
        <is>
          <t>80 עוגיות</t>
        </is>
      </c>
      <c r="D7" s="21" t="inlineStr">
        <is>
          <t>1.2 ק"ג קמח
שקית אבקת אפייה
3/4 כפית סודה לשתייה
675 גרם חמאה קרה
540 גרם סוכר חום כהה
300 גרם סוכר לבן
6 ביצים
3 כפיות תמצית וניל
990 גרם שוקולד צ'יפס</t>
        </is>
      </c>
      <c r="E7" s="21" t="inlineStr">
        <is>
          <t>בקערת המיקסר עם וו גיטרה מערבלים את קוביות החמאה עם הסוכרים עד לקבלת תערובת אחידה. מוסיפים את הביצים, בכל פעם ביצה אחת, ומערבלים היטב עד להטמעה. ומוסיפים גם את תמצית/מחית הוניל ומערבלים שוב.
לקערה נפרדת מנפים את הקמח, אבקת אפייה וסודה לשתייה. מוסיפים את המלח ומערבבים היטב.
מוסיפים את תערובת הקמח לקערת המיקסר ומערבלים רק עד שהקמח נטמע. במידת הצורך נעזרים במרית כדי לוודא שהתערובת אחידה. מוסיפים את השוקולד ומערבלים רק עד לפיזור אחיד.
יוצרים מהבצק כדורים. מניחים במרווחים גדולם במיוחד על גבי תבנית אפייה מרופדת בנייר אפייה ולא משטחים אותם. מחממים את התנור ל – 175 מעלות. אופים כ – 17 דקות ועד שהעוגיות שחומות מעט בחלקן העליון. מוציאים ומצננים מעט. העוגיות מזכירות במיוחד את העוגיות הניו יורקיות כשהן עדין חמות, אבל מצוינות גם לאחר צינון מוחלט.</t>
        </is>
      </c>
      <c r="F7" s="21" t="n"/>
    </row>
    <row r="8" ht="120" customHeight="1">
      <c r="A8" s="53" t="inlineStr">
        <is>
          <t>עוגות</t>
        </is>
      </c>
      <c r="B8" s="47" t="inlineStr">
        <is>
          <t>בראוניז ללא גלוטן</t>
        </is>
      </c>
      <c r="C8" s="53" t="inlineStr">
        <is>
          <t>כ-600 גרם שוקולד</t>
        </is>
      </c>
      <c r="D8" s="21" t="inlineStr">
        <is>
          <t>600 גרם שוקולד מריר
0.66 ליטר שמן (2.75 כוסות / 660 מ"ל)
¾3 כוסות סוכר
3 חבילות אינסטנט פודינג שוקולד או וניל לל״ג
15 ביצים שלמות</t>
        </is>
      </c>
      <c r="E8" s="21" t="inlineStr">
        <is>
          <t>1. מחממים תנור ל־170 מעלות, חום עליון ותחתון.
2. ממיסים את השוקולד המריר בפולסים קצרים במיקרוגל או מעל בן מארי. מניחים לו להתקרר מעט.
3. בקערה גדולה טורפים את הביצים והסוכר עד שהתערובת אחידה.
4. מוסיפים את השמן בהדרגה תוך כדי ערבוב.
5. מוסיפים את השוקולד המומס ומערבבים.
6. מוסיפים את אבקת הפודינג ומערבבים עד שאין גושים.
7. מחלקים לתבניות משומנות ומרופדות בנייר אפייה. ממלאים כל תבנית עד לגובה של כ־3 ס״מ.
8. אופים כ־20–30 דקות, בהתאם לגודל התבנית ולעומק הבלילה.
איך יודעים שמוכן? קיסם צריך לצאת עם פירורים לחים, אך לא עם בלילה נוזלית.
טיפים להצלחה
* אל תאפי יתר על המידה, כדי שהבראוניז לא יתייבשו.
* הניחי לעוגה להתקרר לחלוטין לפני החיתוך.
* אם את מוסיפה קמח שקדים או תערובת ללא גלוטן, צריך להתאים את הכמות למרקם הבלילה. אין צורך להוסיף את שניהם.</t>
        </is>
      </c>
      <c r="F8" s="21" t="inlineStr">
        <is>
          <t>ללא גלוטן — לוודא שכל המצרכים מסומנים</t>
        </is>
      </c>
    </row>
    <row r="9" ht="120" customHeight="1">
      <c r="A9" s="53" t="inlineStr">
        <is>
          <t>סלטים</t>
        </is>
      </c>
      <c r="B9" s="47" t="inlineStr">
        <is>
          <t>סלט חצילים קלויים</t>
        </is>
      </c>
      <c r="C9" s="53" t="inlineStr">
        <is>
          <t>10 חצילים</t>
        </is>
      </c>
      <c r="D9" s="21" t="inlineStr">
        <is>
          <t>10 חצילים שלמים
5–7 שיני שום כתושות
מיץ מ-4–5 לימונים
1 כוס שמן זית (200–250 מ"ל)
מלח לפי הטעם
לחציל בטחינה: 1–1.5 חבילות טחינה גולמית ומעט מים</t>
        </is>
      </c>
      <c r="E9" s="21" t="inlineStr">
        <is>
          <t>דוקרים כל חציל במזלג ב-2–3 מקומות וקולים על להבת גז גלויה, גריל, או בתנור על חום מקסימלי (גריל עליון) 30–40 דקות, עד שהקליפה חרוכה לחלוטין והבשר רך מאוד.
מעבירים למסננת לכ-15 דקות לצינון ולהגרת נוזלים מרירים.
חורצים לאורך, גורפים את בשר החציל בכף לקערה, וקוצצים גס בסכין (לא לטחון בבלנדר).
מוסיפים שום כתוש, מיץ לימון, שמן זית ומלח ומערבבים היטב במזלג.</t>
        </is>
      </c>
      <c r="F9" s="21" t="n"/>
    </row>
    <row r="10" ht="120" customHeight="1">
      <c r="A10" s="53" t="inlineStr">
        <is>
          <t>סלטים</t>
        </is>
      </c>
      <c r="B10" s="47" t="inlineStr">
        <is>
          <t>סלט כרוב מרענן</t>
        </is>
      </c>
      <c r="C10" s="53" t="inlineStr">
        <is>
          <t>2 ראשי כרוב (לארוחה אחת)</t>
        </is>
      </c>
      <c r="D10" s="21" t="inlineStr">
        <is>
          <t>2 ראשי כרוב (קצוצים לרצועות דקות)
מיץ מ-2–3 לימונים
כ-⅔ כוס שמן זית (125–150 מ"ל)
כ-1 כף מלח (לפי הטעם)
אופציונלי: חצי כפית סוכר / פלפל שחור / שמיר קצוץ</t>
        </is>
      </c>
      <c r="E10" s="21" t="inlineStr">
        <is>
          <t>חותכים את הכרוב לרצועות דקות ושמים בקערה גדולה מאוד.
בצנצנת או קערה קטנה טורפים יחד שמן זית, מיץ לימון ומלח עד לאיחוד.
יוצקים את הרוטב מעל הכרוב ומעסים את הכרוב בידיים דקה-שתיים (העיסוי מרכך את הכרוב ומחדיר את הטעמים).
מניחים בצד כ-20 דקות לפני ההגשה, טועמים ומתקנים תיבול.</t>
        </is>
      </c>
      <c r="F10" s="21" t="inlineStr">
        <is>
          <t>כמות לארוחה אחת — סמוך להגשה</t>
        </is>
      </c>
    </row>
    <row r="11" ht="120" customHeight="1">
      <c r="A11" s="53" t="inlineStr">
        <is>
          <t>סלטים</t>
        </is>
      </c>
      <c r="B11" s="47" t="inlineStr">
        <is>
          <t>סלט טחינה ביתית</t>
        </is>
      </c>
      <c r="C11" s="53" t="inlineStr">
        <is>
          <t>1.5–2 חבילות טחינה (לארוחה אחת)</t>
        </is>
      </c>
      <c r="D11" s="21" t="inlineStr">
        <is>
          <t>1.5–2 חבילות טחינה גולמית
מיץ מ-2.5–3 לימונים
2–3 שיני שום כתושות
מים קרים מאוד (בערך נפח הטחינה — להוסיף בהדרגה)
מלח לפי הטעם
1–2 כפות שמן זית לזילוף</t>
        </is>
      </c>
      <c r="E11" s="21" t="inlineStr">
        <is>
          <t>יוצקים את הטחינה הגולמית לקערה גדולה.
מוסיפים מיץ לימון, שום כתוש ומלח, ומתחילים לערבב במטרפה (התערובת תהפוך תחילה סמיכה מאוד וגושית — זה נורמלי).
מוסיפים מים קרים בהדרגה תוך טריפה נמרצת, עד למרקם הרצוי (טחינה מסמיכה בקירור, לא להשאיר סמיכה מדי).
טועמים ומאזנים מליחות וחמיצות.
מעבירים לקערות הגשה ומזלפים מעט שמן זית מעל.</t>
        </is>
      </c>
      <c r="F11" s="21" t="inlineStr">
        <is>
          <t>כמות לארוחה אחת — סמוך להגשה</t>
        </is>
      </c>
    </row>
    <row r="12" ht="120" customHeight="1">
      <c r="A12" s="53" t="n"/>
      <c r="B12" s="47" t="inlineStr">
        <is>
          <t>עוגת שוקולד</t>
        </is>
      </c>
      <c r="C12" s="53" t="inlineStr">
        <is>
          <t>12 עוגות אינגליש קייק</t>
        </is>
      </c>
      <c r="D12" s="21" t="inlineStr">
        <is>
          <t>אבקת שוקולית: כ-420 גרם (3 כוסות)
אבקת קקאו: כ-140 גרם (1 כוס)
אבקת נס קפה: כ-10 גרם (4 כפיות)
סוכר:  1.2 ק"ג (6 כוסות)
שמן: ליטר (4 כוסות)
8 ביצים
תמצית וניל
קמח: 1.12 ק"ג (8 כוסות)
אבקת אפייה: 40 גרם (4 שקיות)
לציפוי:
שוקולד מריר: 600 גרם
שמנת צימחית: 600 מ"ל (כ-2.5 כוסות)</t>
        </is>
      </c>
      <c r="E12" s="21" t="inlineStr">
        <is>
          <t>לחמם תנור ל-180 מעלות.
לשים את השוקולית, הקקאו והנס קפה בקערת ערבוב גדולה. להוסיף 2 כוסות מים רותחים ולערבב עם מטרפה ידנית עד שהכול נמס.
להוסיף לקערה את עוד 6 כוסות מים פושרים , הסוכר, השמן, הביצים ותמצית ווניל. לערבב הכול לתערובת אחידה.
להוסיף את הקמח, אבקת אפייה והמלח. לערבב לתערובת אחידה בלי גושים.
לשפוך את הבלילה לתבנית אפייה ולאפות כ- 40-35 דקות, או עד שקיסם הננעץ במרכז העוגה יוצא יבש. (אם רוצים להוציא את העוגה מהתבנית, יש לרפד את התבנית בנייר אפייה)
בינתיים כשהעוגה בתנור להכין את הציפוי.
לציפוי:
לשפוך את השמנת המתוקה על השוקולד.
להכניס למיקרו לדקה\ דקה וחצי.
להוציא ולחכות כ-2 דקות.
לערבב את השוקולד עם השמנת עד שמתקבלת תערובת חלקה ואחידה. אם יש עדיין גושי שוקולד, להחזיר למיקרו לעוד כחצי דקה ולערבב שוב עד שתהיה תערובת אחידה.
להוציא את העוגה מהתנור וכשהיא עוד חמה, ליצור בה חורים עם קיסם כדי שהצפוי יחלחל לתוך העוגה.
לשפוך מיד את הציפוי על העוגה החמה וליישר.
לתת לעוגה להצטנן ולאכול.</t>
        </is>
      </c>
      <c r="F12" s="21" t="n"/>
    </row>
    <row r="13" ht="120" customHeight="1">
      <c r="A13" s="53" t="n"/>
      <c r="B13" s="47" t="inlineStr">
        <is>
          <t>עוגת שמרים</t>
        </is>
      </c>
      <c r="C13" s="53" t="inlineStr">
        <is>
          <t>12 עוגות אינגליש קייק</t>
        </is>
      </c>
      <c r="D13" s="21" t="inlineStr">
        <is>
          <t>ליטר שמן
12 ביצים
3 קילוגרם קמח
3 שקיות אבקת אפייה
2 קילו סוכר
6 כפות קינמון
300 גרם קקאו
תמצית וניל
50 גרם שמרים יבשים</t>
        </is>
      </c>
      <c r="E13" s="21" t="inlineStr">
        <is>
          <t>1. ערבוב השמרים והביצים: בקערה קטנה, מערבבים את השמרים עם הסוכר. מוסיפים את 12 הביצים השלמות ומערבבים היטב.
2. הכנת הבצק: מוסיפים לסירוגין לקערה את הקמח 6 כוסות מים ושמן פנימה. לישים/מערבבים עד לקבלת בצק אחיד (הבצק יצא רך ומעט דביק).
3. התפחה: מכסים את הקערה בניילון/מגבת. להתפחה מהירה בטמפרטורת החדר יש להשהות כ-שעה.
4. עיצוב: מחלקים את הבצק לכדורים שווים. מרדדים אותם הכי דק שאפשר. מורחים מעט שמן ומפזרים מתערובת הסוכר-קקאו-קינמון, מרדדים ומגלגלים לרולדות. מפתלים כל זוג רולדות לצורת בורג ().
5. אפייה: אופים בתנור שחומם מראש לחום בינוני (175°C–180°C) כ-35 דקות, עד להזהבה.
6. זיגוג: בזמן שהעוגות בתנור, מרתיחים בסיר קטן 2 כוס מים, 2 כוס סוכר ו4 שקיות סוכר וניל עד שהסוכר נמס. כשהעוגות יוצאות חמות מהתנור, יוצקים עליהן את הסירופ.</t>
        </is>
      </c>
      <c r="F13" s="21" t="n"/>
    </row>
    <row r="14" ht="120" customHeight="1">
      <c r="A14" s="53" t="n"/>
      <c r="B14" s="47" t="inlineStr">
        <is>
          <t>סלט חצילים</t>
        </is>
      </c>
      <c r="C14" s="53" t="inlineStr">
        <is>
          <t>10 חצילים</t>
        </is>
      </c>
      <c r="D14" s="21" t="inlineStr">
        <is>
          <t>10 חצילים
15 לימונים
שמן זית
ראש שום</t>
        </is>
      </c>
      <c r="E14" s="21" t="inlineStr">
        <is>
          <t>חותכים לקוביות את החצילים, שמים בתנור עם שמן זית ומלח (200 מעלות) עד שזהוב. מוציאים, מוסיפים לימון ושום</t>
        </is>
      </c>
      <c r="F14" s="21" t="n"/>
    </row>
    <row r="15" ht="120" customHeight="1">
      <c r="A15" s="53" t="inlineStr">
        <is>
          <t>ארוחת צהריים שישי</t>
        </is>
      </c>
      <c r="B15" s="47" t="inlineStr">
        <is>
          <t>שקשוקה ולחם</t>
        </is>
      </c>
      <c r="C15" s="53" t="n"/>
      <c r="D15" s="21" t="inlineStr">
        <is>
          <t>ביצים: 70 ביצים
רסק עגבניות: 3 קילו רסק עגבניות מרוכז
מים: 8–9 ליטר מים חמים (לדילול הרסק ובישול הרוטב).
בצל: 18 בצלים בינוניים, קצוצים דק.
שום: 3 ראשי שום
פלפלים אדומים מתוקים (גמבה): 3 קילו (כ-18 פלפלים), חתוכים לקוביות.
שמן: 3–4 כוסות שמן זית או שמן קנולה.
6–7 כפות גדושות פפריקה מתוקה
4 כפות מלח (להוסיף בהדרגה ולטעום).
2 כפות פלפל שחור גרוס.
5–6 כפות סוכר</t>
        </is>
      </c>
      <c r="E15" s="21" t="inlineStr">
        <is>
          <t>1. חממו את השמן בסירים וטגנו את 18 הבצלים הקצוצים במשך כ-8–10 דקות עד להתרככות.
2. הוסיפו את 3 קילו קוביות הפלפלים האדומים והמשיכו לטגן יחד עוד כ-5 דקות.
3. ערבבו פנימה את 3 ראשי השום, 3 קילו רסק העגבניות, הפפריקה, המלח, הפלפל השחור והסוכר, וטגנו הכל יחד במשך 2–3 דקות.
4. יצקו את 8–9 ליטר המים החמים, ערבבו היטב ובשלו על אש קטנה כ-20 דקות עד שהרוטב מסמיך.
5. צרו גומות ברוטב, שברו לתוכן את 70 הביצים במרחקים שווים וכסו את הסירים.
6. בשלו על אש נמוכה במשך 10–15 דקות עד שחלבון הביצה מתייצב, וכבו את האש</t>
        </is>
      </c>
      <c r="F15" s="21" t="n"/>
    </row>
    <row r="16" ht="120" customHeight="1">
      <c r="A16" s="53" t="inlineStr">
        <is>
          <t>בישול</t>
        </is>
      </c>
      <c r="B16" s="47" t="inlineStr">
        <is>
          <t>פסטה ברוטב עגבניות</t>
        </is>
      </c>
      <c r="C16" s="53" t="n"/>
      <c r="D16" s="21" t="inlineStr">
        <is>
          <t>לפסטה
7 ק"ג פסטה יבשה
כ־7–10 כפות מלח למי הבישול
לרוטב העגבניות
3 ק"ג רסק עגבניות
8-10 בצל
3 ראשי שום קלוף
3 כפות מלח
2 כפות פלפל שחור
5–7 כפות פפריקה מתוקה
3–5 כפות סוכר, לפי החמיצות של העגבניות</t>
        </is>
      </c>
      <c r="E16" s="21" t="inlineStr">
        <is>
          <t>לפסטה:
מרתיחים מים לפסטה ומוסיפים לה מלח
ברגע שהמים רותחים מוסיפים את הפסטה ומורידים את המכסה
נותנים לפסטה להתבשל עד שהיא מוכנה
מסננים את הפסטה.
לרוטב:
חותכים בצל ושום.
מטגנים על מחבת גדולה את הבצל והשום בקצת שמן
מוסיפים את הרסק עגבניות עם מים עד למרקם מתאים
מוסיפים תבלינים לפי הטעם</t>
        </is>
      </c>
      <c r="F16" s="21" t="n"/>
    </row>
    <row r="17">
      <c r="A17" s="53" t="n"/>
      <c r="B17" s="47" t="n"/>
      <c r="C17" s="53" t="n"/>
      <c r="D17" s="21" t="n"/>
      <c r="E17" s="21" t="n"/>
      <c r="F17" s="21" t="n"/>
    </row>
    <row r="18">
      <c r="A18" s="53" t="n"/>
      <c r="B18" s="47" t="n"/>
      <c r="C18" s="53" t="n"/>
      <c r="D18" s="21" t="n"/>
      <c r="E18" s="21" t="n"/>
      <c r="F18" s="21" t="n"/>
    </row>
    <row r="19">
      <c r="A19" s="53" t="n"/>
      <c r="B19" s="47" t="n"/>
      <c r="C19" s="53" t="n"/>
      <c r="D19" s="21" t="n"/>
      <c r="E19" s="21" t="n"/>
      <c r="F19" s="21" t="n"/>
    </row>
    <row r="20">
      <c r="A20" s="53" t="n"/>
      <c r="B20" s="47" t="n"/>
      <c r="C20" s="53" t="n"/>
      <c r="D20" s="21" t="n"/>
      <c r="E20" s="21" t="n"/>
      <c r="F20" s="21" t="n"/>
    </row>
    <row r="21">
      <c r="A21" s="53" t="n"/>
      <c r="B21" s="47" t="n"/>
      <c r="C21" s="53" t="n"/>
      <c r="D21" s="21" t="n"/>
      <c r="E21" s="21" t="n"/>
      <c r="F21" s="21" t="n"/>
    </row>
    <row r="22">
      <c r="A22" s="53" t="n"/>
      <c r="B22" s="47" t="n"/>
      <c r="C22" s="53" t="n"/>
      <c r="D22" s="21" t="n"/>
      <c r="E22" s="21" t="n"/>
      <c r="F22" s="21" t="n"/>
    </row>
    <row r="23">
      <c r="A23" s="53" t="n"/>
      <c r="B23" s="47" t="n"/>
      <c r="C23" s="53" t="n"/>
      <c r="D23" s="21" t="n"/>
      <c r="E23" s="21" t="n"/>
      <c r="F23" s="21" t="n"/>
    </row>
    <row r="24">
      <c r="A24" s="53" t="n"/>
      <c r="B24" s="47" t="n"/>
      <c r="C24" s="53" t="n"/>
      <c r="D24" s="21" t="n"/>
      <c r="E24" s="21" t="n"/>
      <c r="F24" s="21" t="n"/>
    </row>
    <row r="25">
      <c r="A25" s="53" t="n"/>
      <c r="B25" s="47" t="n"/>
      <c r="C25" s="53" t="n"/>
      <c r="D25" s="21" t="n"/>
      <c r="E25" s="21" t="n"/>
      <c r="F25" s="21" t="n"/>
    </row>
    <row r="26">
      <c r="A26" s="53" t="n"/>
      <c r="B26" s="47" t="n"/>
      <c r="C26" s="53" t="n"/>
      <c r="D26" s="21" t="n"/>
      <c r="E26" s="21" t="n"/>
      <c r="F26" s="21" t="n"/>
    </row>
    <row r="27">
      <c r="A27" s="53" t="n"/>
      <c r="B27" s="47" t="n"/>
      <c r="C27" s="53" t="n"/>
      <c r="D27" s="21" t="n"/>
      <c r="E27" s="21" t="n"/>
      <c r="F27" s="21" t="n"/>
    </row>
    <row r="28">
      <c r="A28" s="53" t="n"/>
      <c r="B28" s="47" t="n"/>
      <c r="C28" s="53" t="n"/>
      <c r="D28" s="21" t="n"/>
      <c r="E28" s="21" t="n"/>
      <c r="F28" s="21" t="n"/>
    </row>
    <row r="29">
      <c r="A29" s="53" t="n"/>
      <c r="B29" s="47" t="n"/>
      <c r="C29" s="53" t="n"/>
      <c r="D29" s="21" t="n"/>
      <c r="E29" s="21" t="n"/>
      <c r="F29" s="21" t="n"/>
    </row>
    <row r="30">
      <c r="A30" s="53" t="n"/>
      <c r="B30" s="47" t="n"/>
      <c r="C30" s="53" t="n"/>
      <c r="D30" s="21" t="n"/>
      <c r="E30" s="21" t="n"/>
      <c r="F30" s="21" t="n"/>
    </row>
    <row r="31">
      <c r="A31" s="53" t="n"/>
      <c r="B31" s="47" t="n"/>
      <c r="C31" s="53" t="n"/>
      <c r="D31" s="21" t="n"/>
      <c r="E31" s="21" t="n"/>
      <c r="F31" s="21" t="n"/>
    </row>
    <row r="32">
      <c r="A32" s="53" t="n"/>
      <c r="B32" s="47" t="n"/>
      <c r="C32" s="53" t="n"/>
      <c r="D32" s="21" t="n"/>
      <c r="E32" s="21" t="n"/>
      <c r="F32" s="21" t="n"/>
    </row>
    <row r="33">
      <c r="A33" s="53" t="n"/>
      <c r="B33" s="47" t="n"/>
      <c r="C33" s="53" t="n"/>
      <c r="D33" s="21" t="n"/>
      <c r="E33" s="21" t="n"/>
      <c r="F33" s="21" t="n"/>
    </row>
    <row r="34">
      <c r="A34" s="53" t="n"/>
      <c r="B34" s="47" t="n"/>
      <c r="C34" s="53" t="n"/>
      <c r="D34" s="21" t="n"/>
      <c r="E34" s="21" t="n"/>
      <c r="F34" s="21" t="n"/>
    </row>
    <row r="35">
      <c r="A35" s="53" t="n"/>
      <c r="B35" s="47" t="n"/>
      <c r="C35" s="53" t="n"/>
      <c r="D35" s="21" t="n"/>
      <c r="E35" s="21" t="n"/>
      <c r="F35" s="21" t="n"/>
    </row>
    <row r="36">
      <c r="A36" s="53" t="n"/>
      <c r="B36" s="47" t="n"/>
      <c r="C36" s="53" t="n"/>
      <c r="D36" s="21" t="n"/>
      <c r="E36" s="21" t="n"/>
      <c r="F36" s="21" t="n"/>
    </row>
    <row r="37">
      <c r="A37" s="53" t="n"/>
      <c r="B37" s="47" t="n"/>
      <c r="C37" s="53" t="n"/>
      <c r="D37" s="21" t="n"/>
      <c r="E37" s="21" t="n"/>
      <c r="F37" s="21" t="n"/>
    </row>
    <row r="38">
      <c r="A38" s="53" t="n"/>
      <c r="B38" s="47" t="n"/>
      <c r="C38" s="53" t="n"/>
      <c r="D38" s="21" t="n"/>
      <c r="E38" s="21" t="n"/>
      <c r="F38" s="21" t="n"/>
    </row>
    <row r="39">
      <c r="A39" s="53" t="n"/>
      <c r="B39" s="47" t="n"/>
      <c r="C39" s="53" t="n"/>
      <c r="D39" s="21" t="n"/>
      <c r="E39" s="21" t="n"/>
      <c r="F39" s="21" t="n"/>
    </row>
    <row r="40">
      <c r="A40" s="53" t="n"/>
      <c r="B40" s="47" t="n"/>
      <c r="C40" s="53" t="n"/>
      <c r="D40" s="21" t="n"/>
      <c r="E40" s="21" t="n"/>
      <c r="F40" s="21" t="n"/>
    </row>
    <row r="41">
      <c r="A41" s="53" t="n"/>
      <c r="B41" s="47" t="n"/>
      <c r="C41" s="53" t="n"/>
      <c r="D41" s="21" t="n"/>
      <c r="E41" s="21" t="n"/>
      <c r="F41" s="21" t="n"/>
    </row>
    <row r="42">
      <c r="A42" s="53" t="n"/>
      <c r="B42" s="47" t="n"/>
      <c r="C42" s="53" t="n"/>
      <c r="D42" s="21" t="n"/>
      <c r="E42" s="21" t="n"/>
      <c r="F42" s="21" t="n"/>
    </row>
    <row r="43">
      <c r="A43" s="53" t="n"/>
      <c r="B43" s="47" t="n"/>
      <c r="C43" s="53" t="n"/>
      <c r="D43" s="21" t="n"/>
      <c r="E43" s="21" t="n"/>
      <c r="F43" s="21" t="n"/>
    </row>
    <row r="44">
      <c r="A44" s="53" t="n"/>
      <c r="B44" s="47" t="n"/>
      <c r="C44" s="53" t="n"/>
      <c r="D44" s="21" t="n"/>
      <c r="E44" s="21" t="n"/>
      <c r="F44" s="21" t="n"/>
    </row>
    <row r="45">
      <c r="A45" s="53" t="n"/>
      <c r="B45" s="47" t="n"/>
      <c r="C45" s="53" t="n"/>
      <c r="D45" s="21" t="n"/>
      <c r="E45" s="21" t="n"/>
      <c r="F45" s="21" t="n"/>
    </row>
    <row r="46">
      <c r="A46" s="53" t="n"/>
      <c r="B46" s="47" t="n"/>
      <c r="C46" s="53" t="n"/>
      <c r="D46" s="21" t="n"/>
      <c r="E46" s="21" t="n"/>
      <c r="F46" s="21" t="n"/>
    </row>
    <row r="47">
      <c r="A47" s="53" t="n"/>
      <c r="B47" s="47" t="n"/>
      <c r="C47" s="53" t="n"/>
      <c r="D47" s="21" t="n"/>
      <c r="E47" s="21" t="n"/>
      <c r="F47" s="21" t="n"/>
    </row>
    <row r="48">
      <c r="A48" s="53" t="n"/>
      <c r="B48" s="47" t="n"/>
      <c r="C48" s="53" t="n"/>
      <c r="D48" s="21" t="n"/>
      <c r="E48" s="21" t="n"/>
      <c r="F48" s="21" t="n"/>
    </row>
    <row r="49">
      <c r="A49" s="53" t="n"/>
      <c r="B49" s="47" t="n"/>
      <c r="C49" s="53" t="n"/>
      <c r="D49" s="21" t="n"/>
      <c r="E49" s="21" t="n"/>
      <c r="F49" s="21" t="n"/>
    </row>
    <row r="50">
      <c r="A50" s="53" t="n"/>
      <c r="B50" s="47" t="n"/>
      <c r="C50" s="53" t="n"/>
      <c r="D50" s="21" t="n"/>
      <c r="E50" s="21" t="n"/>
      <c r="F50" s="21" t="n"/>
    </row>
    <row r="51">
      <c r="A51" s="53" t="n"/>
      <c r="B51" s="47" t="n"/>
      <c r="C51" s="53" t="n"/>
      <c r="D51" s="21" t="n"/>
      <c r="E51" s="21" t="n"/>
      <c r="F51" s="21" t="n"/>
    </row>
    <row r="52">
      <c r="A52" s="53" t="n"/>
      <c r="B52" s="47" t="n"/>
      <c r="C52" s="53" t="n"/>
      <c r="D52" s="21" t="n"/>
      <c r="E52" s="21" t="n"/>
      <c r="F52" s="21" t="n"/>
    </row>
    <row r="53">
      <c r="A53" s="53" t="n"/>
      <c r="B53" s="47" t="n"/>
      <c r="C53" s="53" t="n"/>
      <c r="D53" s="21" t="n"/>
      <c r="E53" s="21" t="n"/>
      <c r="F53" s="21" t="n"/>
    </row>
    <row r="54">
      <c r="A54" s="53" t="n"/>
      <c r="B54" s="47" t="n"/>
      <c r="C54" s="53" t="n"/>
      <c r="D54" s="21" t="n"/>
      <c r="E54" s="21" t="n"/>
      <c r="F54" s="21" t="n"/>
    </row>
    <row r="55">
      <c r="A55" s="53" t="n"/>
      <c r="B55" s="47" t="n"/>
      <c r="C55" s="53" t="n"/>
      <c r="D55" s="21" t="n"/>
      <c r="E55" s="21" t="n"/>
      <c r="F55" s="21" t="n"/>
    </row>
    <row r="56">
      <c r="A56" s="53" t="n"/>
      <c r="B56" s="47" t="n"/>
      <c r="C56" s="53" t="n"/>
      <c r="D56" s="21" t="n"/>
      <c r="E56" s="21" t="n"/>
      <c r="F56" s="21" t="n"/>
    </row>
    <row r="57">
      <c r="A57" s="53" t="n"/>
      <c r="B57" s="47" t="n"/>
      <c r="C57" s="53" t="n"/>
      <c r="D57" s="21" t="n"/>
      <c r="E57" s="21" t="n"/>
      <c r="F57" s="21" t="n"/>
    </row>
    <row r="58">
      <c r="A58" s="53" t="n"/>
      <c r="B58" s="47" t="n"/>
      <c r="C58" s="53" t="n"/>
      <c r="D58" s="21" t="n"/>
      <c r="E58" s="21" t="n"/>
      <c r="F58" s="21" t="n"/>
    </row>
    <row r="59">
      <c r="A59" s="53" t="n"/>
      <c r="B59" s="47" t="n"/>
      <c r="C59" s="53" t="n"/>
      <c r="D59" s="21" t="n"/>
      <c r="E59" s="21" t="n"/>
      <c r="F59" s="21" t="n"/>
    </row>
    <row r="60">
      <c r="A60" s="53" t="n"/>
      <c r="B60" s="47" t="n"/>
      <c r="C60" s="53" t="n"/>
      <c r="D60" s="21" t="n"/>
      <c r="E60" s="21" t="n"/>
      <c r="F60" s="21" t="n"/>
    </row>
    <row r="61">
      <c r="A61" s="53" t="n"/>
      <c r="B61" s="47" t="n"/>
      <c r="C61" s="53" t="n"/>
      <c r="D61" s="21" t="n"/>
      <c r="E61" s="21" t="n"/>
      <c r="F61" s="21" t="n"/>
    </row>
    <row r="62">
      <c r="A62" s="53" t="n"/>
      <c r="B62" s="47" t="n"/>
      <c r="C62" s="53" t="n"/>
      <c r="D62" s="21" t="n"/>
      <c r="E62" s="21" t="n"/>
      <c r="F62" s="21" t="n"/>
    </row>
    <row r="63">
      <c r="A63" s="53" t="n"/>
      <c r="B63" s="47" t="n"/>
      <c r="C63" s="53" t="n"/>
      <c r="D63" s="21" t="n"/>
      <c r="E63" s="21" t="n"/>
      <c r="F63" s="21" t="n"/>
    </row>
    <row r="64">
      <c r="A64" s="53" t="n"/>
      <c r="B64" s="47" t="n"/>
      <c r="C64" s="53" t="n"/>
      <c r="D64" s="21" t="n"/>
      <c r="E64" s="21" t="n"/>
      <c r="F64" s="21" t="n"/>
    </row>
    <row r="65">
      <c r="A65" s="53" t="n"/>
      <c r="B65" s="47" t="n"/>
      <c r="C65" s="53" t="n"/>
      <c r="D65" s="21" t="n"/>
      <c r="E65" s="21" t="n"/>
      <c r="F65" s="21" t="n"/>
    </row>
    <row r="66">
      <c r="A66" s="53" t="n"/>
      <c r="B66" s="47" t="n"/>
      <c r="C66" s="53" t="n"/>
      <c r="D66" s="21" t="n"/>
      <c r="E66" s="21" t="n"/>
      <c r="F66" s="21" t="n"/>
    </row>
    <row r="67">
      <c r="A67" s="53" t="n"/>
      <c r="B67" s="47" t="n"/>
      <c r="C67" s="53" t="n"/>
      <c r="D67" s="21" t="n"/>
      <c r="E67" s="21" t="n"/>
      <c r="F67" s="21" t="n"/>
    </row>
    <row r="68">
      <c r="A68" s="53" t="n"/>
      <c r="B68" s="47" t="n"/>
      <c r="C68" s="53" t="n"/>
      <c r="D68" s="21" t="n"/>
      <c r="E68" s="21" t="n"/>
      <c r="F68" s="21" t="n"/>
    </row>
    <row r="69">
      <c r="A69" s="53" t="n"/>
      <c r="B69" s="47" t="n"/>
      <c r="C69" s="53" t="n"/>
      <c r="D69" s="21" t="n"/>
      <c r="E69" s="21" t="n"/>
      <c r="F69" s="21" t="n"/>
    </row>
    <row r="70">
      <c r="A70" s="53" t="n"/>
      <c r="B70" s="47" t="n"/>
      <c r="C70" s="53" t="n"/>
      <c r="D70" s="21" t="n"/>
      <c r="E70" s="21" t="n"/>
      <c r="F70" s="21" t="n"/>
    </row>
    <row r="71">
      <c r="A71" s="53" t="n"/>
      <c r="B71" s="47" t="n"/>
      <c r="C71" s="53" t="n"/>
      <c r="D71" s="21" t="n"/>
      <c r="E71" s="21" t="n"/>
      <c r="F71" s="21" t="n"/>
    </row>
    <row r="72">
      <c r="A72" s="53" t="n"/>
      <c r="B72" s="47" t="n"/>
      <c r="C72" s="53" t="n"/>
      <c r="D72" s="21" t="n"/>
      <c r="E72" s="21" t="n"/>
      <c r="F72" s="21" t="n"/>
    </row>
    <row r="73">
      <c r="A73" s="53" t="n"/>
      <c r="B73" s="47" t="n"/>
      <c r="C73" s="53" t="n"/>
      <c r="D73" s="21" t="n"/>
      <c r="E73" s="21" t="n"/>
      <c r="F73" s="21" t="n"/>
    </row>
    <row r="74">
      <c r="A74" s="53" t="n"/>
      <c r="B74" s="47" t="n"/>
      <c r="C74" s="53" t="n"/>
      <c r="D74" s="21" t="n"/>
      <c r="E74" s="21" t="n"/>
      <c r="F74" s="21" t="n"/>
    </row>
    <row r="75">
      <c r="A75" s="53" t="n"/>
      <c r="B75" s="47" t="n"/>
      <c r="C75" s="53" t="n"/>
      <c r="D75" s="21" t="n"/>
      <c r="E75" s="21" t="n"/>
      <c r="F75" s="21" t="n"/>
    </row>
    <row r="76">
      <c r="A76" s="53" t="n"/>
      <c r="B76" s="47" t="n"/>
      <c r="C76" s="53" t="n"/>
      <c r="D76" s="21" t="n"/>
      <c r="E76" s="21" t="n"/>
      <c r="F76" s="21" t="n"/>
    </row>
    <row r="77">
      <c r="A77" s="53" t="n"/>
      <c r="B77" s="47" t="n"/>
      <c r="C77" s="53" t="n"/>
      <c r="D77" s="21" t="n"/>
      <c r="E77" s="21" t="n"/>
      <c r="F77" s="21" t="n"/>
    </row>
    <row r="78">
      <c r="A78" s="53" t="n"/>
      <c r="B78" s="47" t="n"/>
      <c r="C78" s="53" t="n"/>
      <c r="D78" s="21" t="n"/>
      <c r="E78" s="21" t="n"/>
      <c r="F78" s="21" t="n"/>
    </row>
    <row r="79">
      <c r="A79" s="53" t="n"/>
      <c r="B79" s="47" t="n"/>
      <c r="C79" s="53" t="n"/>
      <c r="D79" s="21" t="n"/>
      <c r="E79" s="21" t="n"/>
      <c r="F79" s="21" t="n"/>
    </row>
    <row r="80">
      <c r="A80" s="53" t="n"/>
      <c r="B80" s="47" t="n"/>
      <c r="C80" s="53" t="n"/>
      <c r="D80" s="21" t="n"/>
      <c r="E80" s="21" t="n"/>
      <c r="F80" s="21" t="n"/>
    </row>
    <row r="81">
      <c r="A81" s="53" t="n"/>
      <c r="B81" s="47" t="n"/>
      <c r="C81" s="53" t="n"/>
      <c r="D81" s="21" t="n"/>
      <c r="E81" s="21" t="n"/>
      <c r="F81" s="21" t="n"/>
    </row>
    <row r="82">
      <c r="A82" s="53" t="n"/>
      <c r="B82" s="47" t="n"/>
      <c r="C82" s="53" t="n"/>
      <c r="D82" s="21" t="n"/>
      <c r="E82" s="21" t="n"/>
      <c r="F82" s="21" t="n"/>
    </row>
    <row r="84" ht="28" customHeight="1">
      <c r="A84" s="26" t="inlineStr">
        <is>
          <t>שם המנה (עמודה B) הוא מה שבוחרים בעמודת «מתכון» ב«משימות» — והמצרכים מודפסים על הפלייר של הקבוצה (גם המצרכים וגם אופן ההכנה, בדף של התורנות). מרכיבים והוראות: שורה לכל פריט (Alt+Enter לשורה חדשה בתא).</t>
        </is>
      </c>
    </row>
  </sheetData>
  <mergeCells count="2">
    <mergeCell ref="A1:F1"/>
    <mergeCell ref="A84:F84"/>
  </mergeCells>
  <dataValidations count="1">
    <dataValidation sqref="A3:A82" showDropDown="0" showInputMessage="0" showErrorMessage="0" allowBlank="1" type="list">
      <formula1>"מאפים,עוגות,סלטים,בישול,ארוחת צהריים שישי"</formula1>
    </dataValidation>
  </dataValidations>
  <pageMargins left="0.75" right="0.75" top="1" bottom="1" header="0.5" footer="0.5"/>
  <pageSetup paperSize="9" fitToHeight="0" fitToWidth="1"/>
</worksheet>
</file>

<file path=xl/worksheets/sheet8.xml><?xml version="1.0" encoding="utf-8"?>
<worksheet xmlns="http://schemas.openxmlformats.org/spreadsheetml/2006/main">
  <sheetPr>
    <tabColor rgb="00E8A33D"/>
    <outlinePr summaryBelow="1" summaryRight="1"/>
    <pageSetUpPr fitToPage="1"/>
  </sheetPr>
  <dimension ref="A1:D54"/>
  <sheetViews>
    <sheetView showGridLines="0" rightToLeft="1" workbookViewId="0">
      <pane ySplit="2" topLeftCell="A3" activePane="bottomLeft" state="frozen"/>
      <selection pane="bottomLeft" activeCell="A1" sqref="A1"/>
    </sheetView>
  </sheetViews>
  <sheetFormatPr baseColWidth="8" defaultRowHeight="15"/>
  <cols>
    <col width="18" customWidth="1" min="1" max="1"/>
    <col width="34" customWidth="1" min="2" max="2"/>
    <col width="12" customWidth="1" min="3" max="3"/>
    <col width="44" customWidth="1" min="4" max="4"/>
  </cols>
  <sheetData>
    <row r="1" ht="36" customHeight="1">
      <c r="A1" s="27" t="inlineStr">
        <is>
          <t>קייטרינג — מה מגיע לכל ארוחה</t>
        </is>
      </c>
    </row>
    <row r="2" ht="24" customHeight="1">
      <c r="A2" s="9" t="inlineStr">
        <is>
          <t>ארוחה</t>
        </is>
      </c>
      <c r="B2" s="9" t="inlineStr">
        <is>
          <t>מנה</t>
        </is>
      </c>
      <c r="C2" s="9" t="inlineStr">
        <is>
          <t>כמות</t>
        </is>
      </c>
      <c r="D2" s="9" t="inlineStr">
        <is>
          <t>הערה</t>
        </is>
      </c>
    </row>
    <row r="3">
      <c r="A3" s="53" t="inlineStr">
        <is>
          <t>ארוחת ערב</t>
        </is>
      </c>
      <c r="B3" s="48" t="inlineStr">
        <is>
          <t>כרעיים בגריל</t>
        </is>
      </c>
      <c r="C3" s="53" t="n"/>
      <c r="D3" s="21" t="n"/>
    </row>
    <row r="4">
      <c r="A4" s="53" t="inlineStr">
        <is>
          <t>ארוחת ערב</t>
        </is>
      </c>
      <c r="B4" s="48" t="inlineStr">
        <is>
          <t>קוסקוס</t>
        </is>
      </c>
      <c r="C4" s="53" t="n"/>
      <c r="D4" s="21" t="n"/>
    </row>
    <row r="5">
      <c r="A5" s="53" t="inlineStr">
        <is>
          <t>ארוחת ערב</t>
        </is>
      </c>
      <c r="B5" s="48" t="inlineStr">
        <is>
          <t>לקט קוסקוס</t>
        </is>
      </c>
      <c r="C5" s="53" t="n"/>
      <c r="D5" s="21" t="n"/>
    </row>
    <row r="6">
      <c r="A6" s="53" t="inlineStr">
        <is>
          <t>ארוחת ערב</t>
        </is>
      </c>
      <c r="B6" s="48" t="inlineStr">
        <is>
          <t>פלאפל ממולא (טבעוני)</t>
        </is>
      </c>
      <c r="C6" s="53" t="n"/>
      <c r="D6" s="21" t="n"/>
    </row>
    <row r="7">
      <c r="A7" s="53" t="inlineStr">
        <is>
          <t>ארוחת צהריים</t>
        </is>
      </c>
      <c r="B7" s="48" t="inlineStr">
        <is>
          <t>כתף בקר בציר ירקות שורש</t>
        </is>
      </c>
      <c r="C7" s="53" t="n"/>
      <c r="D7" s="21" t="n"/>
    </row>
    <row r="8">
      <c r="A8" s="53" t="inlineStr">
        <is>
          <t>ארוחת צהריים</t>
        </is>
      </c>
      <c r="B8" s="48" t="inlineStr">
        <is>
          <t>אורז לבן</t>
        </is>
      </c>
      <c r="C8" s="53" t="n"/>
      <c r="D8" s="21" t="n"/>
    </row>
    <row r="9">
      <c r="A9" s="53" t="inlineStr">
        <is>
          <t>ארוחת צהריים</t>
        </is>
      </c>
      <c r="B9" s="48" t="inlineStr">
        <is>
          <t>שעועית ירוקה מוקפצת</t>
        </is>
      </c>
      <c r="C9" s="53" t="n"/>
      <c r="D9" s="21" t="n"/>
    </row>
    <row r="10">
      <c r="A10" s="53" t="inlineStr">
        <is>
          <t>ארוחת צהריים</t>
        </is>
      </c>
      <c r="B10" s="48" t="inlineStr">
        <is>
          <t>תפו"א ובטטה</t>
        </is>
      </c>
      <c r="C10" s="53" t="n"/>
      <c r="D10" s="21" t="n"/>
    </row>
    <row r="11">
      <c r="A11" s="53" t="inlineStr">
        <is>
          <t>ארוחת צהריים</t>
        </is>
      </c>
      <c r="B11" s="48" t="inlineStr">
        <is>
          <t>מוקפץ (טבעוני)</t>
        </is>
      </c>
      <c r="C11" s="53" t="n"/>
      <c r="D11" s="21" t="n"/>
    </row>
    <row r="12">
      <c r="A12" s="53" t="inlineStr">
        <is>
          <t>סלטים</t>
        </is>
      </c>
      <c r="B12" s="48" t="inlineStr">
        <is>
          <t>סלק מבושל</t>
        </is>
      </c>
      <c r="C12" s="53" t="n"/>
      <c r="D12" s="21" t="n"/>
    </row>
    <row r="13">
      <c r="A13" s="53" t="inlineStr">
        <is>
          <t>סלטים</t>
        </is>
      </c>
      <c r="B13" s="48" t="inlineStr">
        <is>
          <t>כרוב בתחמיץ</t>
        </is>
      </c>
      <c r="C13" s="53" t="n"/>
      <c r="D13" s="21" t="n"/>
    </row>
    <row r="14">
      <c r="A14" s="53" t="inlineStr">
        <is>
          <t>סלטים</t>
        </is>
      </c>
      <c r="B14" s="48" t="inlineStr">
        <is>
          <t>בטטה צ'ילי</t>
        </is>
      </c>
      <c r="C14" s="53" t="n"/>
      <c r="D14" s="21" t="n"/>
    </row>
    <row r="15">
      <c r="A15" s="53" t="inlineStr">
        <is>
          <t>סלטים</t>
        </is>
      </c>
      <c r="B15" s="48" t="inlineStr">
        <is>
          <t>ירקות מוחמצים</t>
        </is>
      </c>
      <c r="C15" s="53" t="n"/>
      <c r="D15" s="21" t="n"/>
    </row>
    <row r="16">
      <c r="A16" s="53" t="inlineStr">
        <is>
          <t>סלטים</t>
        </is>
      </c>
      <c r="B16" s="48" t="inlineStr">
        <is>
          <t>חומוס</t>
        </is>
      </c>
      <c r="C16" s="53" t="n"/>
      <c r="D16" s="21" t="n"/>
    </row>
    <row r="17">
      <c r="A17" s="53" t="inlineStr">
        <is>
          <t>סלטים לערב</t>
        </is>
      </c>
      <c r="B17" s="48" t="inlineStr">
        <is>
          <t>סלט כרוב מרענן</t>
        </is>
      </c>
      <c r="C17" s="53" t="n"/>
      <c r="D17" s="21" t="n"/>
    </row>
    <row r="18">
      <c r="A18" s="53" t="inlineStr">
        <is>
          <t>סלטים לערב</t>
        </is>
      </c>
      <c r="B18" s="48" t="inlineStr">
        <is>
          <t>סלט טחינה ביתית</t>
        </is>
      </c>
      <c r="C18" s="53" t="n"/>
      <c r="D18" s="21" t="n"/>
    </row>
    <row r="19">
      <c r="A19" s="53" t="inlineStr">
        <is>
          <t>סלטים לצהריים</t>
        </is>
      </c>
      <c r="B19" s="48" t="inlineStr">
        <is>
          <t>סלט כרוב מרענן</t>
        </is>
      </c>
      <c r="C19" s="53" t="n"/>
      <c r="D19" s="21" t="n"/>
    </row>
    <row r="20">
      <c r="A20" s="53" t="inlineStr">
        <is>
          <t>סלטים לצהריים</t>
        </is>
      </c>
      <c r="B20" s="48" t="inlineStr">
        <is>
          <t>סלט טחינה ביתית</t>
        </is>
      </c>
      <c r="C20" s="53" t="n"/>
      <c r="D20" s="21" t="n"/>
    </row>
    <row r="21">
      <c r="A21" s="53" t="inlineStr">
        <is>
          <t>מההכנות לערב</t>
        </is>
      </c>
      <c r="B21" s="48" t="inlineStr">
        <is>
          <t>חצי מהמטבוחה, חצי מהסלט חצילים וחצי מהחלות</t>
        </is>
      </c>
      <c r="C21" s="53" t="n"/>
      <c r="D21" s="21" t="n"/>
    </row>
    <row r="22">
      <c r="A22" s="53" t="inlineStr">
        <is>
          <t>מההכנות לצהריים</t>
        </is>
      </c>
      <c r="B22" s="48" t="inlineStr">
        <is>
          <t>חצי מהמטבוחה, חצי מהסלט חצילים וחצי מהחלות</t>
        </is>
      </c>
      <c r="C22" s="53" t="n"/>
      <c r="D22" s="21" t="n"/>
    </row>
    <row r="23">
      <c r="A23" s="53" t="inlineStr">
        <is>
          <t>טיש</t>
        </is>
      </c>
      <c r="B23" s="48" t="inlineStr">
        <is>
          <t>3 פסי עוגת שוקולד, 3 פסי עוגת שמרים</t>
        </is>
      </c>
      <c r="C23" s="53" t="n"/>
      <c r="D23" s="21" t="n"/>
    </row>
    <row r="24">
      <c r="A24" s="53" t="inlineStr">
        <is>
          <t>קידוש</t>
        </is>
      </c>
      <c r="B24" s="48" t="inlineStr">
        <is>
          <t>5 פסי עוגת שוקולד, 5 פסי עוגת שמרים</t>
        </is>
      </c>
      <c r="C24" s="53" t="n"/>
      <c r="D24" s="21" t="n"/>
    </row>
    <row r="25">
      <c r="A25" s="53" t="inlineStr">
        <is>
          <t>סעודה שלישית</t>
        </is>
      </c>
      <c r="B25" s="48" t="inlineStr">
        <is>
          <t>4 פסי עוגת שוקולד, 4 פסי עוגת שמרים</t>
        </is>
      </c>
      <c r="C25" s="53" t="n"/>
      <c r="D25" s="21" t="n"/>
    </row>
    <row r="26">
      <c r="A26" s="53" t="n"/>
      <c r="B26" s="48" t="n"/>
      <c r="C26" s="53" t="n"/>
      <c r="D26" s="21" t="n"/>
    </row>
    <row r="27">
      <c r="A27" s="53" t="n"/>
      <c r="B27" s="48" t="n"/>
      <c r="C27" s="53" t="n"/>
      <c r="D27" s="21" t="n"/>
    </row>
    <row r="28">
      <c r="A28" s="53" t="n"/>
      <c r="B28" s="48" t="n"/>
      <c r="C28" s="53" t="n"/>
      <c r="D28" s="21" t="n"/>
    </row>
    <row r="29">
      <c r="A29" s="53" t="n"/>
      <c r="B29" s="48" t="n"/>
      <c r="C29" s="53" t="n"/>
      <c r="D29" s="21" t="n"/>
    </row>
    <row r="30">
      <c r="A30" s="53" t="n"/>
      <c r="B30" s="48" t="n"/>
      <c r="C30" s="53" t="n"/>
      <c r="D30" s="21" t="n"/>
    </row>
    <row r="31">
      <c r="A31" s="53" t="n"/>
      <c r="B31" s="48" t="n"/>
      <c r="C31" s="53" t="n"/>
      <c r="D31" s="21" t="n"/>
    </row>
    <row r="32">
      <c r="A32" s="53" t="n"/>
      <c r="B32" s="48" t="n"/>
      <c r="C32" s="53" t="n"/>
      <c r="D32" s="21" t="n"/>
    </row>
    <row r="33">
      <c r="A33" s="53" t="n"/>
      <c r="B33" s="48" t="n"/>
      <c r="C33" s="53" t="n"/>
      <c r="D33" s="21" t="n"/>
    </row>
    <row r="34">
      <c r="A34" s="53" t="n"/>
      <c r="B34" s="48" t="n"/>
      <c r="C34" s="53" t="n"/>
      <c r="D34" s="21" t="n"/>
    </row>
    <row r="35">
      <c r="A35" s="53" t="n"/>
      <c r="B35" s="48" t="n"/>
      <c r="C35" s="53" t="n"/>
      <c r="D35" s="21" t="n"/>
    </row>
    <row r="36">
      <c r="A36" s="53" t="n"/>
      <c r="B36" s="48" t="n"/>
      <c r="C36" s="53" t="n"/>
      <c r="D36" s="21" t="n"/>
    </row>
    <row r="37">
      <c r="A37" s="53" t="n"/>
      <c r="B37" s="48" t="n"/>
      <c r="C37" s="53" t="n"/>
      <c r="D37" s="21" t="n"/>
    </row>
    <row r="38">
      <c r="A38" s="53" t="n"/>
      <c r="B38" s="48" t="n"/>
      <c r="C38" s="53" t="n"/>
      <c r="D38" s="21" t="n"/>
    </row>
    <row r="39">
      <c r="A39" s="53" t="n"/>
      <c r="B39" s="48" t="n"/>
      <c r="C39" s="53" t="n"/>
      <c r="D39" s="21" t="n"/>
    </row>
    <row r="40">
      <c r="A40" s="53" t="n"/>
      <c r="B40" s="48" t="n"/>
      <c r="C40" s="53" t="n"/>
      <c r="D40" s="21" t="n"/>
    </row>
    <row r="41">
      <c r="A41" s="53" t="n"/>
      <c r="B41" s="48" t="n"/>
      <c r="C41" s="53" t="n"/>
      <c r="D41" s="21" t="n"/>
    </row>
    <row r="42">
      <c r="A42" s="53" t="n"/>
      <c r="B42" s="48" t="n"/>
      <c r="C42" s="53" t="n"/>
      <c r="D42" s="21" t="n"/>
    </row>
    <row r="43">
      <c r="A43" s="53" t="n"/>
      <c r="B43" s="48" t="n"/>
      <c r="C43" s="53" t="n"/>
      <c r="D43" s="21" t="n"/>
    </row>
    <row r="44">
      <c r="A44" s="53" t="n"/>
      <c r="B44" s="48" t="n"/>
      <c r="C44" s="53" t="n"/>
      <c r="D44" s="21" t="n"/>
    </row>
    <row r="45">
      <c r="A45" s="53" t="n"/>
      <c r="B45" s="48" t="n"/>
      <c r="C45" s="53" t="n"/>
      <c r="D45" s="21" t="n"/>
    </row>
    <row r="46">
      <c r="A46" s="53" t="n"/>
      <c r="B46" s="48" t="n"/>
      <c r="C46" s="53" t="n"/>
      <c r="D46" s="21" t="n"/>
    </row>
    <row r="47">
      <c r="A47" s="53" t="n"/>
      <c r="B47" s="48" t="n"/>
      <c r="C47" s="53" t="n"/>
      <c r="D47" s="21" t="n"/>
    </row>
    <row r="48">
      <c r="A48" s="53" t="n"/>
      <c r="B48" s="48" t="n"/>
      <c r="C48" s="53" t="n"/>
      <c r="D48" s="21" t="n"/>
    </row>
    <row r="49">
      <c r="A49" s="53" t="n"/>
      <c r="B49" s="48" t="n"/>
      <c r="C49" s="53" t="n"/>
      <c r="D49" s="21" t="n"/>
    </row>
    <row r="50">
      <c r="A50" s="53" t="n"/>
      <c r="B50" s="48" t="n"/>
      <c r="C50" s="53" t="n"/>
      <c r="D50" s="21" t="n"/>
    </row>
    <row r="51">
      <c r="A51" s="53" t="n"/>
      <c r="B51" s="48" t="n"/>
      <c r="C51" s="53" t="n"/>
      <c r="D51" s="21" t="n"/>
    </row>
    <row r="52">
      <c r="A52" s="53" t="n"/>
      <c r="B52" s="48" t="n"/>
      <c r="C52" s="53" t="n"/>
      <c r="D52" s="21" t="n"/>
    </row>
    <row r="54" ht="28" customHeight="1">
      <c r="A54" s="26" t="inlineStr">
        <is>
          <t>המקור הוא data/menu/&lt;תאריך&gt;.csv. משימה שכתוב בה {ארוחת ערב}, {סלטים}, {טיש|העוגות} וכו' מקבלת את מה שמוגש באותה ארוחה — כך התפריט וחלוקת העוגות מתעדכנים בכל המשימות בבת אחת.</t>
        </is>
      </c>
    </row>
  </sheetData>
  <mergeCells count="2">
    <mergeCell ref="A1:D1"/>
    <mergeCell ref="A54:D54"/>
  </mergeCells>
  <dataValidations count="1">
    <dataValidation sqref="A3:A52" showDropDown="0" showInputMessage="0" showErrorMessage="0" allowBlank="1" type="list">
      <formula1>"ארוחת ערב,ארוחת צהריים,סלטים,קידוש,סעודה שלישית"</formula1>
    </dataValidation>
  </dataValidations>
  <pageMargins left="0.75" right="0.75" top="1" bottom="1" header="0.5" footer="0.5"/>
  <pageSetup paperSize="9" fitToHeight="0" fitToWidth="1"/>
</worksheet>
</file>

<file path=xl/worksheets/sheet9.xml><?xml version="1.0" encoding="utf-8"?>
<worksheet xmlns="http://schemas.openxmlformats.org/spreadsheetml/2006/main">
  <sheetPr>
    <tabColor rgb="009AA5B1"/>
    <outlinePr summaryBelow="1" summaryRight="1"/>
    <pageSetUpPr fitToPage="1"/>
  </sheetPr>
  <dimension ref="A1:F54"/>
  <sheetViews>
    <sheetView showGridLines="0" rightToLeft="1" workbookViewId="0">
      <pane ySplit="2" topLeftCell="A3" activePane="bottomLeft" state="frozen"/>
      <selection pane="bottomLeft" activeCell="A1" sqref="A1"/>
    </sheetView>
  </sheetViews>
  <sheetFormatPr baseColWidth="8" defaultRowHeight="15"/>
  <cols>
    <col width="16" customWidth="1" min="1" max="1"/>
    <col width="26" customWidth="1" min="2" max="2"/>
    <col width="14" customWidth="1" min="3" max="3"/>
    <col width="14" customWidth="1" min="4" max="4"/>
    <col width="24" customWidth="1" min="5" max="5"/>
    <col width="46" customWidth="1" min="6" max="6"/>
  </cols>
  <sheetData>
    <row r="1" ht="32" customHeight="1">
      <c r="A1" s="39" t="inlineStr">
        <is>
          <t>לוח שבתות — כניסה וצאה</t>
        </is>
      </c>
    </row>
    <row r="2" ht="24" customHeight="1">
      <c r="A2" s="9" t="inlineStr">
        <is>
          <t>תאריך</t>
        </is>
      </c>
      <c r="B2" s="9" t="inlineStr">
        <is>
          <t>פרשה</t>
        </is>
      </c>
      <c r="C2" s="9" t="inlineStr">
        <is>
          <t>כניסת שבת</t>
        </is>
      </c>
      <c r="D2" s="9" t="inlineStr">
        <is>
          <t>צאת שבת</t>
        </is>
      </c>
      <c r="E2" s="9" t="inlineStr">
        <is>
          <t>מקור</t>
        </is>
      </c>
      <c r="F2" s="9" t="inlineStr">
        <is>
          <t>ניתן לעריכה</t>
        </is>
      </c>
    </row>
    <row r="3">
      <c r="A3" s="40" t="n">
        <v>46269</v>
      </c>
      <c r="B3" s="41" t="inlineStr">
        <is>
          <t>נצבים, וילך</t>
        </is>
      </c>
      <c r="C3" s="42" t="n">
        <v>0.7638888888888888</v>
      </c>
      <c r="D3" s="42" t="n">
        <v>0.81875</v>
      </c>
      <c r="E3" s="43" t="inlineStr">
        <is>
          <t>חישוב (ירושלים)</t>
        </is>
      </c>
      <c r="F3" s="44" t="inlineStr">
        <is>
          <t>בשבתות שלנו (data/shabbatot.csv) — הזמנים מאתר ישיבה לכפר אדומים. בשאר — חישוב לירושלים (כניסה 40 דק' לפני השקיעה, צאה 40 דק' אחריה). new_shabbat כותב מחדש את שורת השבת שלו.</t>
        </is>
      </c>
    </row>
    <row r="4">
      <c r="A4" s="40" t="n">
        <v>46276</v>
      </c>
      <c r="B4" s="41" t="inlineStr">
        <is>
          <t>ראש השנה</t>
        </is>
      </c>
      <c r="C4" s="42" t="n">
        <v>0.7576388888888889</v>
      </c>
      <c r="D4" s="42" t="n">
        <v>0.8125</v>
      </c>
      <c r="E4" s="43" t="inlineStr">
        <is>
          <t>חישוב (ירושלים)</t>
        </is>
      </c>
    </row>
    <row r="5">
      <c r="A5" s="40" t="n">
        <v>46283</v>
      </c>
      <c r="B5" s="41" t="inlineStr">
        <is>
          <t>האזינו</t>
        </is>
      </c>
      <c r="C5" s="42" t="n">
        <v>0.7513888888888889</v>
      </c>
      <c r="D5" s="42" t="n">
        <v>0.8055555555555556</v>
      </c>
      <c r="E5" s="43" t="inlineStr">
        <is>
          <t>חישוב (ירושלים)</t>
        </is>
      </c>
    </row>
    <row r="6">
      <c r="A6" s="40" t="n">
        <v>46290</v>
      </c>
      <c r="B6" s="41" t="inlineStr">
        <is>
          <t>סוכות</t>
        </is>
      </c>
      <c r="C6" s="42" t="n">
        <v>0.7451388888888889</v>
      </c>
      <c r="D6" s="42" t="n">
        <v>0.7993055555555556</v>
      </c>
      <c r="E6" s="43" t="inlineStr">
        <is>
          <t>חישוב (ירושלים)</t>
        </is>
      </c>
    </row>
    <row r="7">
      <c r="A7" s="40" t="n">
        <v>46297</v>
      </c>
      <c r="B7" s="41" t="inlineStr">
        <is>
          <t>שמיני עצרת</t>
        </is>
      </c>
      <c r="C7" s="42" t="n">
        <v>0.7388888888888889</v>
      </c>
      <c r="D7" s="42" t="n">
        <v>0.7930555555555555</v>
      </c>
      <c r="E7" s="43" t="inlineStr">
        <is>
          <t>חישוב (ירושלים)</t>
        </is>
      </c>
    </row>
    <row r="8">
      <c r="A8" s="40" t="n">
        <v>46304</v>
      </c>
      <c r="B8" s="41" t="inlineStr">
        <is>
          <t>בראשית</t>
        </is>
      </c>
      <c r="C8" s="42" t="n">
        <v>0.7326388888888888</v>
      </c>
      <c r="D8" s="42" t="n">
        <v>0.7875</v>
      </c>
      <c r="E8" s="43" t="inlineStr">
        <is>
          <t>חישוב (ירושלים)</t>
        </is>
      </c>
    </row>
    <row r="9">
      <c r="A9" s="40" t="n">
        <v>46311</v>
      </c>
      <c r="B9" s="41" t="inlineStr">
        <is>
          <t>נח</t>
        </is>
      </c>
      <c r="C9" s="42" t="n">
        <v>0.7347222222222223</v>
      </c>
      <c r="D9" s="42" t="n">
        <v>0.7784722222222222</v>
      </c>
      <c r="E9" s="43" t="inlineStr">
        <is>
          <t>אתר ישיבה (כפר אדומים)</t>
        </is>
      </c>
    </row>
    <row r="10">
      <c r="A10" s="40" t="n">
        <v>46318</v>
      </c>
      <c r="B10" s="41" t="inlineStr">
        <is>
          <t>לך לך</t>
        </is>
      </c>
      <c r="C10" s="42" t="n">
        <v>0.7215277777777778</v>
      </c>
      <c r="D10" s="42" t="n">
        <v>0.7763888888888889</v>
      </c>
      <c r="E10" s="43" t="inlineStr">
        <is>
          <t>חישוב (ירושלים)</t>
        </is>
      </c>
    </row>
    <row r="11">
      <c r="A11" s="40" t="n">
        <v>46325</v>
      </c>
      <c r="B11" s="41" t="inlineStr">
        <is>
          <t>וירא</t>
        </is>
      </c>
      <c r="C11" s="42" t="n">
        <v>0.6826388888888889</v>
      </c>
      <c r="D11" s="42" t="n">
        <v>0.7277777777777777</v>
      </c>
      <c r="E11" s="43" t="inlineStr">
        <is>
          <t>אתר ישיבה (כפר אדומים)</t>
        </is>
      </c>
    </row>
    <row r="12">
      <c r="A12" s="40" t="n">
        <v>46332</v>
      </c>
      <c r="B12" s="41" t="inlineStr">
        <is>
          <t>חיי שרה</t>
        </is>
      </c>
      <c r="C12" s="42" t="n">
        <v>0.6708333333333333</v>
      </c>
      <c r="D12" s="42" t="n">
        <v>0.7256944444444444</v>
      </c>
      <c r="E12" s="43" t="inlineStr">
        <is>
          <t>חישוב (ירושלים)</t>
        </is>
      </c>
    </row>
    <row r="13">
      <c r="A13" s="40" t="n">
        <v>46339</v>
      </c>
      <c r="B13" s="41" t="inlineStr">
        <is>
          <t>תולדות</t>
        </is>
      </c>
      <c r="C13" s="42" t="n">
        <v>0.6756944444444445</v>
      </c>
      <c r="D13" s="42" t="n">
        <v>0.7208333333333333</v>
      </c>
      <c r="E13" s="43" t="inlineStr">
        <is>
          <t>אתר ישיבה (כפר אדומים)</t>
        </is>
      </c>
    </row>
    <row r="14">
      <c r="A14" s="40" t="n">
        <v>46346</v>
      </c>
      <c r="B14" s="41" t="inlineStr">
        <is>
          <t>ויצא</t>
        </is>
      </c>
      <c r="C14" s="42" t="n">
        <v>0.6652777777777777</v>
      </c>
      <c r="D14" s="42" t="n">
        <v>0.7201388888888889</v>
      </c>
      <c r="E14" s="43" t="inlineStr">
        <is>
          <t>חישוב (ירושלים)</t>
        </is>
      </c>
    </row>
    <row r="15">
      <c r="A15" s="40" t="n">
        <v>46353</v>
      </c>
      <c r="B15" s="41" t="inlineStr">
        <is>
          <t>וישלח</t>
        </is>
      </c>
      <c r="C15" s="42" t="n">
        <v>0.6715277777777777</v>
      </c>
      <c r="D15" s="42" t="n">
        <v>0.7180555555555556</v>
      </c>
      <c r="E15" s="43" t="inlineStr">
        <is>
          <t>אתר ישיבה (כפר אדומים)</t>
        </is>
      </c>
    </row>
    <row r="16">
      <c r="A16" s="40" t="n">
        <v>46360</v>
      </c>
      <c r="B16" s="41" t="inlineStr">
        <is>
          <t>וישב (חנוכה)</t>
        </is>
      </c>
      <c r="C16" s="42" t="n">
        <v>0.6631944444444444</v>
      </c>
      <c r="D16" s="42" t="n">
        <v>0.71875</v>
      </c>
      <c r="E16" s="43" t="inlineStr">
        <is>
          <t>חישוב (ירושלים)</t>
        </is>
      </c>
    </row>
    <row r="17">
      <c r="A17" s="40" t="n">
        <v>46367</v>
      </c>
      <c r="B17" s="41" t="inlineStr">
        <is>
          <t>מקץ (חנוכה)</t>
        </is>
      </c>
      <c r="C17" s="42" t="n">
        <v>0.6638888888888889</v>
      </c>
      <c r="D17" s="42" t="n">
        <v>0.7194444444444444</v>
      </c>
      <c r="E17" s="43" t="inlineStr">
        <is>
          <t>חישוב (ירושלים)</t>
        </is>
      </c>
    </row>
    <row r="18">
      <c r="A18" s="40" t="n">
        <v>46374</v>
      </c>
      <c r="B18" s="41" t="inlineStr">
        <is>
          <t>ויגש</t>
        </is>
      </c>
      <c r="C18" s="42" t="n">
        <v>0.6652777777777777</v>
      </c>
      <c r="D18" s="42" t="n">
        <v>0.7208333333333333</v>
      </c>
      <c r="E18" s="43" t="inlineStr">
        <is>
          <t>חישוב (ירושלים)</t>
        </is>
      </c>
    </row>
    <row r="19">
      <c r="A19" s="40" t="n">
        <v>46381</v>
      </c>
      <c r="B19" s="41" t="inlineStr">
        <is>
          <t>ויחי</t>
        </is>
      </c>
      <c r="C19" s="42" t="n">
        <v>0.6763888888888889</v>
      </c>
      <c r="D19" s="42" t="n">
        <v>0.7236111111111111</v>
      </c>
      <c r="E19" s="43" t="inlineStr">
        <is>
          <t>אתר ישיבה (כפר אדומים)</t>
        </is>
      </c>
    </row>
    <row r="20">
      <c r="A20" s="40" t="n">
        <v>46388</v>
      </c>
      <c r="B20" s="41" t="inlineStr">
        <is>
          <t>שמות</t>
        </is>
      </c>
      <c r="C20" s="42" t="n">
        <v>0.6708333333333333</v>
      </c>
      <c r="D20" s="42" t="n">
        <v>0.7270833333333333</v>
      </c>
      <c r="E20" s="43" t="inlineStr">
        <is>
          <t>חישוב (ירושלים)</t>
        </is>
      </c>
    </row>
    <row r="21">
      <c r="A21" s="40" t="n">
        <v>46395</v>
      </c>
      <c r="B21" s="41" t="inlineStr">
        <is>
          <t>וארא</t>
        </is>
      </c>
      <c r="C21" s="42" t="n">
        <v>0.6833333333333333</v>
      </c>
      <c r="D21" s="42" t="n">
        <v>0.7305555555555555</v>
      </c>
      <c r="E21" s="43" t="inlineStr">
        <is>
          <t>אתר ישיבה (כפר אדומים)</t>
        </is>
      </c>
    </row>
    <row r="22">
      <c r="A22" s="40" t="n">
        <v>46402</v>
      </c>
      <c r="B22" s="41" t="inlineStr">
        <is>
          <t>בא</t>
        </is>
      </c>
      <c r="C22" s="42" t="n">
        <v>0.6791666666666667</v>
      </c>
      <c r="D22" s="42" t="n">
        <v>0.7354166666666667</v>
      </c>
      <c r="E22" s="43" t="inlineStr">
        <is>
          <t>חישוב (ירושלים)</t>
        </is>
      </c>
    </row>
    <row r="23">
      <c r="A23" s="40" t="n">
        <v>46409</v>
      </c>
      <c r="B23" s="41" t="inlineStr">
        <is>
          <t>בשלח (ט״ו בשבט)</t>
        </is>
      </c>
      <c r="C23" s="42" t="n">
        <v>0.6916666666666667</v>
      </c>
      <c r="D23" s="42" t="n">
        <v>0.7381944444444445</v>
      </c>
      <c r="E23" s="43" t="inlineStr">
        <is>
          <t>אתר ישיבה (כפר אדומים)</t>
        </is>
      </c>
    </row>
    <row r="24">
      <c r="A24" s="40" t="n">
        <v>46416</v>
      </c>
      <c r="B24" s="41" t="inlineStr">
        <is>
          <t>יתרו</t>
        </is>
      </c>
      <c r="C24" s="42" t="n">
        <v>0.6875</v>
      </c>
      <c r="D24" s="42" t="n">
        <v>0.74375</v>
      </c>
      <c r="E24" s="43" t="inlineStr">
        <is>
          <t>חישוב (ירושלים)</t>
        </is>
      </c>
    </row>
    <row r="25">
      <c r="A25" s="40" t="n">
        <v>46423</v>
      </c>
      <c r="B25" s="41" t="inlineStr">
        <is>
          <t>משפטים</t>
        </is>
      </c>
      <c r="C25" s="42" t="n">
        <v>0.6923611111111111</v>
      </c>
      <c r="D25" s="42" t="n">
        <v>0.7486111111111111</v>
      </c>
      <c r="E25" s="43" t="inlineStr">
        <is>
          <t>חישוב (ירושלים)</t>
        </is>
      </c>
    </row>
    <row r="26">
      <c r="A26" s="40" t="n">
        <v>46430</v>
      </c>
      <c r="B26" s="41" t="inlineStr">
        <is>
          <t>תרומה</t>
        </is>
      </c>
      <c r="C26" s="42" t="n">
        <v>0.7048611111111112</v>
      </c>
      <c r="D26" s="42" t="n">
        <v>0.7506944444444444</v>
      </c>
      <c r="E26" s="43" t="inlineStr">
        <is>
          <t>אתר ישיבה (כפר אדומים)</t>
        </is>
      </c>
    </row>
    <row r="27">
      <c r="A27" s="40" t="n">
        <v>46437</v>
      </c>
      <c r="B27" s="41" t="inlineStr">
        <is>
          <t>תצוה</t>
        </is>
      </c>
      <c r="C27" s="42" t="n">
        <v>0.7006944444444444</v>
      </c>
      <c r="D27" s="42" t="n">
        <v>0.7569444444444444</v>
      </c>
      <c r="E27" s="43" t="inlineStr">
        <is>
          <t>חישוב (ירושלים)</t>
        </is>
      </c>
    </row>
    <row r="28">
      <c r="A28" s="40" t="n">
        <v>46444</v>
      </c>
      <c r="B28" s="41" t="inlineStr">
        <is>
          <t>כי תשא</t>
        </is>
      </c>
      <c r="C28" s="42" t="n">
        <v>0.7041666666666667</v>
      </c>
      <c r="D28" s="42" t="n">
        <v>0.7604166666666666</v>
      </c>
      <c r="E28" s="43" t="inlineStr">
        <is>
          <t>חישוב (ירושלים)</t>
        </is>
      </c>
    </row>
    <row r="29">
      <c r="A29" s="40" t="n">
        <v>46451</v>
      </c>
      <c r="B29" s="41" t="inlineStr">
        <is>
          <t>ויקהל</t>
        </is>
      </c>
      <c r="C29" s="42" t="n">
        <v>0.7083333333333334</v>
      </c>
      <c r="D29" s="42" t="n">
        <v>0.7638888888888888</v>
      </c>
      <c r="E29" s="43" t="inlineStr">
        <is>
          <t>חישוב (ירושלים)</t>
        </is>
      </c>
    </row>
    <row r="30">
      <c r="A30" s="40" t="n">
        <v>46458</v>
      </c>
      <c r="B30" s="41" t="inlineStr">
        <is>
          <t>פקודי</t>
        </is>
      </c>
      <c r="C30" s="42" t="n">
        <v>0.7118055555555556</v>
      </c>
      <c r="D30" s="42" t="n">
        <v>0.7680555555555556</v>
      </c>
      <c r="E30" s="43" t="inlineStr">
        <is>
          <t>חישוב (ירושלים)</t>
        </is>
      </c>
    </row>
    <row r="31">
      <c r="A31" s="40" t="n">
        <v>46465</v>
      </c>
      <c r="B31" s="41" t="inlineStr">
        <is>
          <t>ויקרא</t>
        </is>
      </c>
      <c r="C31" s="42" t="n">
        <v>0.7152777777777778</v>
      </c>
      <c r="D31" s="42" t="n">
        <v>0.7708333333333334</v>
      </c>
      <c r="E31" s="43" t="inlineStr">
        <is>
          <t>חישוב (ירושלים)</t>
        </is>
      </c>
    </row>
    <row r="32">
      <c r="A32" s="40" t="n">
        <v>46472</v>
      </c>
      <c r="B32" s="41" t="inlineStr">
        <is>
          <t>צו</t>
        </is>
      </c>
      <c r="C32" s="42" t="n">
        <v>0.7597222222222222</v>
      </c>
      <c r="D32" s="42" t="n">
        <v>0.8159722222222222</v>
      </c>
      <c r="E32" s="43" t="inlineStr">
        <is>
          <t>חישוב (ירושלים)</t>
        </is>
      </c>
    </row>
    <row r="33">
      <c r="A33" s="40" t="n">
        <v>46479</v>
      </c>
      <c r="B33" s="41" t="inlineStr">
        <is>
          <t>שמיני</t>
        </is>
      </c>
      <c r="C33" s="42" t="n">
        <v>0.7631944444444444</v>
      </c>
      <c r="D33" s="42" t="n">
        <v>0.8194444444444444</v>
      </c>
      <c r="E33" s="43" t="inlineStr">
        <is>
          <t>חישוב (ירושלים)</t>
        </is>
      </c>
    </row>
    <row r="34">
      <c r="A34" s="40" t="n">
        <v>46486</v>
      </c>
      <c r="B34" s="41" t="inlineStr">
        <is>
          <t>תזריע</t>
        </is>
      </c>
      <c r="C34" s="42" t="n">
        <v>0.7666666666666667</v>
      </c>
      <c r="D34" s="42" t="n">
        <v>0.8222222222222222</v>
      </c>
      <c r="E34" s="43" t="inlineStr">
        <is>
          <t>חישוב (ירושלים)</t>
        </is>
      </c>
    </row>
    <row r="35">
      <c r="A35" s="40" t="n">
        <v>46493</v>
      </c>
      <c r="B35" s="41" t="inlineStr">
        <is>
          <t>מצורע</t>
        </is>
      </c>
      <c r="C35" s="42" t="n">
        <v>0.7701388888888889</v>
      </c>
      <c r="D35" s="42" t="n">
        <v>0.8256944444444444</v>
      </c>
      <c r="E35" s="43" t="inlineStr">
        <is>
          <t>חישוב (ירושלים)</t>
        </is>
      </c>
    </row>
    <row r="36">
      <c r="A36" s="40" t="n">
        <v>46500</v>
      </c>
      <c r="B36" s="41" t="inlineStr">
        <is>
          <t>פסח</t>
        </is>
      </c>
      <c r="C36" s="42" t="n">
        <v>0.7729166666666667</v>
      </c>
      <c r="D36" s="42" t="n">
        <v>0.8291666666666667</v>
      </c>
      <c r="E36" s="43" t="inlineStr">
        <is>
          <t>חישוב (ירושלים)</t>
        </is>
      </c>
    </row>
    <row r="37">
      <c r="A37" s="40" t="n">
        <v>46507</v>
      </c>
      <c r="B37" s="41" t="inlineStr">
        <is>
          <t>אחרי מות</t>
        </is>
      </c>
      <c r="C37" s="42" t="n">
        <v>0.7763888888888889</v>
      </c>
      <c r="D37" s="42" t="n">
        <v>0.8326388888888889</v>
      </c>
      <c r="E37" s="43" t="inlineStr">
        <is>
          <t>חישוב (ירושלים)</t>
        </is>
      </c>
    </row>
    <row r="38">
      <c r="A38" s="40" t="n">
        <v>46514</v>
      </c>
      <c r="B38" s="41" t="inlineStr">
        <is>
          <t>קדושים</t>
        </is>
      </c>
      <c r="C38" s="42" t="n">
        <v>0.7798611111111111</v>
      </c>
      <c r="D38" s="42" t="n">
        <v>0.8361111111111111</v>
      </c>
      <c r="E38" s="43" t="inlineStr">
        <is>
          <t>חישוב (ירושלים)</t>
        </is>
      </c>
    </row>
    <row r="39">
      <c r="A39" s="40" t="n">
        <v>46521</v>
      </c>
      <c r="B39" s="41" t="inlineStr">
        <is>
          <t>אמור</t>
        </is>
      </c>
      <c r="C39" s="42" t="n">
        <v>0.7833333333333333</v>
      </c>
      <c r="D39" s="42" t="n">
        <v>0.8395833333333333</v>
      </c>
      <c r="E39" s="43" t="inlineStr">
        <is>
          <t>חישוב (ירושלים)</t>
        </is>
      </c>
    </row>
    <row r="40">
      <c r="A40" s="40" t="n">
        <v>46528</v>
      </c>
      <c r="B40" s="41" t="inlineStr">
        <is>
          <t>בהר</t>
        </is>
      </c>
      <c r="C40" s="42" t="n">
        <v>0.7868055555555555</v>
      </c>
      <c r="D40" s="42" t="n">
        <v>0.8423611111111111</v>
      </c>
      <c r="E40" s="43" t="inlineStr">
        <is>
          <t>חישוב (ירושלים)</t>
        </is>
      </c>
    </row>
    <row r="41">
      <c r="A41" s="40" t="n">
        <v>46535</v>
      </c>
      <c r="B41" s="41" t="inlineStr">
        <is>
          <t>בחוקותי</t>
        </is>
      </c>
      <c r="C41" s="42" t="n">
        <v>0.7895833333333333</v>
      </c>
      <c r="D41" s="42" t="n">
        <v>0.8458333333333333</v>
      </c>
      <c r="E41" s="43" t="inlineStr">
        <is>
          <t>חישוב (ירושלים)</t>
        </is>
      </c>
    </row>
    <row r="42">
      <c r="A42" s="40" t="n">
        <v>46542</v>
      </c>
      <c r="B42" s="41" t="inlineStr">
        <is>
          <t>במדבר</t>
        </is>
      </c>
      <c r="C42" s="42" t="n">
        <v>0.7923611111111111</v>
      </c>
      <c r="D42" s="42" t="n">
        <v>0.8486111111111111</v>
      </c>
      <c r="E42" s="43" t="inlineStr">
        <is>
          <t>חישוב (ירושלים)</t>
        </is>
      </c>
    </row>
    <row r="43">
      <c r="A43" s="40" t="n">
        <v>46549</v>
      </c>
      <c r="B43" s="41" t="inlineStr">
        <is>
          <t>נשא</t>
        </is>
      </c>
      <c r="C43" s="42" t="n">
        <v>0.7944444444444444</v>
      </c>
      <c r="D43" s="42" t="n">
        <v>0.8506944444444444</v>
      </c>
      <c r="E43" s="43" t="inlineStr">
        <is>
          <t>חישוב (ירושלים)</t>
        </is>
      </c>
    </row>
    <row r="44">
      <c r="A44" s="40" t="n">
        <v>46556</v>
      </c>
      <c r="B44" s="41" t="inlineStr">
        <is>
          <t>בהעלותך</t>
        </is>
      </c>
      <c r="C44" s="42" t="n">
        <v>0.7965277777777777</v>
      </c>
      <c r="D44" s="42" t="n">
        <v>0.8520833333333333</v>
      </c>
      <c r="E44" s="43" t="inlineStr">
        <is>
          <t>חישוב (ירושלים)</t>
        </is>
      </c>
    </row>
    <row r="45">
      <c r="A45" s="40" t="n">
        <v>46563</v>
      </c>
      <c r="B45" s="41" t="inlineStr">
        <is>
          <t>שלח</t>
        </is>
      </c>
      <c r="C45" s="42" t="n">
        <v>0.7972222222222223</v>
      </c>
      <c r="D45" s="42" t="n">
        <v>0.8527777777777777</v>
      </c>
      <c r="E45" s="43" t="inlineStr">
        <is>
          <t>חישוב (ירושלים)</t>
        </is>
      </c>
    </row>
    <row r="46">
      <c r="A46" s="40" t="n">
        <v>46570</v>
      </c>
      <c r="B46" s="41" t="inlineStr">
        <is>
          <t>קרח</t>
        </is>
      </c>
      <c r="C46" s="42" t="n">
        <v>0.7979166666666667</v>
      </c>
      <c r="D46" s="42" t="n">
        <v>0.8534722222222222</v>
      </c>
      <c r="E46" s="43" t="inlineStr">
        <is>
          <t>חישוב (ירושלים)</t>
        </is>
      </c>
    </row>
    <row r="47">
      <c r="A47" s="40" t="n">
        <v>46577</v>
      </c>
      <c r="B47" s="41" t="inlineStr">
        <is>
          <t>חקת</t>
        </is>
      </c>
      <c r="C47" s="42" t="n">
        <v>0.7972222222222223</v>
      </c>
      <c r="D47" s="42" t="n">
        <v>0.8520833333333333</v>
      </c>
      <c r="E47" s="43" t="inlineStr">
        <is>
          <t>חישוב (ירושלים)</t>
        </is>
      </c>
    </row>
    <row r="48">
      <c r="A48" s="40" t="n">
        <v>46584</v>
      </c>
      <c r="B48" s="41" t="inlineStr">
        <is>
          <t>בלק</t>
        </is>
      </c>
      <c r="C48" s="42" t="n">
        <v>0.7958333333333333</v>
      </c>
      <c r="D48" s="42" t="n">
        <v>0.8506944444444444</v>
      </c>
      <c r="E48" s="43" t="inlineStr">
        <is>
          <t>חישוב (ירושלים)</t>
        </is>
      </c>
    </row>
    <row r="49">
      <c r="A49" s="40" t="n">
        <v>46591</v>
      </c>
      <c r="B49" s="41" t="inlineStr">
        <is>
          <t>פינחס</t>
        </is>
      </c>
      <c r="C49" s="42" t="n">
        <v>0.7930555555555555</v>
      </c>
      <c r="D49" s="42" t="n">
        <v>0.8486111111111111</v>
      </c>
      <c r="E49" s="43" t="inlineStr">
        <is>
          <t>חישוב (ירושלים)</t>
        </is>
      </c>
    </row>
    <row r="50">
      <c r="A50" s="40" t="n">
        <v>46598</v>
      </c>
      <c r="B50" s="41" t="inlineStr">
        <is>
          <t>מטות, מסעי</t>
        </is>
      </c>
      <c r="C50" s="42" t="n">
        <v>0.7902777777777777</v>
      </c>
      <c r="D50" s="42" t="n">
        <v>0.8451388888888889</v>
      </c>
      <c r="E50" s="43" t="inlineStr">
        <is>
          <t>חישוב (ירושלים)</t>
        </is>
      </c>
    </row>
    <row r="51">
      <c r="A51" s="40" t="n">
        <v>46605</v>
      </c>
      <c r="B51" s="41" t="inlineStr">
        <is>
          <t>דברים</t>
        </is>
      </c>
      <c r="C51" s="42" t="n">
        <v>0.7861111111111111</v>
      </c>
      <c r="D51" s="42" t="n">
        <v>0.8409722222222222</v>
      </c>
      <c r="E51" s="43" t="inlineStr">
        <is>
          <t>חישוב (ירושלים)</t>
        </is>
      </c>
    </row>
    <row r="52">
      <c r="A52" s="40" t="n">
        <v>46612</v>
      </c>
      <c r="B52" s="41" t="inlineStr">
        <is>
          <t>ואתחנן</t>
        </is>
      </c>
      <c r="C52" s="42" t="n">
        <v>0.78125</v>
      </c>
      <c r="D52" s="42" t="n">
        <v>0.8361111111111111</v>
      </c>
      <c r="E52" s="43" t="inlineStr">
        <is>
          <t>חישוב (ירושלים)</t>
        </is>
      </c>
    </row>
    <row r="53">
      <c r="A53" s="40" t="n">
        <v>46619</v>
      </c>
      <c r="B53" s="41" t="inlineStr">
        <is>
          <t>עקב</t>
        </is>
      </c>
      <c r="C53" s="42" t="n">
        <v>0.7763888888888889</v>
      </c>
      <c r="D53" s="42" t="n">
        <v>0.83125</v>
      </c>
      <c r="E53" s="43" t="inlineStr">
        <is>
          <t>חישוב (ירושלים)</t>
        </is>
      </c>
    </row>
    <row r="54">
      <c r="A54" s="40" t="n">
        <v>46626</v>
      </c>
      <c r="B54" s="41" t="inlineStr">
        <is>
          <t>ראה</t>
        </is>
      </c>
      <c r="C54" s="42" t="n">
        <v>0.7708333333333334</v>
      </c>
      <c r="D54" s="42" t="n">
        <v>0.8256944444444444</v>
      </c>
      <c r="E54" s="43" t="inlineStr">
        <is>
          <t>חישוב (ירושלים)</t>
        </is>
      </c>
    </row>
  </sheetData>
  <mergeCells count="2">
    <mergeCell ref="A1:F1"/>
    <mergeCell ref="F3:F8"/>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2026-10-29T18:28:36Z</dcterms:created>
  <dcterms:modified xsi:type="dcterms:W3CDTF">2026-10-29T18:28:38Z</dcterms:modified>
</cp:coreProperties>
</file>