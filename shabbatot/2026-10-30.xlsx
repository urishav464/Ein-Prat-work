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61">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46325</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45" t="inlineStr">
        <is>
          <t>שישי</t>
        </is>
      </c>
      <c r="B7" s="46" t="n">
        <v>0.3333333333333333</v>
      </c>
      <c r="C7" s="47" t="inlineStr">
        <is>
          <t>תחילת עבודה</t>
        </is>
      </c>
      <c r="D7" s="48" t="n"/>
      <c r="E7" s="21" t="inlineStr">
        <is>
          <t>הפרשת חלה 8:00</t>
        </is>
      </c>
      <c r="F7" s="49" t="n">
        <v>0.3333333333333333</v>
      </c>
      <c r="G7" s="50">
        <f>IF(C7="","",COUNTIF('משימות'!$I$3:$I$122,C7))</f>
        <v/>
      </c>
    </row>
    <row r="8" ht="22" customHeight="1">
      <c r="A8" s="45" t="inlineStr">
        <is>
          <t>שישי</t>
        </is>
      </c>
      <c r="B8" s="46" t="n">
        <v>0.5</v>
      </c>
      <c r="C8" s="47" t="inlineStr">
        <is>
          <t>ארוחת צהריים</t>
        </is>
      </c>
      <c r="D8" s="48" t="n"/>
      <c r="E8" s="21" t="n"/>
      <c r="F8" s="49" t="n">
        <v>0.5</v>
      </c>
      <c r="G8" s="50">
        <f>IF(C8="","",COUNTIF('משימות'!$I$3:$I$122,C8))</f>
        <v/>
      </c>
    </row>
    <row r="9" ht="22" customHeight="1">
      <c r="A9" s="45" t="inlineStr">
        <is>
          <t>שישי</t>
        </is>
      </c>
      <c r="B9" s="46" t="n">
        <v>0.6631944444444444</v>
      </c>
      <c r="C9" s="47" t="inlineStr">
        <is>
          <t>קבלת שבת ישראלית</t>
        </is>
      </c>
      <c r="D9" s="48" t="inlineStr">
        <is>
          <t>המצפה (בגשם: חדר האוכל)</t>
        </is>
      </c>
      <c r="E9" s="21" t="n"/>
      <c r="F9" s="49">
        <f>IF($B$4="","",ROUND(($B$4-TIME(0,30,0))*288,0)/288)</f>
        <v/>
      </c>
      <c r="G9" s="50">
        <f>IF(C9="","",COUNTIF('משימות'!$I$3:$I$122,C9))</f>
        <v/>
      </c>
    </row>
    <row r="10" ht="22" customHeight="1">
      <c r="A10" s="45" t="inlineStr">
        <is>
          <t>שישי</t>
        </is>
      </c>
      <c r="B10" s="46" t="n">
        <v>0.6826388888888889</v>
      </c>
      <c r="C10" s="47" t="inlineStr">
        <is>
          <t>הדלקת נרות</t>
        </is>
      </c>
      <c r="D10" s="48" t="n"/>
      <c r="E10" s="21" t="n"/>
      <c r="F10" s="49">
        <f>IF($B$4="","",$B$4)</f>
        <v/>
      </c>
      <c r="G10" s="50">
        <f>IF(C10="","",COUNTIF('משימות'!$I$3:$I$122,C10))</f>
        <v/>
      </c>
    </row>
    <row r="11" ht="22" customHeight="1">
      <c r="A11" s="45" t="inlineStr">
        <is>
          <t>שישי</t>
        </is>
      </c>
      <c r="B11" s="46" t="n">
        <v>0.6909722222222222</v>
      </c>
      <c r="C11" s="47" t="inlineStr">
        <is>
          <t>קבלת שבת וערבית</t>
        </is>
      </c>
      <c r="D11" s="48" t="inlineStr">
        <is>
          <t>בית מיכאל</t>
        </is>
      </c>
      <c r="E11" s="21" t="n"/>
      <c r="F11" s="49">
        <f>IF($B$4="","",ROUND(($B$4+TIME(0,10,0))*288,0)/288)</f>
        <v/>
      </c>
      <c r="G11" s="50">
        <f>IF(C11="","",COUNTIF('משימות'!$I$3:$I$122,C11))</f>
        <v/>
      </c>
    </row>
    <row r="12" ht="22" customHeight="1">
      <c r="A12" s="45" t="inlineStr">
        <is>
          <t>שישי</t>
        </is>
      </c>
      <c r="B12" s="46" t="n">
        <v>0.7916666666666666</v>
      </c>
      <c r="C12" s="47" t="inlineStr">
        <is>
          <t>סעודת שבת</t>
        </is>
      </c>
      <c r="D12" s="48" t="inlineStr">
        <is>
          <t>חדר אוכל</t>
        </is>
      </c>
      <c r="E12" s="21" t="n"/>
      <c r="F12" s="49">
        <f>IF($B$4="","",MAX(TIME(19,0,0),ROUNDUP(ROUND(($B$4+TIME(1,45,0))*1440,0)/15,0)*15/1440))</f>
        <v/>
      </c>
      <c r="G12" s="50">
        <f>IF(C12="","",COUNTIF('משימות'!$I$3:$I$122,C12))</f>
        <v/>
      </c>
    </row>
    <row r="13" ht="22" customHeight="1">
      <c r="A13" s="45" t="inlineStr">
        <is>
          <t>שישי</t>
        </is>
      </c>
      <c r="B13" s="46" t="n">
        <v>0.8541666666666666</v>
      </c>
      <c r="C13" s="47" t="inlineStr">
        <is>
          <t>טיש</t>
        </is>
      </c>
      <c r="D13" s="48" t="inlineStr">
        <is>
          <t>חדר אוכל</t>
        </is>
      </c>
      <c r="E13" s="21" t="inlineStr">
        <is>
          <t>מעביר/ה: הילה</t>
        </is>
      </c>
      <c r="F13" s="49">
        <f>IF($F$12="","",ROUND(($F$12+TIME(1,30,0))*288,0)/288)</f>
        <v/>
      </c>
      <c r="G13" s="50">
        <f>IF(C13="","",COUNTIF('משימות'!$I$3:$I$122,C13))</f>
        <v/>
      </c>
    </row>
    <row r="14" ht="22" customHeight="1">
      <c r="A14" s="45" t="inlineStr">
        <is>
          <t>שישי</t>
        </is>
      </c>
      <c r="B14" s="46" t="n">
        <v>0.90625</v>
      </c>
      <c r="C14" s="47" t="inlineStr">
        <is>
          <t>ערב חברה</t>
        </is>
      </c>
      <c r="D14" s="48" t="inlineStr">
        <is>
          <t>חדר אוכל</t>
        </is>
      </c>
      <c r="E14" s="21" t="inlineStr">
        <is>
          <t>משחק, ולהביא משחקי קופסא לחדר האוכל</t>
        </is>
      </c>
      <c r="F14" s="49">
        <f>IF($F$13="","",ROUND(($F$13+TIME(1,15,0))*288,0)/288)</f>
        <v/>
      </c>
      <c r="G14" s="50">
        <f>IF(C14="","",COUNTIF('משימות'!$I$3:$I$122,C14))</f>
        <v/>
      </c>
    </row>
    <row r="15" ht="22" customHeight="1">
      <c r="A15" s="51" t="inlineStr">
        <is>
          <t>שבת</t>
        </is>
      </c>
      <c r="B15" s="46" t="n">
        <v>0.4583333333333333</v>
      </c>
      <c r="C15" s="47" t="inlineStr">
        <is>
          <t>קידוש</t>
        </is>
      </c>
      <c r="D15" s="48" t="inlineStr">
        <is>
          <t>חדר אוכל</t>
        </is>
      </c>
      <c r="E15" s="21" t="n"/>
      <c r="F15" s="49" t="n">
        <v>0.4583333333333333</v>
      </c>
      <c r="G15" s="50">
        <f>IF(C15="","",COUNTIF('משימות'!$I$3:$I$122,C15))</f>
        <v/>
      </c>
    </row>
    <row r="16" ht="22" customHeight="1">
      <c r="A16" s="51" t="inlineStr">
        <is>
          <t>שבת</t>
        </is>
      </c>
      <c r="B16" s="46" t="n">
        <v>0.4895833333333333</v>
      </c>
      <c r="C16" s="47" t="inlineStr">
        <is>
          <t>חבורות</t>
        </is>
      </c>
      <c r="D16" s="48" t="n"/>
      <c r="E16" s="21" t="n"/>
      <c r="F16" s="49" t="n">
        <v>0.4895833333333333</v>
      </c>
      <c r="G16" s="50">
        <f>IF(C16="","",COUNTIF('משימות'!$I$3:$I$122,C16))</f>
        <v/>
      </c>
    </row>
    <row r="17" ht="22" customHeight="1">
      <c r="A17" s="51" t="inlineStr">
        <is>
          <t>שבת</t>
        </is>
      </c>
      <c r="B17" s="46" t="n">
        <v>0.5520833333333334</v>
      </c>
      <c r="C17" s="47" t="inlineStr">
        <is>
          <t>ארוחת צהריים</t>
        </is>
      </c>
      <c r="D17" s="48" t="inlineStr">
        <is>
          <t>חדר אוכל</t>
        </is>
      </c>
      <c r="E17" s="21" t="n"/>
      <c r="F17" s="49" t="n">
        <v>0.5520833333333334</v>
      </c>
      <c r="G17" s="50">
        <f>IF(C17="","",COUNTIF('משימות'!$I$3:$I$122,C17))</f>
        <v/>
      </c>
    </row>
    <row r="18" ht="22" customHeight="1">
      <c r="A18" s="51" t="inlineStr">
        <is>
          <t>שבת</t>
        </is>
      </c>
      <c r="B18" s="46" t="n">
        <v>0.6458333333333334</v>
      </c>
      <c r="C18" s="47" t="inlineStr">
        <is>
          <t>שיעור של אורי</t>
        </is>
      </c>
      <c r="D18" s="48" t="inlineStr">
        <is>
          <t>בית המדרש</t>
        </is>
      </c>
      <c r="E18" s="21" t="n"/>
      <c r="F18" s="49" t="n">
        <v>0.6458333333333334</v>
      </c>
      <c r="G18" s="50">
        <f>IF(C18="","",COUNTIF('משימות'!$I$3:$I$122,C18))</f>
        <v/>
      </c>
    </row>
    <row r="19" ht="22" customHeight="1">
      <c r="A19" s="51" t="inlineStr">
        <is>
          <t>שבת</t>
        </is>
      </c>
      <c r="B19" s="46" t="n">
        <v>0.6875</v>
      </c>
      <c r="C19" s="47" t="inlineStr">
        <is>
          <t>סעודה שלישית</t>
        </is>
      </c>
      <c r="D19" s="48" t="inlineStr">
        <is>
          <t>חדר אוכל</t>
        </is>
      </c>
      <c r="E19" s="21" t="inlineStr">
        <is>
          <t>דבר תורה, עוגות, ושירה · מעבירים: תמר</t>
        </is>
      </c>
      <c r="F19" s="49" t="n">
        <v>0.6875</v>
      </c>
      <c r="G19" s="50">
        <f>IF(C19="","",COUNTIF('משימות'!$I$3:$I$122,C19))</f>
        <v/>
      </c>
    </row>
    <row r="20" ht="22" customHeight="1">
      <c r="A20" s="51" t="inlineStr">
        <is>
          <t>שבת</t>
        </is>
      </c>
      <c r="B20" s="46" t="n">
        <v>0.7277777777777777</v>
      </c>
      <c r="C20" s="47" t="inlineStr">
        <is>
          <t>הבדלה</t>
        </is>
      </c>
      <c r="D20" s="48" t="n"/>
      <c r="E20" s="21" t="n"/>
      <c r="F20" s="49">
        <f>IF($D$4="","",$D$4)</f>
        <v/>
      </c>
      <c r="G20" s="50">
        <f>IF(C20="","",COUNTIF('משימות'!$I$3:$I$122,C20))</f>
        <v/>
      </c>
    </row>
    <row r="21" ht="22" customHeight="1">
      <c r="A21" s="51" t="inlineStr">
        <is>
          <t>שבת</t>
        </is>
      </c>
      <c r="B21" s="46" t="n">
        <v>0.75</v>
      </c>
      <c r="C21" s="47" t="inlineStr">
        <is>
          <t>ניקיונות מוצ"ש</t>
        </is>
      </c>
      <c r="D21" s="48" t="inlineStr">
        <is>
          <t>בית המדרש וחדר האוכל</t>
        </is>
      </c>
      <c r="E21" s="21" t="n"/>
      <c r="F21" s="49">
        <f>IF($D$4="","",ROUNDUP(ROUND(($D$4+TIME(0,20,0))*1440,0)/15,0)*15/1440)</f>
        <v/>
      </c>
      <c r="G21" s="50">
        <f>IF(C21="","",COUNTIF('משימות'!$I$3:$I$122,C21))</f>
        <v/>
      </c>
    </row>
    <row r="22" ht="22" customHeight="1">
      <c r="A22" s="51" t="inlineStr">
        <is>
          <t>שבת</t>
        </is>
      </c>
      <c r="B22" s="46" t="n">
        <v>0.8020833333333334</v>
      </c>
      <c r="C22" s="47" t="inlineStr">
        <is>
          <t>ארוחת ערב מוצ"ש</t>
        </is>
      </c>
      <c r="D22" s="48" t="inlineStr">
        <is>
          <t>חדר אוכל</t>
        </is>
      </c>
      <c r="E22" s="21" t="n"/>
      <c r="F22" s="49">
        <f>IF($F$21="","",ROUND(($F$21+TIME(1,15,0))*288,0)/288)</f>
        <v/>
      </c>
      <c r="G22" s="50">
        <f>IF(C22="","",COUNTIF('משימות'!$I$3:$I$122,C22))</f>
        <v/>
      </c>
    </row>
    <row r="23" ht="22" customHeight="1">
      <c r="A23" s="51" t="inlineStr">
        <is>
          <t>שבת</t>
        </is>
      </c>
      <c r="B23" s="46" t="n">
        <v>0.8229166666666666</v>
      </c>
      <c r="C23" s="47" t="inlineStr">
        <is>
          <t>כריכה לכריכה בתנ"ך עם אבישי</t>
        </is>
      </c>
      <c r="D23" s="48" t="inlineStr">
        <is>
          <t>ספריית שבייד</t>
        </is>
      </c>
      <c r="E23" s="21" t="inlineStr">
        <is>
          <t>הושע 2 (ז–יד)</t>
        </is>
      </c>
      <c r="F23" s="49">
        <f>IF($F$22="","",ROUND(($F$22+TIME(0,30,0))*288,0)/288)</f>
        <v/>
      </c>
      <c r="G23" s="50">
        <f>IF(C23="","",COUNTIF('משימות'!$I$3:$I$122,C23))</f>
        <v/>
      </c>
    </row>
    <row r="24" ht="22" customHeight="1">
      <c r="A24" s="52" t="n"/>
      <c r="B24" s="46" t="n"/>
      <c r="C24" s="47" t="n"/>
      <c r="D24" s="48" t="n"/>
      <c r="E24" s="21" t="n"/>
      <c r="F24" s="49" t="n"/>
      <c r="G24" s="50">
        <f>IF(C24="","",COUNTIF('משימות'!$I$3:$I$122,C24))</f>
        <v/>
      </c>
    </row>
    <row r="25" ht="22" customHeight="1">
      <c r="A25" s="52" t="n"/>
      <c r="B25" s="46" t="n"/>
      <c r="C25" s="47" t="n"/>
      <c r="D25" s="48" t="n"/>
      <c r="E25" s="21" t="n"/>
      <c r="F25" s="49" t="n"/>
      <c r="G25" s="50">
        <f>IF(C25="","",COUNTIF('משימות'!$I$3:$I$122,C25))</f>
        <v/>
      </c>
    </row>
    <row r="26" ht="22" customHeight="1">
      <c r="A26" s="52" t="n"/>
      <c r="B26" s="46" t="n"/>
      <c r="C26" s="47" t="n"/>
      <c r="D26" s="48" t="n"/>
      <c r="E26" s="21" t="n"/>
      <c r="F26" s="49" t="n"/>
      <c r="G26" s="50">
        <f>IF(C26="","",COUNTIF('משימות'!$I$3:$I$122,C26))</f>
        <v/>
      </c>
    </row>
    <row r="27" ht="22" customHeight="1">
      <c r="A27" s="52" t="n"/>
      <c r="B27" s="46" t="n"/>
      <c r="C27" s="47" t="n"/>
      <c r="D27" s="48" t="n"/>
      <c r="E27" s="21" t="n"/>
      <c r="F27" s="49" t="n"/>
      <c r="G27" s="50">
        <f>IF(C27="","",COUNTIF('משימות'!$I$3:$I$122,C27))</f>
        <v/>
      </c>
    </row>
    <row r="28" ht="22" customHeight="1">
      <c r="A28" s="52" t="n"/>
      <c r="B28" s="46" t="n"/>
      <c r="C28" s="47" t="n"/>
      <c r="D28" s="48" t="n"/>
      <c r="E28" s="21" t="n"/>
      <c r="F28" s="49" t="n"/>
      <c r="G28" s="50">
        <f>IF(C28="","",COUNTIF('משימות'!$I$3:$I$122,C28))</f>
        <v/>
      </c>
    </row>
    <row r="29" ht="22" customHeight="1">
      <c r="A29" s="52" t="n"/>
      <c r="B29" s="46" t="n"/>
      <c r="C29" s="47" t="n"/>
      <c r="D29" s="48" t="n"/>
      <c r="E29" s="21" t="n"/>
      <c r="F29" s="49" t="n"/>
      <c r="G29" s="50">
        <f>IF(C29="","",COUNTIF('משימות'!$I$3:$I$122,C29))</f>
        <v/>
      </c>
    </row>
    <row r="30" ht="22" customHeight="1">
      <c r="A30" s="52" t="n"/>
      <c r="B30" s="46" t="n"/>
      <c r="C30" s="47" t="n"/>
      <c r="D30" s="48" t="n"/>
      <c r="E30" s="21" t="n"/>
      <c r="F30" s="49" t="n"/>
      <c r="G30" s="50">
        <f>IF(C30="","",COUNTIF('משימות'!$I$3:$I$122,C30))</f>
        <v/>
      </c>
    </row>
    <row r="31" ht="22" customHeight="1">
      <c r="A31" s="52" t="n"/>
      <c r="B31" s="46" t="n"/>
      <c r="C31" s="47" t="n"/>
      <c r="D31" s="48" t="n"/>
      <c r="E31" s="21" t="n"/>
      <c r="F31" s="49" t="n"/>
      <c r="G31" s="50">
        <f>IF(C31="","",COUNTIF('משימות'!$I$3:$I$122,C31))</f>
        <v/>
      </c>
    </row>
    <row r="32" ht="22" customHeight="1">
      <c r="A32" s="52" t="n"/>
      <c r="B32" s="46" t="n"/>
      <c r="C32" s="47" t="n"/>
      <c r="D32" s="48" t="n"/>
      <c r="E32" s="21" t="n"/>
      <c r="F32" s="49" t="n"/>
      <c r="G32" s="50">
        <f>IF(C32="","",COUNTIF('משימות'!$I$3:$I$122,C32))</f>
        <v/>
      </c>
    </row>
    <row r="33" ht="22" customHeight="1">
      <c r="A33" s="52" t="n"/>
      <c r="B33" s="46" t="n"/>
      <c r="C33" s="47" t="n"/>
      <c r="D33" s="48" t="n"/>
      <c r="E33" s="21" t="n"/>
      <c r="F33" s="49" t="n"/>
      <c r="G33" s="50">
        <f>IF(C33="","",COUNTIF('משימות'!$I$3:$I$122,C33))</f>
        <v/>
      </c>
    </row>
    <row r="34" ht="22" customHeight="1">
      <c r="A34" s="52" t="n"/>
      <c r="B34" s="46" t="n"/>
      <c r="C34" s="47" t="n"/>
      <c r="D34" s="48" t="n"/>
      <c r="E34" s="21" t="n"/>
      <c r="F34" s="49" t="n"/>
      <c r="G34" s="50">
        <f>IF(C34="","",COUNTIF('משימות'!$I$3:$I$122,C34))</f>
        <v/>
      </c>
    </row>
    <row r="35" ht="22" customHeight="1">
      <c r="A35" s="52" t="n"/>
      <c r="B35" s="46" t="n"/>
      <c r="C35" s="47" t="n"/>
      <c r="D35" s="48" t="n"/>
      <c r="E35" s="21" t="n"/>
      <c r="F35" s="49" t="n"/>
      <c r="G35" s="50">
        <f>IF(C35="","",COUNTIF('משימות'!$I$3:$I$122,C35))</f>
        <v/>
      </c>
    </row>
    <row r="36" ht="22" customHeight="1">
      <c r="A36" s="52" t="n"/>
      <c r="B36" s="46" t="n"/>
      <c r="C36" s="47" t="n"/>
      <c r="D36" s="48" t="n"/>
      <c r="E36" s="21" t="n"/>
      <c r="F36" s="49" t="n"/>
      <c r="G36" s="50">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53" t="inlineStr">
        <is>
          <t>הכנות שישי</t>
        </is>
      </c>
      <c r="B3" s="54" t="inlineStr">
        <is>
          <t>שישי</t>
        </is>
      </c>
      <c r="C3" s="55" t="n">
        <v>0.2916666666666667</v>
      </c>
      <c r="D3" s="48" t="inlineStr">
        <is>
          <t>חלות</t>
        </is>
      </c>
      <c r="E3" s="21" t="inlineStr">
        <is>
          <t>חלות — 10 ק"ג קמח</t>
        </is>
      </c>
      <c r="F3" s="53" t="n">
        <v>3</v>
      </c>
      <c r="G3" s="31" t="inlineStr">
        <is>
          <t>פנחס אליהו גלוסקין, ליעם גבע, אריאלה מרכוס</t>
        </is>
      </c>
      <c r="H3" s="48" t="inlineStr">
        <is>
          <t>חלות</t>
        </is>
      </c>
      <c r="I3" s="48" t="inlineStr">
        <is>
          <t>תחילת עבודה</t>
        </is>
      </c>
      <c r="J3" s="21" t="inlineStr">
        <is>
          <t>לעטוף בנייר אלומיניום, לרשום שנה ב', ולשלוח למעיין כמה עוגות יצאו
מקום אחסון בסיום: שולחן מיועד בחדר אוכל</t>
        </is>
      </c>
    </row>
    <row r="4" ht="30" customHeight="1">
      <c r="A4" s="53" t="inlineStr">
        <is>
          <t>הכנות שישי</t>
        </is>
      </c>
      <c r="B4" s="54" t="inlineStr">
        <is>
          <t>שישי</t>
        </is>
      </c>
      <c r="C4" s="55" t="n">
        <v>0.3645833333333333</v>
      </c>
      <c r="D4" s="48" t="inlineStr">
        <is>
          <t>בראוניז ללא גלוטן</t>
        </is>
      </c>
      <c r="E4" s="21" t="inlineStr">
        <is>
          <t>בראוניז ללא גלוטן — כ-600 גרם שוקולד</t>
        </is>
      </c>
      <c r="F4" s="53" t="n">
        <v>0</v>
      </c>
      <c r="G4" s="31" t="n"/>
      <c r="H4" s="48" t="inlineStr">
        <is>
          <t>בראוניז ללא גלוטן</t>
        </is>
      </c>
      <c r="I4" s="48" t="inlineStr">
        <is>
          <t>תחילת עבודה</t>
        </is>
      </c>
      <c r="J4" s="21" t="inlineStr">
        <is>
          <t>לעטוף בנייר אלומיניום ולרשום שנה ב (ולל"ג), ולשלוח למעיין כמה עוגיות יצאו
מקום אחסון בסיום: מקרר</t>
        </is>
      </c>
    </row>
    <row r="5" ht="30" customHeight="1">
      <c r="A5" s="53" t="inlineStr">
        <is>
          <t>הכנות שישי</t>
        </is>
      </c>
      <c r="B5" s="54" t="inlineStr">
        <is>
          <t>שישי</t>
        </is>
      </c>
      <c r="C5" s="55" t="n">
        <v>0.3333333333333333</v>
      </c>
      <c r="D5" s="48" t="inlineStr">
        <is>
          <t>עוגת שוקולד</t>
        </is>
      </c>
      <c r="E5" s="21" t="inlineStr">
        <is>
          <t>עוגת שוקולד — 12 עוגות אינגליש קייק</t>
        </is>
      </c>
      <c r="F5" s="53" t="n">
        <v>2</v>
      </c>
      <c r="G5" s="31" t="inlineStr">
        <is>
          <t>יותם ספיר, ניצן גמלא</t>
        </is>
      </c>
      <c r="H5" s="48" t="inlineStr">
        <is>
          <t>עוגת שוקולד</t>
        </is>
      </c>
      <c r="I5" s="48" t="inlineStr">
        <is>
          <t>תחילת עבודה</t>
        </is>
      </c>
      <c r="J5" s="21" t="inlineStr">
        <is>
          <t>לעטוף בנייר אלומיניום ולרשום שנה ב, ולשלוח למעיין כמה עוגות יצאו
מקום אחסון בסיום: שולחן מיועד בחדר אוכל</t>
        </is>
      </c>
    </row>
    <row r="6" ht="30" customHeight="1">
      <c r="A6" s="53" t="inlineStr">
        <is>
          <t>הכנות שישי</t>
        </is>
      </c>
      <c r="B6" s="54" t="inlineStr">
        <is>
          <t>שישי</t>
        </is>
      </c>
      <c r="C6" s="55" t="n">
        <v>0.3333333333333333</v>
      </c>
      <c r="D6" s="48" t="inlineStr">
        <is>
          <t>עוגת שמרים</t>
        </is>
      </c>
      <c r="E6" s="21" t="inlineStr">
        <is>
          <t>עוגת שמרים — 12 עוגות אינגליש קייק</t>
        </is>
      </c>
      <c r="F6" s="53" t="n">
        <v>3</v>
      </c>
      <c r="G6" s="31" t="inlineStr">
        <is>
          <t>הלל פינגולד, ליבי בוכריס, מעיין רחל דינר</t>
        </is>
      </c>
      <c r="H6" s="48" t="inlineStr">
        <is>
          <t>עוגת שמרים</t>
        </is>
      </c>
      <c r="I6" s="48" t="inlineStr">
        <is>
          <t>תחילת עבודה</t>
        </is>
      </c>
      <c r="J6" s="21" t="inlineStr">
        <is>
          <t>לעטוף בנייר אלומיניום ולרשום שנה ב, ולשלוח למעיין כמה עוגות יצאו
מקום אחסון בסיום: שולחן מיועד בחדר אוכל</t>
        </is>
      </c>
    </row>
    <row r="7" ht="30" customHeight="1">
      <c r="A7" s="53" t="inlineStr">
        <is>
          <t>הכנות שישי</t>
        </is>
      </c>
      <c r="B7" s="54" t="inlineStr">
        <is>
          <t>שישי</t>
        </is>
      </c>
      <c r="C7" s="55" t="n">
        <v>0.3333333333333333</v>
      </c>
      <c r="D7" s="48" t="inlineStr">
        <is>
          <t>מטבוחה</t>
        </is>
      </c>
      <c r="E7" s="21" t="inlineStr">
        <is>
          <t>מטבוחה — 100 עגבניות</t>
        </is>
      </c>
      <c r="F7" s="53" t="n">
        <v>4</v>
      </c>
      <c r="G7" s="31" t="inlineStr">
        <is>
          <t>טליה קור, נועם ישראל קומפאס, של״ו רובינשטיין, הילי אלפסי</t>
        </is>
      </c>
      <c r="H7" s="48" t="inlineStr">
        <is>
          <t>מטבוחה</t>
        </is>
      </c>
      <c r="I7" s="48" t="inlineStr">
        <is>
          <t>תחילת עבודה</t>
        </is>
      </c>
      <c r="J7" s="21" t="inlineStr">
        <is>
          <t>לעטוף בנייר אלומיניום ולרשום שנה ב
מקום אחסון בסיום: מקרר</t>
        </is>
      </c>
    </row>
    <row r="8" ht="30" customHeight="1">
      <c r="A8" s="53" t="inlineStr">
        <is>
          <t>הכנות שישי</t>
        </is>
      </c>
      <c r="B8" s="54" t="inlineStr">
        <is>
          <t>שישי</t>
        </is>
      </c>
      <c r="C8" s="55" t="n">
        <v>0.3645833333333333</v>
      </c>
      <c r="D8" s="48" t="inlineStr">
        <is>
          <t>סלט חצילים</t>
        </is>
      </c>
      <c r="E8" s="21" t="inlineStr">
        <is>
          <t>סלט חצילים — 10 חצילים</t>
        </is>
      </c>
      <c r="F8" s="53" t="n">
        <v>0</v>
      </c>
      <c r="G8" s="31" t="n"/>
      <c r="H8" s="48" t="inlineStr">
        <is>
          <t>סלט חצילים</t>
        </is>
      </c>
      <c r="I8" s="48" t="inlineStr">
        <is>
          <t>תחילת עבודה</t>
        </is>
      </c>
      <c r="J8" s="21" t="inlineStr">
        <is>
          <t>לעטוף בנייר אלומיניום ולרשום שנה ב
מקום אחסון בסיום: במקרר</t>
        </is>
      </c>
    </row>
    <row r="9" ht="30" customHeight="1">
      <c r="A9" s="53" t="inlineStr">
        <is>
          <t>הכנות שישי</t>
        </is>
      </c>
      <c r="B9" s="54" t="inlineStr">
        <is>
          <t>שישי</t>
        </is>
      </c>
      <c r="C9" s="55" t="n">
        <v>0.3333333333333333</v>
      </c>
      <c r="D9" s="48" t="inlineStr">
        <is>
          <t>עוגיות שוקולד צ'יפס</t>
        </is>
      </c>
      <c r="E9" s="21" t="inlineStr">
        <is>
          <t>עוגיות שוקולד צ'יפס — 80 עוגיות</t>
        </is>
      </c>
      <c r="F9" s="53" t="n">
        <v>2</v>
      </c>
      <c r="G9" s="31" t="inlineStr">
        <is>
          <t>הדר עמדי, שי- לי וולגמוט</t>
        </is>
      </c>
      <c r="H9" s="48" t="inlineStr">
        <is>
          <t>עוגיות שוקולד צ'יפס</t>
        </is>
      </c>
      <c r="I9" s="48" t="inlineStr">
        <is>
          <t>תחילת עבודה</t>
        </is>
      </c>
      <c r="J9" s="21" t="inlineStr">
        <is>
          <t>לעטוף בנייר אלומיניום ולרשום שנה ב, ולשלוח למעיין כמה עוגיות יצאו
מקום אחסון בסיום: שולחן מיועד בחדר אוכל</t>
        </is>
      </c>
    </row>
    <row r="10" ht="30" customHeight="1">
      <c r="A10" s="53" t="inlineStr">
        <is>
          <t>הכנות שישי</t>
        </is>
      </c>
      <c r="B10" s="54" t="inlineStr">
        <is>
          <t>שישי</t>
        </is>
      </c>
      <c r="C10" s="55" t="n">
        <v>0.3333333333333333</v>
      </c>
      <c r="D10" s="48" t="inlineStr">
        <is>
          <t>ארוחת צהריים שישי</t>
        </is>
      </c>
      <c r="E10" s="21" t="inlineStr">
        <is>
          <t>ארוחת צהריים שישי — שקשוקה ולחם</t>
        </is>
      </c>
      <c r="F10" s="53" t="n">
        <v>4</v>
      </c>
      <c r="G10" s="31" t="inlineStr">
        <is>
          <t>הילה עזרא, רותם דרור, שחר מרקוביץ' גליק, רוני פרנקל</t>
        </is>
      </c>
      <c r="H10" s="48" t="inlineStr">
        <is>
          <t>שקשוקה ולחם</t>
        </is>
      </c>
      <c r="I10" s="48" t="inlineStr">
        <is>
          <t>תחילת עבודה</t>
        </is>
      </c>
      <c r="J10" s="21" t="n"/>
    </row>
    <row r="11" ht="90" customHeight="1">
      <c r="A11" s="53" t="inlineStr">
        <is>
          <t>תורנות מוצ"ש</t>
        </is>
      </c>
      <c r="B11" s="56" t="inlineStr">
        <is>
          <t>מוצאי שבת</t>
        </is>
      </c>
      <c r="C11" s="55" t="n"/>
      <c r="D11" s="48" t="inlineStr">
        <is>
          <t>ניקיון חדר האוכל במוצ"ש</t>
        </is>
      </c>
      <c r="E11" s="21" t="inlineStr">
        <is>
          <t>שטיפת הגסטרונומים
שטיפת הרצפה
ניקוי המטבח
ניקוי חדר המקררים
זריקת הפחים
פינוי התנורים</t>
        </is>
      </c>
      <c r="F11" s="53" t="n">
        <v>10</v>
      </c>
      <c r="G11" s="31" t="inlineStr">
        <is>
          <t>שירה ספונוב, אביה וייל, יואב אוחנה, זואי כהן, משה אוברשטיין, עמית סיילס, אלה גוטליב, מאיה פקטר, שילת פילפל, שחר קרן</t>
        </is>
      </c>
      <c r="H11" s="48" t="n"/>
      <c r="I11" s="48" t="inlineStr">
        <is>
          <t>ניקיונות מוצ"ש</t>
        </is>
      </c>
      <c r="J11" s="21" t="n"/>
    </row>
    <row r="12" ht="30" customHeight="1">
      <c r="A12" s="53" t="inlineStr">
        <is>
          <t>תורנות מוצ"ש</t>
        </is>
      </c>
      <c r="B12" s="56" t="inlineStr">
        <is>
          <t>מוצאי שבת</t>
        </is>
      </c>
      <c r="C12" s="55" t="n"/>
      <c r="D12" s="48" t="inlineStr">
        <is>
          <t>ארוחת ערב מוצ"ש</t>
        </is>
      </c>
      <c r="E12" s="21" t="inlineStr">
        <is>
          <t>הכנת ארוחת ערב: פסטה ברוטב עגבניות</t>
        </is>
      </c>
      <c r="F12" s="53" t="n">
        <v>5</v>
      </c>
      <c r="G12" s="31" t="inlineStr">
        <is>
          <t>אלה מאיר, עמית שי אברהם, ינון לוי, איתמר אסנהיים, ירדן בן שחר</t>
        </is>
      </c>
      <c r="H12" s="48" t="inlineStr">
        <is>
          <t>פסטה ברוטב עגבניות</t>
        </is>
      </c>
      <c r="I12" s="48" t="inlineStr">
        <is>
          <t>ניקיונות מוצ"ש</t>
        </is>
      </c>
      <c r="J12" s="21" t="n"/>
    </row>
    <row r="13" ht="30" customHeight="1">
      <c r="A13" s="53" t="inlineStr">
        <is>
          <t>הכנות שישי</t>
        </is>
      </c>
      <c r="B13" s="54" t="inlineStr">
        <is>
          <t>שישי</t>
        </is>
      </c>
      <c r="C13" s="55" t="n">
        <v>0.5</v>
      </c>
      <c r="D13" s="48" t="inlineStr">
        <is>
          <t>ארוחת צהריים שישי</t>
        </is>
      </c>
      <c r="E13" s="21" t="inlineStr">
        <is>
          <t>הגשת ארוחת הצהריים</t>
        </is>
      </c>
      <c r="F13" s="53" t="n">
        <v>2</v>
      </c>
      <c r="G13" s="31" t="inlineStr">
        <is>
          <t>הילה עזרא, רותם דרור</t>
        </is>
      </c>
      <c r="H13" s="48" t="n"/>
      <c r="I13" s="48" t="inlineStr">
        <is>
          <t>ארוחת צהריים</t>
        </is>
      </c>
      <c r="J13" s="21" t="n"/>
    </row>
    <row r="14" ht="30" customHeight="1">
      <c r="A14" s="53" t="inlineStr">
        <is>
          <t>הכנות שישי</t>
        </is>
      </c>
      <c r="B14" s="54" t="inlineStr">
        <is>
          <t>שישי</t>
        </is>
      </c>
      <c r="C14" s="55" t="n">
        <v>0.5416666666666666</v>
      </c>
      <c r="D14" s="48" t="inlineStr">
        <is>
          <t>ארוחת צהריים שישי</t>
        </is>
      </c>
      <c r="E14" s="21" t="inlineStr">
        <is>
          <t>קיפול הארוחה, שטיפת כלים</t>
        </is>
      </c>
      <c r="F14" s="53" t="n">
        <v>2</v>
      </c>
      <c r="G14" s="31" t="inlineStr">
        <is>
          <t>שחר מרקוביץ' גליק, רוני פרנקל</t>
        </is>
      </c>
      <c r="H14" s="48" t="n"/>
      <c r="I14" s="48" t="inlineStr">
        <is>
          <t>ארוחת צהריים</t>
        </is>
      </c>
      <c r="J14" s="21" t="n"/>
    </row>
    <row r="15" ht="120" customHeight="1">
      <c r="A15" s="53" t="inlineStr">
        <is>
          <t>תורנות שישי</t>
        </is>
      </c>
      <c r="B15" s="54" t="inlineStr">
        <is>
          <t>שישי</t>
        </is>
      </c>
      <c r="C15" s="55" t="n">
        <v>0.3333333333333333</v>
      </c>
      <c r="D15" s="48" t="inlineStr">
        <is>
          <t>בית מדרש</t>
        </is>
      </c>
      <c r="E1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
העמדת 2 מיחמים</t>
        </is>
      </c>
      <c r="F15" s="53" t="n">
        <v>12</v>
      </c>
      <c r="G15" s="31" t="inlineStr">
        <is>
          <t>כליל בלאוקופף, נגה שוהם, עופר בביוף, אוריה תעשה, סהר שירון, ארבל פרנקו, ניתאי שלום, נבו בלוך, חיים שמאי, אחיה נחמני, שירה ספונוב, אביה וייל</t>
        </is>
      </c>
      <c r="H15" s="48" t="n"/>
      <c r="I15" s="48" t="inlineStr">
        <is>
          <t>תחילת עבודה</t>
        </is>
      </c>
      <c r="J15" s="21" t="n"/>
    </row>
    <row r="16" ht="30" customHeight="1">
      <c r="A16" s="53" t="inlineStr">
        <is>
          <t>תורנות שישי</t>
        </is>
      </c>
      <c r="B16" s="54" t="inlineStr">
        <is>
          <t>שישי</t>
        </is>
      </c>
      <c r="C16" s="55" t="n">
        <v>0.3645833333333333</v>
      </c>
      <c r="D16" s="48" t="inlineStr">
        <is>
          <t>בית מדרש</t>
        </is>
      </c>
      <c r="E16" s="21" t="inlineStr">
        <is>
          <t>עזרה בהכנת חלות</t>
        </is>
      </c>
      <c r="F16" s="53" t="n">
        <v>5</v>
      </c>
      <c r="G16" s="31" t="inlineStr">
        <is>
          <t>כליל בלאוקופף, נגה שוהם, עופר בביוף, אוריה תעשה, סהר שירון</t>
        </is>
      </c>
      <c r="H16" s="48" t="n"/>
      <c r="I16" s="48" t="inlineStr">
        <is>
          <t>תחילת עבודה</t>
        </is>
      </c>
      <c r="J16" s="21" t="n"/>
    </row>
    <row r="17" ht="30" customHeight="1">
      <c r="A17" s="53" t="inlineStr">
        <is>
          <t>תורנות שישי</t>
        </is>
      </c>
      <c r="B17" s="54" t="inlineStr">
        <is>
          <t>שישי</t>
        </is>
      </c>
      <c r="C17" s="55" t="n">
        <v>0.3645833333333333</v>
      </c>
      <c r="D17" s="48" t="inlineStr">
        <is>
          <t>בית מדרש</t>
        </is>
      </c>
      <c r="E17" s="21" t="inlineStr">
        <is>
          <t>עזרה בהכנת בראוניז ללא גלוטן</t>
        </is>
      </c>
      <c r="F17" s="53" t="n">
        <v>2</v>
      </c>
      <c r="G17" s="31" t="inlineStr">
        <is>
          <t>ארבל פרנקו, ניתאי שלום</t>
        </is>
      </c>
      <c r="H17" s="48" t="n"/>
      <c r="I17" s="48" t="inlineStr">
        <is>
          <t>תחילת עבודה</t>
        </is>
      </c>
      <c r="J17" s="21" t="n"/>
    </row>
    <row r="18" ht="30" customHeight="1">
      <c r="A18" s="53" t="inlineStr">
        <is>
          <t>תורנות שישי</t>
        </is>
      </c>
      <c r="B18" s="54" t="inlineStr">
        <is>
          <t>שישי</t>
        </is>
      </c>
      <c r="C18" s="55" t="n">
        <v>0.3645833333333333</v>
      </c>
      <c r="D18" s="48" t="inlineStr">
        <is>
          <t>בית מדרש</t>
        </is>
      </c>
      <c r="E18" s="21" t="inlineStr">
        <is>
          <t>עזרה בהכנת עוגת שמרים</t>
        </is>
      </c>
      <c r="F18" s="53" t="n">
        <v>3</v>
      </c>
      <c r="G18" s="31" t="inlineStr">
        <is>
          <t>נבו בלוך, חיים שמאי, אחיה נחמני</t>
        </is>
      </c>
      <c r="H18" s="48" t="n"/>
      <c r="I18" s="48" t="inlineStr">
        <is>
          <t>תחילת עבודה</t>
        </is>
      </c>
      <c r="J18" s="21" t="n"/>
    </row>
    <row r="19" ht="30" customHeight="1">
      <c r="A19" s="53" t="inlineStr">
        <is>
          <t>תורנות שישי</t>
        </is>
      </c>
      <c r="B19" s="54" t="inlineStr">
        <is>
          <t>שישי</t>
        </is>
      </c>
      <c r="C19" s="55" t="n">
        <v>0.3645833333333333</v>
      </c>
      <c r="D19" s="48" t="inlineStr">
        <is>
          <t>בית מדרש</t>
        </is>
      </c>
      <c r="E19" s="21" t="inlineStr">
        <is>
          <t>עזרה בהכנת סלט חצילים</t>
        </is>
      </c>
      <c r="F19" s="53" t="n">
        <v>2</v>
      </c>
      <c r="G19" s="31" t="inlineStr">
        <is>
          <t>שירה ספונוב, אביה וייל</t>
        </is>
      </c>
      <c r="H19" s="48" t="n"/>
      <c r="I19" s="48" t="inlineStr">
        <is>
          <t>תחילת עבודה</t>
        </is>
      </c>
      <c r="J19" s="21" t="n"/>
    </row>
    <row r="20" ht="75" customHeight="1">
      <c r="A20" s="53" t="inlineStr">
        <is>
          <t>תורנות שישי</t>
        </is>
      </c>
      <c r="B20" s="54" t="inlineStr">
        <is>
          <t>שישי</t>
        </is>
      </c>
      <c r="C20" s="55" t="n">
        <v>0.5833333333333334</v>
      </c>
      <c r="D20" s="48" t="inlineStr">
        <is>
          <t>ניקיון חדר האוכל בשישי</t>
        </is>
      </c>
      <c r="E20" s="21" t="inlineStr">
        <is>
          <t>ניקיון חדר האוכל:
שטיפת הרצפה
ניקוי המטבח
ניקוי חדר המקררים
זריקת הפחים</t>
        </is>
      </c>
      <c r="F20" s="53" t="n">
        <v>12</v>
      </c>
      <c r="G20" s="31" t="inlineStr">
        <is>
          <t>יערה ריס, זואי כהן, אלה גוטליב, שילת פילפל, אלה מאיר, ינון לוי, עמית סיילס, מאיה פקטר, שחר קרן, איתמר אסנהיים, עמית שי אברהם, ירדן בן שחר</t>
        </is>
      </c>
      <c r="H20" s="48" t="n"/>
      <c r="I20" s="48" t="inlineStr">
        <is>
          <t>ארוחת צהריים</t>
        </is>
      </c>
      <c r="J20" s="21" t="n"/>
    </row>
    <row r="21" ht="30" customHeight="1">
      <c r="A21" s="53" t="inlineStr">
        <is>
          <t>תורנות שבת</t>
        </is>
      </c>
      <c r="B21" s="54" t="inlineStr">
        <is>
          <t>שישי</t>
        </is>
      </c>
      <c r="C21" s="55" t="n">
        <v>0.5833333333333334</v>
      </c>
      <c r="D21" s="48" t="inlineStr">
        <is>
          <t>גסטרונומים</t>
        </is>
      </c>
      <c r="E21" s="21" t="inlineStr">
        <is>
          <t>פריקת האוכל למקרר — אוכל ארוחת צהריים שבת: כתף בקר בציר ירקות שורש, אורז לבן, שעועית ירוקה מוקפצת, תפו"א ובטטה, מוקפץ (טבעוני)</t>
        </is>
      </c>
      <c r="F21" s="53" t="n">
        <v>2</v>
      </c>
      <c r="G21" s="31" t="inlineStr">
        <is>
          <t>ניתאי שלום, שי- לי וולגמוט</t>
        </is>
      </c>
      <c r="H21" s="48" t="n"/>
      <c r="I21" s="48" t="inlineStr">
        <is>
          <t>הדלקת נרות</t>
        </is>
      </c>
      <c r="J21" s="21" t="n"/>
    </row>
    <row r="22" ht="30" customHeight="1">
      <c r="A22" s="53" t="inlineStr">
        <is>
          <t>תורנות שבת</t>
        </is>
      </c>
      <c r="B22" s="54" t="inlineStr">
        <is>
          <t>שישי</t>
        </is>
      </c>
      <c r="C22" s="55" t="n">
        <v>0.6423611111111112</v>
      </c>
      <c r="D22" s="48" t="inlineStr">
        <is>
          <t>גסטרונומים</t>
        </is>
      </c>
      <c r="E22" s="21" t="inlineStr">
        <is>
          <t>הכנסת הגסטרונומים של ארוחת הערב מהמקרר לתנור החימום: כרעיים בגריל, קוסקוס, לקט קוסקוס, פלאפל ממולא (טבעוני)
חיבור המיחמים בפינת הקפה</t>
        </is>
      </c>
      <c r="F22" s="53" t="n">
        <v>2</v>
      </c>
      <c r="G22" s="31" t="inlineStr">
        <is>
          <t>ניתאי שלום, שי- לי וולגמוט</t>
        </is>
      </c>
      <c r="H22" s="48" t="n"/>
      <c r="I22" s="48" t="inlineStr">
        <is>
          <t>הדלקת נרות</t>
        </is>
      </c>
      <c r="J22" s="21" t="n"/>
    </row>
    <row r="23" ht="30" customHeight="1">
      <c r="A23" s="53" t="inlineStr">
        <is>
          <t>תורנות שבת</t>
        </is>
      </c>
      <c r="B23" s="54" t="inlineStr">
        <is>
          <t>שישי</t>
        </is>
      </c>
      <c r="C23" s="55" t="n">
        <v>0.7916666666666666</v>
      </c>
      <c r="D23" s="48" t="inlineStr">
        <is>
          <t>גסטרונומים</t>
        </is>
      </c>
      <c r="E23" s="21" t="inlineStr">
        <is>
          <t>הוצאת הגסטרונומים של ארוחת הערב מתנור החימום לשולחן ההגשה</t>
        </is>
      </c>
      <c r="F23" s="53" t="n">
        <v>2</v>
      </c>
      <c r="G23" s="31" t="inlineStr">
        <is>
          <t>ניתאי שלום, שי- לי וולגמוט</t>
        </is>
      </c>
      <c r="H23" s="48" t="n"/>
      <c r="I23" s="48" t="inlineStr">
        <is>
          <t>סעודת שבת</t>
        </is>
      </c>
      <c r="J23" s="21" t="n"/>
    </row>
    <row r="24" ht="30" customHeight="1">
      <c r="A24" s="53" t="inlineStr">
        <is>
          <t>תורנות שבת</t>
        </is>
      </c>
      <c r="B24" s="57" t="inlineStr">
        <is>
          <t>שבת</t>
        </is>
      </c>
      <c r="C24" s="55" t="n">
        <v>0.4583333333333333</v>
      </c>
      <c r="D24" s="48" t="inlineStr">
        <is>
          <t>גסטרונומים</t>
        </is>
      </c>
      <c r="E24" s="21" t="inlineStr">
        <is>
          <t>הכנסת האוכל של ארוחת הצהריים לתנור החימום: כתף בקר בציר ירקות שורש, אורז לבן, שעועית ירוקה מוקפצת, תפו"א ובטטה, מוקפץ (טבעוני)</t>
        </is>
      </c>
      <c r="F24" s="53" t="n">
        <v>2</v>
      </c>
      <c r="G24" s="31" t="inlineStr">
        <is>
          <t>ניתאי שלום, שי- לי וולגמוט</t>
        </is>
      </c>
      <c r="H24" s="48" t="n"/>
      <c r="I24" s="48" t="inlineStr">
        <is>
          <t>קידוש</t>
        </is>
      </c>
      <c r="J24" s="21" t="n"/>
    </row>
    <row r="25" ht="30" customHeight="1">
      <c r="A25" s="53" t="inlineStr">
        <is>
          <t>תורנות שבת</t>
        </is>
      </c>
      <c r="B25" s="57" t="inlineStr">
        <is>
          <t>שבת</t>
        </is>
      </c>
      <c r="C25" s="55" t="n">
        <v>0.5520833333333334</v>
      </c>
      <c r="D25" s="48" t="inlineStr">
        <is>
          <t>גסטרונומים</t>
        </is>
      </c>
      <c r="E25" s="21" t="inlineStr">
        <is>
          <t>הוצאת הגסטרונומים של ארוחת הצהריים מתנור החימום לשולחן ההגשה</t>
        </is>
      </c>
      <c r="F25" s="53" t="n">
        <v>2</v>
      </c>
      <c r="G25" s="31" t="inlineStr">
        <is>
          <t>ניתאי שלום, שי- לי וולגמוט</t>
        </is>
      </c>
      <c r="H25" s="48" t="n"/>
      <c r="I25" s="48" t="inlineStr">
        <is>
          <t>ארוחת צהריים</t>
        </is>
      </c>
      <c r="J25" s="21" t="n"/>
    </row>
    <row r="26" ht="30" customHeight="1">
      <c r="A26" s="53" t="inlineStr">
        <is>
          <t>תורנות שבת</t>
        </is>
      </c>
      <c r="B26" s="54" t="inlineStr">
        <is>
          <t>שישי</t>
        </is>
      </c>
      <c r="C26" s="55" t="n">
        <v>0.7604166666666666</v>
      </c>
      <c r="D26" s="48" t="inlineStr">
        <is>
          <t>ארוחת ערב</t>
        </is>
      </c>
      <c r="E26" s="21" t="inlineStr">
        <is>
          <t>הכנת סלט כרוב מרענן, סלט טחינה ביתית</t>
        </is>
      </c>
      <c r="F26" s="53" t="n">
        <v>3</v>
      </c>
      <c r="G26" s="31" t="inlineStr">
        <is>
          <t>רוני כהן, יונתן לירז, יואב אוחנה</t>
        </is>
      </c>
      <c r="H26" s="48" t="inlineStr">
        <is>
          <t>סלט כרוב מרענן;סלט טחינה ביתית</t>
        </is>
      </c>
      <c r="I26" s="48" t="inlineStr">
        <is>
          <t>סעודת שבת</t>
        </is>
      </c>
      <c r="J26" s="21" t="n"/>
    </row>
    <row r="27" ht="60" customHeight="1">
      <c r="A27" s="53" t="inlineStr">
        <is>
          <t>תורנות שבת</t>
        </is>
      </c>
      <c r="B27" s="54" t="inlineStr">
        <is>
          <t>שישי</t>
        </is>
      </c>
      <c r="C27" s="55" t="n">
        <v>0.7708333333333334</v>
      </c>
      <c r="D27" s="48" t="inlineStr">
        <is>
          <t>ארוחת ערב</t>
        </is>
      </c>
      <c r="E27" s="21" t="inlineStr">
        <is>
          <t>עריכת השולחן:
סלטי קייטרינג: סלק מבושל, כרוב בתחמיץ, בטטה צ'ילי, ירקות מוחמצים, חומוס
חצי מהמטבוחה, חצי מהסלט חצילים וחצי מהחלות
צלחות וסכו"ם</t>
        </is>
      </c>
      <c r="F27" s="53" t="n">
        <v>4</v>
      </c>
      <c r="G27" s="31" t="inlineStr">
        <is>
          <t>יובל יצחק, רוני כהן, יונתן לירז, יואב אוחנה</t>
        </is>
      </c>
      <c r="H27" s="48" t="n"/>
      <c r="I27" s="48" t="inlineStr">
        <is>
          <t>סעודת שבת</t>
        </is>
      </c>
      <c r="J27" s="21" t="n"/>
    </row>
    <row r="28" ht="90" customHeight="1">
      <c r="A28" s="53" t="inlineStr">
        <is>
          <t>תורנות שבת</t>
        </is>
      </c>
      <c r="B28" s="54" t="inlineStr">
        <is>
          <t>שישי</t>
        </is>
      </c>
      <c r="C28" s="55" t="n">
        <v>0.8333333333333334</v>
      </c>
      <c r="D28" s="48" t="inlineStr">
        <is>
          <t>פינוי ארוחת ערב</t>
        </is>
      </c>
      <c r="E28" s="21" t="inlineStr">
        <is>
          <t>פינוי הארוחה:
האוכל שנשאר — למקרר
צלחות וסכו"ם
ניגוב השולחנות
ניקוי הפחים
טאטוא</t>
        </is>
      </c>
      <c r="F28" s="53" t="n">
        <v>7</v>
      </c>
      <c r="G28" s="31" t="inlineStr">
        <is>
          <t>משה אוברשטיין, כליל בלאוקופף, רותם דרור, של״ו רובינשטיין, ארבל פרנקו, נבו בלוך, אוריה תעשה</t>
        </is>
      </c>
      <c r="H28" s="48" t="n"/>
      <c r="I28" s="48" t="inlineStr">
        <is>
          <t>טיש</t>
        </is>
      </c>
      <c r="J28" s="21" t="n"/>
    </row>
    <row r="29" ht="30" customHeight="1">
      <c r="A29" s="53" t="inlineStr">
        <is>
          <t>תורנות שבת</t>
        </is>
      </c>
      <c r="B29" s="54" t="inlineStr">
        <is>
          <t>שישי</t>
        </is>
      </c>
      <c r="C29" s="55" t="n"/>
      <c r="D29" s="48" t="inlineStr">
        <is>
          <t>פינוי ארוחת ערב</t>
        </is>
      </c>
      <c r="E29" s="21" t="inlineStr">
        <is>
          <t>שטיפת הגסטרונומים בסיום הטיש</t>
        </is>
      </c>
      <c r="F29" s="53" t="n"/>
      <c r="G29" s="31" t="inlineStr">
        <is>
          <t>משה אוברשטיין, כליל בלאוקופף, רותם דרור, של״ו רובינשטיין, ארבל פרנקו, נבו בלוך, אוריה תעשה</t>
        </is>
      </c>
      <c r="H29" s="48" t="n"/>
      <c r="I29" s="48" t="inlineStr">
        <is>
          <t>טיש</t>
        </is>
      </c>
      <c r="J29" s="21" t="n"/>
    </row>
    <row r="30" ht="60" customHeight="1">
      <c r="A30" s="53" t="inlineStr">
        <is>
          <t>תורנות שבת</t>
        </is>
      </c>
      <c r="B30" s="54" t="inlineStr">
        <is>
          <t>שישי</t>
        </is>
      </c>
      <c r="C30" s="55" t="n">
        <v>0.8333333333333334</v>
      </c>
      <c r="D30" s="48" t="inlineStr">
        <is>
          <t>טיש</t>
        </is>
      </c>
      <c r="E30" s="21" t="inlineStr">
        <is>
          <t>חימום 3 פסי עוגת שוקולד, 3 פסי עוגת שמרים — הכל פרווה
חיתוך 10 תפוחים
סידור המרחב: שולחנות בקוביה במרכז, כיסאות במעגל מסביב
פריסת שולחן במרכז: העוגות, גרעינים, חצי מהענבים ו-10 התפוחים</t>
        </is>
      </c>
      <c r="F30" s="53" t="n">
        <v>3</v>
      </c>
      <c r="G30" s="31" t="inlineStr">
        <is>
          <t>עופר בביוף, טליה קור, תמר פרידמן</t>
        </is>
      </c>
      <c r="H30" s="48" t="n"/>
      <c r="I30" s="48" t="inlineStr">
        <is>
          <t>טיש</t>
        </is>
      </c>
      <c r="J30" s="21" t="n"/>
    </row>
    <row r="31" ht="30" customHeight="1">
      <c r="A31" s="53" t="inlineStr">
        <is>
          <t>תורנות שבת</t>
        </is>
      </c>
      <c r="B31" s="54" t="inlineStr">
        <is>
          <t>שישי</t>
        </is>
      </c>
      <c r="C31" s="55" t="n">
        <v>0.8958333333333334</v>
      </c>
      <c r="D31" s="48" t="inlineStr">
        <is>
          <t>טיש</t>
        </is>
      </c>
      <c r="E31" s="21" t="inlineStr">
        <is>
          <t>טאטוא חדר האוכל וניקוי השולחנות לפני ערב החברה</t>
        </is>
      </c>
      <c r="F31" s="53" t="n"/>
      <c r="G31" s="31" t="inlineStr">
        <is>
          <t>עופר בביוף, טליה קור, תמר פרידמן</t>
        </is>
      </c>
      <c r="H31" s="48" t="n"/>
      <c r="I31" s="48" t="inlineStr">
        <is>
          <t>ערב חברה</t>
        </is>
      </c>
      <c r="J31" s="21" t="n"/>
    </row>
    <row r="32" ht="75" customHeight="1">
      <c r="A32" s="53" t="inlineStr">
        <is>
          <t>תורנות שבת</t>
        </is>
      </c>
      <c r="B32" s="57" t="inlineStr">
        <is>
          <t>שבת</t>
        </is>
      </c>
      <c r="C32" s="55" t="n">
        <v>0.4375</v>
      </c>
      <c r="D32" s="48" t="inlineStr">
        <is>
          <t>קידוש</t>
        </is>
      </c>
      <c r="E32" s="21" t="inlineStr">
        <is>
          <t>סידור וניקיון פינת הקפה — להוציא חלב, למלא קפה וסוכר
חימום העוגות
הוצאת 5 פסי עוגת שוקולד, 5 פסי עוגת שמרים
הוצאת חלב, קורנפלקס וחצי מהענבים
טאטוא הרצפה, סידור כיסאות וארגון המרחב</t>
        </is>
      </c>
      <c r="F32" s="53" t="n">
        <v>3</v>
      </c>
      <c r="G32" s="31" t="inlineStr">
        <is>
          <t>פנחס אליהו גלוסקין, אריאלה מרכוס, ליעם גבע</t>
        </is>
      </c>
      <c r="H32" s="48" t="n"/>
      <c r="I32" s="48" t="inlineStr">
        <is>
          <t>קידוש</t>
        </is>
      </c>
      <c r="J32" s="21" t="n"/>
    </row>
    <row r="33" ht="60" customHeight="1">
      <c r="A33" s="53" t="inlineStr">
        <is>
          <t>תורנות שבת</t>
        </is>
      </c>
      <c r="B33" s="57" t="inlineStr">
        <is>
          <t>שבת</t>
        </is>
      </c>
      <c r="C33" s="55" t="n">
        <v>0.5208333333333334</v>
      </c>
      <c r="D33" s="48" t="inlineStr">
        <is>
          <t>ארוחת צהריים שבת</t>
        </is>
      </c>
      <c r="E33" s="21" t="inlineStr">
        <is>
          <t>עריכת השולחן:
הכנת סלט כרוב מרענן, סלט טחינה ביתית
הוצאת חצי מהמטבוחה, חצי מהסלט חצילים וחצי מהחלות
סלטי קייטרינג: סלק מבושל, כרוב בתחמיץ, בטטה צ'ילי, ירקות מוחמצים, חומוס</t>
        </is>
      </c>
      <c r="F33" s="53" t="n">
        <v>2</v>
      </c>
      <c r="G33" s="31" t="inlineStr">
        <is>
          <t>יותם ספיר, הלל פינגולד</t>
        </is>
      </c>
      <c r="H33" s="48" t="inlineStr">
        <is>
          <t>סלט כרוב מרענן;סלט טחינה ביתית</t>
        </is>
      </c>
      <c r="I33" s="48" t="inlineStr">
        <is>
          <t>ארוחת צהריים</t>
        </is>
      </c>
      <c r="J33" s="21" t="n"/>
    </row>
    <row r="34" ht="30" customHeight="1">
      <c r="A34" s="53" t="inlineStr">
        <is>
          <t>תורנות שבת</t>
        </is>
      </c>
      <c r="B34" s="57" t="inlineStr">
        <is>
          <t>שבת</t>
        </is>
      </c>
      <c r="C34" s="55" t="n">
        <v>0.5208333333333334</v>
      </c>
      <c r="D34" s="48" t="inlineStr">
        <is>
          <t>ארוחת צהריים שבת</t>
        </is>
      </c>
      <c r="E34" s="21" t="inlineStr">
        <is>
          <t>כפות הגשה, צלחות וסכו"ם
סידור שולחנות וכיסאות</t>
        </is>
      </c>
      <c r="F34" s="53" t="n">
        <v>2</v>
      </c>
      <c r="G34" s="31" t="inlineStr">
        <is>
          <t>ליבי בוכריס, ניצן גמלא</t>
        </is>
      </c>
      <c r="H34" s="48" t="n"/>
      <c r="I34" s="48" t="inlineStr">
        <is>
          <t>ארוחת צהריים</t>
        </is>
      </c>
      <c r="J34" s="21" t="n"/>
    </row>
    <row r="35" ht="90" customHeight="1">
      <c r="A35" s="53" t="inlineStr">
        <is>
          <t>תורנות שבת</t>
        </is>
      </c>
      <c r="B35" s="57" t="inlineStr">
        <is>
          <t>שבת</t>
        </is>
      </c>
      <c r="C35" s="55" t="n">
        <v>0.5833333333333334</v>
      </c>
      <c r="D35" s="48" t="inlineStr">
        <is>
          <t>פינוי ארוחת צהריים וסעודה שלישית</t>
        </is>
      </c>
      <c r="E35" s="21" t="inlineStr">
        <is>
          <t>פינוי השולחנות:
האוכל שנשאר — למקרר
צלחות וסכו"ם
ניקוי השולחנות
ניקוי הפחים
טאטוא</t>
        </is>
      </c>
      <c r="F35" s="53" t="n">
        <v>5</v>
      </c>
      <c r="G35" s="31" t="inlineStr">
        <is>
          <t>מעיין רחל דינר, נועם ישראל קומפאס, הילי אלפסי, הילה עזרא, נגה שוהם</t>
        </is>
      </c>
      <c r="H35" s="48" t="n"/>
      <c r="I35" s="48" t="inlineStr">
        <is>
          <t>ארוחת צהריים</t>
        </is>
      </c>
      <c r="J35" s="21" t="n"/>
    </row>
    <row r="36" ht="30" customHeight="1">
      <c r="A36" s="53" t="inlineStr">
        <is>
          <t>תורנות שבת</t>
        </is>
      </c>
      <c r="B36" s="57" t="inlineStr">
        <is>
          <t>שבת</t>
        </is>
      </c>
      <c r="C36" s="55" t="n"/>
      <c r="D36" s="48" t="inlineStr">
        <is>
          <t>פינוי ארוחת צהריים וסעודה שלישית</t>
        </is>
      </c>
      <c r="E36" s="21" t="inlineStr">
        <is>
          <t>שטיפת הגסטרונומים בסיום הארוחה</t>
        </is>
      </c>
      <c r="F36" s="53" t="n"/>
      <c r="G36" s="31" t="inlineStr">
        <is>
          <t>מעיין רחל דינר, נועם ישראל קומפאס, הילי אלפסי, הילה עזרא, נגה שוהם</t>
        </is>
      </c>
      <c r="H36" s="48" t="n"/>
      <c r="I36" s="48" t="inlineStr">
        <is>
          <t>ארוחת צהריים</t>
        </is>
      </c>
      <c r="J36" s="21" t="n"/>
    </row>
    <row r="37" ht="30" customHeight="1">
      <c r="A37" s="53" t="inlineStr">
        <is>
          <t>תורנות שבת</t>
        </is>
      </c>
      <c r="B37" s="57" t="inlineStr">
        <is>
          <t>שבת</t>
        </is>
      </c>
      <c r="C37" s="55" t="n">
        <v>0.6770833333333334</v>
      </c>
      <c r="D37" s="48" t="inlineStr">
        <is>
          <t>פינוי ארוחת צהריים וסעודה שלישית</t>
        </is>
      </c>
      <c r="E37" s="21" t="inlineStr">
        <is>
          <t>הוצאת 4 פסי עוגת שוקולד, 4 פסי עוגת שמרים לסעודה שלישית</t>
        </is>
      </c>
      <c r="F37" s="53" t="n">
        <v>2</v>
      </c>
      <c r="G37" s="31" t="inlineStr">
        <is>
          <t>מעיין רחל דינר, נועם ישראל קומפאס</t>
        </is>
      </c>
      <c r="H37" s="48" t="n"/>
      <c r="I37" s="48" t="inlineStr">
        <is>
          <t>סעודה שלישית</t>
        </is>
      </c>
      <c r="J37" s="21" t="n"/>
    </row>
    <row r="38" ht="45" customHeight="1">
      <c r="A38" s="53" t="inlineStr">
        <is>
          <t>תורנות מוצ"ש</t>
        </is>
      </c>
      <c r="B38" s="56" t="inlineStr">
        <is>
          <t>מוצאי שבת</t>
        </is>
      </c>
      <c r="C38" s="55" t="n"/>
      <c r="D38" s="48" t="inlineStr">
        <is>
          <t>ניקיון בית המדרש במוצ"ש</t>
        </is>
      </c>
      <c r="E38" s="21" t="inlineStr">
        <is>
          <t>להחזיר את בית המדרש לקדמותו — כמו לפני שבת:
השולחנות, הכסאות, המחיצה והסידורים
קיפול המיחמים, שטיפתם והחזרתם למקום</t>
        </is>
      </c>
      <c r="F38" s="53" t="n">
        <v>10</v>
      </c>
      <c r="G38" s="31" t="inlineStr">
        <is>
          <t>יונתן לירז, הדר עמדי, סהר שירון, רוני פרנקל, שחר מרקוביץ' גליק, תמר פרידמן, יובל יצחק, אחיה נחמני, חיים שמאי, יערה ריס</t>
        </is>
      </c>
      <c r="H38" s="48" t="n"/>
      <c r="I38" s="48" t="inlineStr">
        <is>
          <t>ניקיונות מוצ"ש</t>
        </is>
      </c>
      <c r="J38" s="21" t="n"/>
    </row>
    <row r="39" ht="18" customHeight="1">
      <c r="A39" s="53" t="n"/>
      <c r="B39" s="53" t="n"/>
      <c r="C39" s="55" t="n"/>
      <c r="D39" s="48" t="n"/>
      <c r="E39" s="21" t="n"/>
      <c r="F39" s="53" t="n"/>
      <c r="G39" s="31" t="n"/>
      <c r="H39" s="48" t="n"/>
      <c r="I39" s="48" t="n"/>
      <c r="J39" s="21" t="n"/>
    </row>
    <row r="40" ht="18" customHeight="1">
      <c r="A40" s="53" t="n"/>
      <c r="B40" s="53" t="n"/>
      <c r="C40" s="55" t="n"/>
      <c r="D40" s="48" t="n"/>
      <c r="E40" s="21" t="n"/>
      <c r="F40" s="53" t="n"/>
      <c r="G40" s="31" t="n"/>
      <c r="H40" s="48" t="n"/>
      <c r="I40" s="48" t="n"/>
      <c r="J40" s="21" t="n"/>
    </row>
    <row r="41" ht="18" customHeight="1">
      <c r="A41" s="53" t="n"/>
      <c r="B41" s="53" t="n"/>
      <c r="C41" s="55" t="n"/>
      <c r="D41" s="48" t="n"/>
      <c r="E41" s="21" t="n"/>
      <c r="F41" s="53" t="n"/>
      <c r="G41" s="31" t="n"/>
      <c r="H41" s="48" t="n"/>
      <c r="I41" s="48" t="n"/>
      <c r="J41" s="21" t="n"/>
    </row>
    <row r="42" ht="18" customHeight="1">
      <c r="A42" s="53" t="n"/>
      <c r="B42" s="53" t="n"/>
      <c r="C42" s="55" t="n"/>
      <c r="D42" s="48" t="n"/>
      <c r="E42" s="21" t="n"/>
      <c r="F42" s="53" t="n"/>
      <c r="G42" s="31" t="n"/>
      <c r="H42" s="48" t="n"/>
      <c r="I42" s="48" t="n"/>
      <c r="J42" s="21" t="n"/>
    </row>
    <row r="43" ht="18" customHeight="1">
      <c r="A43" s="53" t="n"/>
      <c r="B43" s="53" t="n"/>
      <c r="C43" s="55" t="n"/>
      <c r="D43" s="48" t="n"/>
      <c r="E43" s="21" t="n"/>
      <c r="F43" s="53" t="n"/>
      <c r="G43" s="31" t="n"/>
      <c r="H43" s="48" t="n"/>
      <c r="I43" s="48" t="n"/>
      <c r="J43" s="21" t="n"/>
    </row>
    <row r="44" ht="18" customHeight="1">
      <c r="A44" s="53" t="n"/>
      <c r="B44" s="53" t="n"/>
      <c r="C44" s="55" t="n"/>
      <c r="D44" s="48" t="n"/>
      <c r="E44" s="21" t="n"/>
      <c r="F44" s="53" t="n"/>
      <c r="G44" s="31" t="n"/>
      <c r="H44" s="48" t="n"/>
      <c r="I44" s="48" t="n"/>
      <c r="J44" s="21" t="n"/>
    </row>
    <row r="45" ht="18" customHeight="1">
      <c r="A45" s="53" t="n"/>
      <c r="B45" s="53" t="n"/>
      <c r="C45" s="55" t="n"/>
      <c r="D45" s="48" t="n"/>
      <c r="E45" s="21" t="n"/>
      <c r="F45" s="53" t="n"/>
      <c r="G45" s="31" t="n"/>
      <c r="H45" s="48" t="n"/>
      <c r="I45" s="48" t="n"/>
      <c r="J45" s="21" t="n"/>
    </row>
    <row r="46" ht="18" customHeight="1">
      <c r="A46" s="53" t="n"/>
      <c r="B46" s="53" t="n"/>
      <c r="C46" s="55" t="n"/>
      <c r="D46" s="48" t="n"/>
      <c r="E46" s="21" t="n"/>
      <c r="F46" s="53" t="n"/>
      <c r="G46" s="31" t="n"/>
      <c r="H46" s="48" t="n"/>
      <c r="I46" s="48" t="n"/>
      <c r="J46" s="21" t="n"/>
    </row>
    <row r="47" ht="18" customHeight="1">
      <c r="A47" s="53" t="n"/>
      <c r="B47" s="53" t="n"/>
      <c r="C47" s="55" t="n"/>
      <c r="D47" s="48" t="n"/>
      <c r="E47" s="21" t="n"/>
      <c r="F47" s="53" t="n"/>
      <c r="G47" s="31" t="n"/>
      <c r="H47" s="48" t="n"/>
      <c r="I47" s="48" t="n"/>
      <c r="J47" s="21" t="n"/>
    </row>
    <row r="48" ht="18" customHeight="1">
      <c r="A48" s="53" t="n"/>
      <c r="B48" s="53" t="n"/>
      <c r="C48" s="55" t="n"/>
      <c r="D48" s="48" t="n"/>
      <c r="E48" s="21" t="n"/>
      <c r="F48" s="53" t="n"/>
      <c r="G48" s="31" t="n"/>
      <c r="H48" s="48" t="n"/>
      <c r="I48" s="48" t="n"/>
      <c r="J48" s="21" t="n"/>
    </row>
    <row r="49" ht="18" customHeight="1">
      <c r="A49" s="53" t="n"/>
      <c r="B49" s="53" t="n"/>
      <c r="C49" s="55" t="n"/>
      <c r="D49" s="48" t="n"/>
      <c r="E49" s="21" t="n"/>
      <c r="F49" s="53" t="n"/>
      <c r="G49" s="31" t="n"/>
      <c r="H49" s="48" t="n"/>
      <c r="I49" s="48" t="n"/>
      <c r="J49" s="21" t="n"/>
    </row>
    <row r="50" ht="18" customHeight="1">
      <c r="A50" s="53" t="n"/>
      <c r="B50" s="53" t="n"/>
      <c r="C50" s="55" t="n"/>
      <c r="D50" s="48" t="n"/>
      <c r="E50" s="21" t="n"/>
      <c r="F50" s="53" t="n"/>
      <c r="G50" s="31" t="n"/>
      <c r="H50" s="48" t="n"/>
      <c r="I50" s="48" t="n"/>
      <c r="J50" s="21" t="n"/>
    </row>
    <row r="51" ht="18" customHeight="1">
      <c r="A51" s="53" t="n"/>
      <c r="B51" s="53" t="n"/>
      <c r="C51" s="55" t="n"/>
      <c r="D51" s="48" t="n"/>
      <c r="E51" s="21" t="n"/>
      <c r="F51" s="53" t="n"/>
      <c r="G51" s="31" t="n"/>
      <c r="H51" s="48" t="n"/>
      <c r="I51" s="48" t="n"/>
      <c r="J51" s="21" t="n"/>
    </row>
    <row r="52" ht="18" customHeight="1">
      <c r="A52" s="53" t="n"/>
      <c r="B52" s="53" t="n"/>
      <c r="C52" s="55" t="n"/>
      <c r="D52" s="48" t="n"/>
      <c r="E52" s="21" t="n"/>
      <c r="F52" s="53" t="n"/>
      <c r="G52" s="31" t="n"/>
      <c r="H52" s="48" t="n"/>
      <c r="I52" s="48" t="n"/>
      <c r="J52" s="21" t="n"/>
    </row>
    <row r="53" ht="18" customHeight="1">
      <c r="A53" s="53" t="n"/>
      <c r="B53" s="53" t="n"/>
      <c r="C53" s="55" t="n"/>
      <c r="D53" s="48" t="n"/>
      <c r="E53" s="21" t="n"/>
      <c r="F53" s="53" t="n"/>
      <c r="G53" s="31" t="n"/>
      <c r="H53" s="48" t="n"/>
      <c r="I53" s="48" t="n"/>
      <c r="J53" s="21" t="n"/>
    </row>
    <row r="54" ht="18" customHeight="1">
      <c r="A54" s="53" t="n"/>
      <c r="B54" s="53" t="n"/>
      <c r="C54" s="55" t="n"/>
      <c r="D54" s="48" t="n"/>
      <c r="E54" s="21" t="n"/>
      <c r="F54" s="53" t="n"/>
      <c r="G54" s="31" t="n"/>
      <c r="H54" s="48" t="n"/>
      <c r="I54" s="48" t="n"/>
      <c r="J54" s="21" t="n"/>
    </row>
    <row r="55" ht="18" customHeight="1">
      <c r="A55" s="53" t="n"/>
      <c r="B55" s="53" t="n"/>
      <c r="C55" s="55" t="n"/>
      <c r="D55" s="48" t="n"/>
      <c r="E55" s="21" t="n"/>
      <c r="F55" s="53" t="n"/>
      <c r="G55" s="31" t="n"/>
      <c r="H55" s="48" t="n"/>
      <c r="I55" s="48" t="n"/>
      <c r="J55" s="21" t="n"/>
    </row>
    <row r="56" ht="18" customHeight="1">
      <c r="A56" s="53" t="n"/>
      <c r="B56" s="53" t="n"/>
      <c r="C56" s="55" t="n"/>
      <c r="D56" s="48" t="n"/>
      <c r="E56" s="21" t="n"/>
      <c r="F56" s="53" t="n"/>
      <c r="G56" s="31" t="n"/>
      <c r="H56" s="48" t="n"/>
      <c r="I56" s="48" t="n"/>
      <c r="J56" s="21" t="n"/>
    </row>
    <row r="57" ht="18" customHeight="1">
      <c r="A57" s="53" t="n"/>
      <c r="B57" s="53" t="n"/>
      <c r="C57" s="55" t="n"/>
      <c r="D57" s="48" t="n"/>
      <c r="E57" s="21" t="n"/>
      <c r="F57" s="53" t="n"/>
      <c r="G57" s="31" t="n"/>
      <c r="H57" s="48" t="n"/>
      <c r="I57" s="48" t="n"/>
      <c r="J57" s="21" t="n"/>
    </row>
    <row r="58" ht="18" customHeight="1">
      <c r="A58" s="53" t="n"/>
      <c r="B58" s="53" t="n"/>
      <c r="C58" s="55" t="n"/>
      <c r="D58" s="48" t="n"/>
      <c r="E58" s="21" t="n"/>
      <c r="F58" s="53" t="n"/>
      <c r="G58" s="31" t="n"/>
      <c r="H58" s="48" t="n"/>
      <c r="I58" s="48" t="n"/>
      <c r="J58" s="21" t="n"/>
    </row>
    <row r="59" ht="18" customHeight="1">
      <c r="A59" s="53" t="n"/>
      <c r="B59" s="53" t="n"/>
      <c r="C59" s="55" t="n"/>
      <c r="D59" s="48" t="n"/>
      <c r="E59" s="21" t="n"/>
      <c r="F59" s="53" t="n"/>
      <c r="G59" s="31" t="n"/>
      <c r="H59" s="48" t="n"/>
      <c r="I59" s="48" t="n"/>
      <c r="J59" s="21" t="n"/>
    </row>
    <row r="60" ht="18" customHeight="1">
      <c r="A60" s="53" t="n"/>
      <c r="B60" s="53" t="n"/>
      <c r="C60" s="55" t="n"/>
      <c r="D60" s="48" t="n"/>
      <c r="E60" s="21" t="n"/>
      <c r="F60" s="53" t="n"/>
      <c r="G60" s="31" t="n"/>
      <c r="H60" s="48" t="n"/>
      <c r="I60" s="48" t="n"/>
      <c r="J60" s="21" t="n"/>
    </row>
    <row r="61" ht="18" customHeight="1">
      <c r="A61" s="53" t="n"/>
      <c r="B61" s="53" t="n"/>
      <c r="C61" s="55" t="n"/>
      <c r="D61" s="48" t="n"/>
      <c r="E61" s="21" t="n"/>
      <c r="F61" s="53" t="n"/>
      <c r="G61" s="31" t="n"/>
      <c r="H61" s="48" t="n"/>
      <c r="I61" s="48" t="n"/>
      <c r="J61" s="21" t="n"/>
    </row>
    <row r="62" ht="18" customHeight="1">
      <c r="A62" s="53" t="n"/>
      <c r="B62" s="53" t="n"/>
      <c r="C62" s="55" t="n"/>
      <c r="D62" s="48" t="n"/>
      <c r="E62" s="21" t="n"/>
      <c r="F62" s="53" t="n"/>
      <c r="G62" s="31" t="n"/>
      <c r="H62" s="48" t="n"/>
      <c r="I62" s="48" t="n"/>
      <c r="J62" s="21" t="n"/>
    </row>
    <row r="63" ht="18" customHeight="1">
      <c r="A63" s="53" t="n"/>
      <c r="B63" s="53" t="n"/>
      <c r="C63" s="55" t="n"/>
      <c r="D63" s="48" t="n"/>
      <c r="E63" s="21" t="n"/>
      <c r="F63" s="53" t="n"/>
      <c r="G63" s="31" t="n"/>
      <c r="H63" s="48" t="n"/>
      <c r="I63" s="48" t="n"/>
      <c r="J63" s="21" t="n"/>
    </row>
    <row r="64" ht="18" customHeight="1">
      <c r="A64" s="53" t="n"/>
      <c r="B64" s="53" t="n"/>
      <c r="C64" s="55" t="n"/>
      <c r="D64" s="48" t="n"/>
      <c r="E64" s="21" t="n"/>
      <c r="F64" s="53" t="n"/>
      <c r="G64" s="31" t="n"/>
      <c r="H64" s="48" t="n"/>
      <c r="I64" s="48" t="n"/>
      <c r="J64" s="21" t="n"/>
    </row>
    <row r="65" ht="18" customHeight="1">
      <c r="A65" s="53" t="n"/>
      <c r="B65" s="53" t="n"/>
      <c r="C65" s="55" t="n"/>
      <c r="D65" s="48" t="n"/>
      <c r="E65" s="21" t="n"/>
      <c r="F65" s="53" t="n"/>
      <c r="G65" s="31" t="n"/>
      <c r="H65" s="48" t="n"/>
      <c r="I65" s="48" t="n"/>
      <c r="J65" s="21" t="n"/>
    </row>
    <row r="66" ht="18" customHeight="1">
      <c r="A66" s="53" t="n"/>
      <c r="B66" s="53" t="n"/>
      <c r="C66" s="55" t="n"/>
      <c r="D66" s="48" t="n"/>
      <c r="E66" s="21" t="n"/>
      <c r="F66" s="53" t="n"/>
      <c r="G66" s="31" t="n"/>
      <c r="H66" s="48" t="n"/>
      <c r="I66" s="48" t="n"/>
      <c r="J66" s="21" t="n"/>
    </row>
    <row r="67" ht="18" customHeight="1">
      <c r="A67" s="53" t="n"/>
      <c r="B67" s="53" t="n"/>
      <c r="C67" s="55" t="n"/>
      <c r="D67" s="48" t="n"/>
      <c r="E67" s="21" t="n"/>
      <c r="F67" s="53" t="n"/>
      <c r="G67" s="31" t="n"/>
      <c r="H67" s="48" t="n"/>
      <c r="I67" s="48" t="n"/>
      <c r="J67" s="21" t="n"/>
    </row>
    <row r="68" ht="18" customHeight="1">
      <c r="A68" s="53" t="n"/>
      <c r="B68" s="53" t="n"/>
      <c r="C68" s="55" t="n"/>
      <c r="D68" s="48" t="n"/>
      <c r="E68" s="21" t="n"/>
      <c r="F68" s="53" t="n"/>
      <c r="G68" s="31" t="n"/>
      <c r="H68" s="48" t="n"/>
      <c r="I68" s="48" t="n"/>
      <c r="J68" s="21" t="n"/>
    </row>
    <row r="69" ht="18" customHeight="1">
      <c r="A69" s="53" t="n"/>
      <c r="B69" s="53" t="n"/>
      <c r="C69" s="55" t="n"/>
      <c r="D69" s="48" t="n"/>
      <c r="E69" s="21" t="n"/>
      <c r="F69" s="53" t="n"/>
      <c r="G69" s="31" t="n"/>
      <c r="H69" s="48" t="n"/>
      <c r="I69" s="48" t="n"/>
      <c r="J69" s="21" t="n"/>
    </row>
    <row r="70" ht="18" customHeight="1">
      <c r="A70" s="53" t="n"/>
      <c r="B70" s="53" t="n"/>
      <c r="C70" s="55" t="n"/>
      <c r="D70" s="48" t="n"/>
      <c r="E70" s="21" t="n"/>
      <c r="F70" s="53" t="n"/>
      <c r="G70" s="31" t="n"/>
      <c r="H70" s="48" t="n"/>
      <c r="I70" s="48" t="n"/>
      <c r="J70" s="21" t="n"/>
    </row>
    <row r="71" ht="18" customHeight="1">
      <c r="A71" s="53" t="n"/>
      <c r="B71" s="53" t="n"/>
      <c r="C71" s="55" t="n"/>
      <c r="D71" s="48" t="n"/>
      <c r="E71" s="21" t="n"/>
      <c r="F71" s="53" t="n"/>
      <c r="G71" s="31" t="n"/>
      <c r="H71" s="48" t="n"/>
      <c r="I71" s="48" t="n"/>
      <c r="J71" s="21" t="n"/>
    </row>
    <row r="72" ht="18" customHeight="1">
      <c r="A72" s="53" t="n"/>
      <c r="B72" s="53" t="n"/>
      <c r="C72" s="55" t="n"/>
      <c r="D72" s="48" t="n"/>
      <c r="E72" s="21" t="n"/>
      <c r="F72" s="53" t="n"/>
      <c r="G72" s="31" t="n"/>
      <c r="H72" s="48" t="n"/>
      <c r="I72" s="48" t="n"/>
      <c r="J72" s="21" t="n"/>
    </row>
    <row r="73" ht="18" customHeight="1">
      <c r="A73" s="53" t="n"/>
      <c r="B73" s="53" t="n"/>
      <c r="C73" s="55" t="n"/>
      <c r="D73" s="48" t="n"/>
      <c r="E73" s="21" t="n"/>
      <c r="F73" s="53" t="n"/>
      <c r="G73" s="31" t="n"/>
      <c r="H73" s="48" t="n"/>
      <c r="I73" s="48" t="n"/>
      <c r="J73" s="21" t="n"/>
    </row>
    <row r="74" ht="18" customHeight="1">
      <c r="A74" s="53" t="n"/>
      <c r="B74" s="53" t="n"/>
      <c r="C74" s="55" t="n"/>
      <c r="D74" s="48" t="n"/>
      <c r="E74" s="21" t="n"/>
      <c r="F74" s="53" t="n"/>
      <c r="G74" s="31" t="n"/>
      <c r="H74" s="48" t="n"/>
      <c r="I74" s="48" t="n"/>
      <c r="J74" s="21" t="n"/>
    </row>
    <row r="75" ht="18" customHeight="1">
      <c r="A75" s="53" t="n"/>
      <c r="B75" s="53" t="n"/>
      <c r="C75" s="55" t="n"/>
      <c r="D75" s="48" t="n"/>
      <c r="E75" s="21" t="n"/>
      <c r="F75" s="53" t="n"/>
      <c r="G75" s="31" t="n"/>
      <c r="H75" s="48" t="n"/>
      <c r="I75" s="48" t="n"/>
      <c r="J75" s="21" t="n"/>
    </row>
    <row r="76" ht="18" customHeight="1">
      <c r="A76" s="53" t="n"/>
      <c r="B76" s="53" t="n"/>
      <c r="C76" s="55" t="n"/>
      <c r="D76" s="48" t="n"/>
      <c r="E76" s="21" t="n"/>
      <c r="F76" s="53" t="n"/>
      <c r="G76" s="31" t="n"/>
      <c r="H76" s="48" t="n"/>
      <c r="I76" s="48" t="n"/>
      <c r="J76" s="21" t="n"/>
    </row>
    <row r="77" ht="18" customHeight="1">
      <c r="A77" s="53" t="n"/>
      <c r="B77" s="53" t="n"/>
      <c r="C77" s="55" t="n"/>
      <c r="D77" s="48" t="n"/>
      <c r="E77" s="21" t="n"/>
      <c r="F77" s="53" t="n"/>
      <c r="G77" s="31" t="n"/>
      <c r="H77" s="48" t="n"/>
      <c r="I77" s="48" t="n"/>
      <c r="J77" s="21" t="n"/>
    </row>
    <row r="78" ht="18" customHeight="1">
      <c r="A78" s="53" t="n"/>
      <c r="B78" s="53" t="n"/>
      <c r="C78" s="55" t="n"/>
      <c r="D78" s="48" t="n"/>
      <c r="E78" s="21" t="n"/>
      <c r="F78" s="53" t="n"/>
      <c r="G78" s="31" t="n"/>
      <c r="H78" s="48" t="n"/>
      <c r="I78" s="48" t="n"/>
      <c r="J78" s="21" t="n"/>
    </row>
    <row r="79" ht="18" customHeight="1">
      <c r="A79" s="53" t="n"/>
      <c r="B79" s="53" t="n"/>
      <c r="C79" s="55" t="n"/>
      <c r="D79" s="48" t="n"/>
      <c r="E79" s="21" t="n"/>
      <c r="F79" s="53" t="n"/>
      <c r="G79" s="31" t="n"/>
      <c r="H79" s="48" t="n"/>
      <c r="I79" s="48" t="n"/>
      <c r="J79" s="21" t="n"/>
    </row>
    <row r="80" ht="18" customHeight="1">
      <c r="A80" s="53" t="n"/>
      <c r="B80" s="53" t="n"/>
      <c r="C80" s="55" t="n"/>
      <c r="D80" s="48" t="n"/>
      <c r="E80" s="21" t="n"/>
      <c r="F80" s="53" t="n"/>
      <c r="G80" s="31" t="n"/>
      <c r="H80" s="48" t="n"/>
      <c r="I80" s="48" t="n"/>
      <c r="J80" s="21" t="n"/>
    </row>
    <row r="81" ht="18" customHeight="1">
      <c r="A81" s="53" t="n"/>
      <c r="B81" s="53" t="n"/>
      <c r="C81" s="55" t="n"/>
      <c r="D81" s="48" t="n"/>
      <c r="E81" s="21" t="n"/>
      <c r="F81" s="53" t="n"/>
      <c r="G81" s="31" t="n"/>
      <c r="H81" s="48" t="n"/>
      <c r="I81" s="48" t="n"/>
      <c r="J81" s="21" t="n"/>
    </row>
    <row r="82" ht="18" customHeight="1">
      <c r="A82" s="53" t="n"/>
      <c r="B82" s="53" t="n"/>
      <c r="C82" s="55" t="n"/>
      <c r="D82" s="48" t="n"/>
      <c r="E82" s="21" t="n"/>
      <c r="F82" s="53" t="n"/>
      <c r="G82" s="31" t="n"/>
      <c r="H82" s="48" t="n"/>
      <c r="I82" s="48" t="n"/>
      <c r="J82" s="21" t="n"/>
    </row>
    <row r="83" ht="18" customHeight="1">
      <c r="A83" s="53" t="n"/>
      <c r="B83" s="53" t="n"/>
      <c r="C83" s="55" t="n"/>
      <c r="D83" s="48" t="n"/>
      <c r="E83" s="21" t="n"/>
      <c r="F83" s="53" t="n"/>
      <c r="G83" s="31" t="n"/>
      <c r="H83" s="48" t="n"/>
      <c r="I83" s="48" t="n"/>
      <c r="J83" s="21" t="n"/>
    </row>
    <row r="84" ht="18" customHeight="1">
      <c r="A84" s="53" t="n"/>
      <c r="B84" s="53" t="n"/>
      <c r="C84" s="55" t="n"/>
      <c r="D84" s="48" t="n"/>
      <c r="E84" s="21" t="n"/>
      <c r="F84" s="53" t="n"/>
      <c r="G84" s="31" t="n"/>
      <c r="H84" s="48" t="n"/>
      <c r="I84" s="48" t="n"/>
      <c r="J84" s="21" t="n"/>
    </row>
    <row r="85" ht="18" customHeight="1">
      <c r="A85" s="53" t="n"/>
      <c r="B85" s="53" t="n"/>
      <c r="C85" s="55" t="n"/>
      <c r="D85" s="48" t="n"/>
      <c r="E85" s="21" t="n"/>
      <c r="F85" s="53" t="n"/>
      <c r="G85" s="31" t="n"/>
      <c r="H85" s="48" t="n"/>
      <c r="I85" s="48" t="n"/>
      <c r="J85" s="21" t="n"/>
    </row>
    <row r="86" ht="18" customHeight="1">
      <c r="A86" s="53" t="n"/>
      <c r="B86" s="53" t="n"/>
      <c r="C86" s="55" t="n"/>
      <c r="D86" s="48" t="n"/>
      <c r="E86" s="21" t="n"/>
      <c r="F86" s="53" t="n"/>
      <c r="G86" s="31" t="n"/>
      <c r="H86" s="48" t="n"/>
      <c r="I86" s="48" t="n"/>
      <c r="J86" s="21" t="n"/>
    </row>
    <row r="87" ht="18" customHeight="1">
      <c r="A87" s="53" t="n"/>
      <c r="B87" s="53" t="n"/>
      <c r="C87" s="55" t="n"/>
      <c r="D87" s="48" t="n"/>
      <c r="E87" s="21" t="n"/>
      <c r="F87" s="53" t="n"/>
      <c r="G87" s="31" t="n"/>
      <c r="H87" s="48" t="n"/>
      <c r="I87" s="48" t="n"/>
      <c r="J87" s="21" t="n"/>
    </row>
    <row r="88" ht="18" customHeight="1">
      <c r="A88" s="53" t="n"/>
      <c r="B88" s="53" t="n"/>
      <c r="C88" s="55" t="n"/>
      <c r="D88" s="48" t="n"/>
      <c r="E88" s="21" t="n"/>
      <c r="F88" s="53" t="n"/>
      <c r="G88" s="31" t="n"/>
      <c r="H88" s="48" t="n"/>
      <c r="I88" s="48" t="n"/>
      <c r="J88" s="21" t="n"/>
    </row>
    <row r="89" ht="18" customHeight="1">
      <c r="A89" s="53" t="n"/>
      <c r="B89" s="53" t="n"/>
      <c r="C89" s="55" t="n"/>
      <c r="D89" s="48" t="n"/>
      <c r="E89" s="21" t="n"/>
      <c r="F89" s="53" t="n"/>
      <c r="G89" s="31" t="n"/>
      <c r="H89" s="48" t="n"/>
      <c r="I89" s="48" t="n"/>
      <c r="J89" s="21" t="n"/>
    </row>
    <row r="90" ht="18" customHeight="1">
      <c r="A90" s="53" t="n"/>
      <c r="B90" s="53" t="n"/>
      <c r="C90" s="55" t="n"/>
      <c r="D90" s="48" t="n"/>
      <c r="E90" s="21" t="n"/>
      <c r="F90" s="53" t="n"/>
      <c r="G90" s="31" t="n"/>
      <c r="H90" s="48" t="n"/>
      <c r="I90" s="48" t="n"/>
      <c r="J90" s="21" t="n"/>
    </row>
    <row r="91" ht="18" customHeight="1">
      <c r="A91" s="53" t="n"/>
      <c r="B91" s="53" t="n"/>
      <c r="C91" s="55" t="n"/>
      <c r="D91" s="48" t="n"/>
      <c r="E91" s="21" t="n"/>
      <c r="F91" s="53" t="n"/>
      <c r="G91" s="31" t="n"/>
      <c r="H91" s="48" t="n"/>
      <c r="I91" s="48" t="n"/>
      <c r="J91" s="21" t="n"/>
    </row>
    <row r="92" ht="18" customHeight="1">
      <c r="A92" s="53" t="n"/>
      <c r="B92" s="53" t="n"/>
      <c r="C92" s="55" t="n"/>
      <c r="D92" s="48" t="n"/>
      <c r="E92" s="21" t="n"/>
      <c r="F92" s="53" t="n"/>
      <c r="G92" s="31" t="n"/>
      <c r="H92" s="48" t="n"/>
      <c r="I92" s="48" t="n"/>
      <c r="J92" s="21" t="n"/>
    </row>
    <row r="93" ht="18" customHeight="1">
      <c r="A93" s="53" t="n"/>
      <c r="B93" s="53" t="n"/>
      <c r="C93" s="55" t="n"/>
      <c r="D93" s="48" t="n"/>
      <c r="E93" s="21" t="n"/>
      <c r="F93" s="53" t="n"/>
      <c r="G93" s="31" t="n"/>
      <c r="H93" s="48" t="n"/>
      <c r="I93" s="48" t="n"/>
      <c r="J93" s="21" t="n"/>
    </row>
    <row r="94" ht="18" customHeight="1">
      <c r="A94" s="53" t="n"/>
      <c r="B94" s="53" t="n"/>
      <c r="C94" s="55" t="n"/>
      <c r="D94" s="48" t="n"/>
      <c r="E94" s="21" t="n"/>
      <c r="F94" s="53" t="n"/>
      <c r="G94" s="31" t="n"/>
      <c r="H94" s="48" t="n"/>
      <c r="I94" s="48" t="n"/>
      <c r="J94" s="21" t="n"/>
    </row>
    <row r="95" ht="18" customHeight="1">
      <c r="A95" s="53" t="n"/>
      <c r="B95" s="53" t="n"/>
      <c r="C95" s="55" t="n"/>
      <c r="D95" s="48" t="n"/>
      <c r="E95" s="21" t="n"/>
      <c r="F95" s="53" t="n"/>
      <c r="G95" s="31" t="n"/>
      <c r="H95" s="48" t="n"/>
      <c r="I95" s="48" t="n"/>
      <c r="J95" s="21" t="n"/>
    </row>
    <row r="96" ht="18" customHeight="1">
      <c r="A96" s="53" t="n"/>
      <c r="B96" s="53" t="n"/>
      <c r="C96" s="55" t="n"/>
      <c r="D96" s="48" t="n"/>
      <c r="E96" s="21" t="n"/>
      <c r="F96" s="53" t="n"/>
      <c r="G96" s="31" t="n"/>
      <c r="H96" s="48" t="n"/>
      <c r="I96" s="48" t="n"/>
      <c r="J96" s="21" t="n"/>
    </row>
    <row r="97" ht="18" customHeight="1">
      <c r="A97" s="53" t="n"/>
      <c r="B97" s="53" t="n"/>
      <c r="C97" s="55" t="n"/>
      <c r="D97" s="48" t="n"/>
      <c r="E97" s="21" t="n"/>
      <c r="F97" s="53" t="n"/>
      <c r="G97" s="31" t="n"/>
      <c r="H97" s="48" t="n"/>
      <c r="I97" s="48" t="n"/>
      <c r="J97" s="21" t="n"/>
    </row>
    <row r="98" ht="18" customHeight="1">
      <c r="A98" s="53" t="n"/>
      <c r="B98" s="53" t="n"/>
      <c r="C98" s="55" t="n"/>
      <c r="D98" s="48" t="n"/>
      <c r="E98" s="21" t="n"/>
      <c r="F98" s="53" t="n"/>
      <c r="G98" s="31" t="n"/>
      <c r="H98" s="48" t="n"/>
      <c r="I98" s="48" t="n"/>
      <c r="J98" s="21" t="n"/>
    </row>
    <row r="99" ht="18" customHeight="1">
      <c r="A99" s="53" t="n"/>
      <c r="B99" s="53" t="n"/>
      <c r="C99" s="55" t="n"/>
      <c r="D99" s="48" t="n"/>
      <c r="E99" s="21" t="n"/>
      <c r="F99" s="53" t="n"/>
      <c r="G99" s="31" t="n"/>
      <c r="H99" s="48" t="n"/>
      <c r="I99" s="48" t="n"/>
      <c r="J99" s="21" t="n"/>
    </row>
    <row r="100" ht="18" customHeight="1">
      <c r="A100" s="53" t="n"/>
      <c r="B100" s="53" t="n"/>
      <c r="C100" s="55" t="n"/>
      <c r="D100" s="48" t="n"/>
      <c r="E100" s="21" t="n"/>
      <c r="F100" s="53" t="n"/>
      <c r="G100" s="31" t="n"/>
      <c r="H100" s="48" t="n"/>
      <c r="I100" s="48" t="n"/>
      <c r="J100" s="21" t="n"/>
    </row>
    <row r="101" ht="18" customHeight="1">
      <c r="A101" s="53" t="n"/>
      <c r="B101" s="53" t="n"/>
      <c r="C101" s="55" t="n"/>
      <c r="D101" s="48" t="n"/>
      <c r="E101" s="21" t="n"/>
      <c r="F101" s="53" t="n"/>
      <c r="G101" s="31" t="n"/>
      <c r="H101" s="48" t="n"/>
      <c r="I101" s="48" t="n"/>
      <c r="J101" s="21" t="n"/>
    </row>
    <row r="102" ht="18" customHeight="1">
      <c r="A102" s="53" t="n"/>
      <c r="B102" s="53" t="n"/>
      <c r="C102" s="55" t="n"/>
      <c r="D102" s="48" t="n"/>
      <c r="E102" s="21" t="n"/>
      <c r="F102" s="53" t="n"/>
      <c r="G102" s="31" t="n"/>
      <c r="H102" s="48" t="n"/>
      <c r="I102" s="48" t="n"/>
      <c r="J102" s="21" t="n"/>
    </row>
    <row r="103" ht="18" customHeight="1">
      <c r="A103" s="53" t="n"/>
      <c r="B103" s="53" t="n"/>
      <c r="C103" s="55" t="n"/>
      <c r="D103" s="48" t="n"/>
      <c r="E103" s="21" t="n"/>
      <c r="F103" s="53" t="n"/>
      <c r="G103" s="31" t="n"/>
      <c r="H103" s="48" t="n"/>
      <c r="I103" s="48" t="n"/>
      <c r="J103" s="21" t="n"/>
    </row>
    <row r="104" ht="18" customHeight="1">
      <c r="A104" s="53" t="n"/>
      <c r="B104" s="53" t="n"/>
      <c r="C104" s="55" t="n"/>
      <c r="D104" s="48" t="n"/>
      <c r="E104" s="21" t="n"/>
      <c r="F104" s="53" t="n"/>
      <c r="G104" s="31" t="n"/>
      <c r="H104" s="48" t="n"/>
      <c r="I104" s="48" t="n"/>
      <c r="J104" s="21" t="n"/>
    </row>
    <row r="105" ht="18" customHeight="1">
      <c r="A105" s="53" t="n"/>
      <c r="B105" s="53" t="n"/>
      <c r="C105" s="55" t="n"/>
      <c r="D105" s="48" t="n"/>
      <c r="E105" s="21" t="n"/>
      <c r="F105" s="53" t="n"/>
      <c r="G105" s="31" t="n"/>
      <c r="H105" s="48" t="n"/>
      <c r="I105" s="48" t="n"/>
      <c r="J105" s="21" t="n"/>
    </row>
    <row r="106" ht="18" customHeight="1">
      <c r="A106" s="53" t="n"/>
      <c r="B106" s="53" t="n"/>
      <c r="C106" s="55" t="n"/>
      <c r="D106" s="48" t="n"/>
      <c r="E106" s="21" t="n"/>
      <c r="F106" s="53" t="n"/>
      <c r="G106" s="31" t="n"/>
      <c r="H106" s="48" t="n"/>
      <c r="I106" s="48" t="n"/>
      <c r="J106" s="21" t="n"/>
    </row>
    <row r="107" ht="18" customHeight="1">
      <c r="A107" s="53" t="n"/>
      <c r="B107" s="53" t="n"/>
      <c r="C107" s="55" t="n"/>
      <c r="D107" s="48" t="n"/>
      <c r="E107" s="21" t="n"/>
      <c r="F107" s="53" t="n"/>
      <c r="G107" s="31" t="n"/>
      <c r="H107" s="48" t="n"/>
      <c r="I107" s="48" t="n"/>
      <c r="J107" s="21" t="n"/>
    </row>
    <row r="108" ht="18" customHeight="1">
      <c r="A108" s="53" t="n"/>
      <c r="B108" s="53" t="n"/>
      <c r="C108" s="55" t="n"/>
      <c r="D108" s="48" t="n"/>
      <c r="E108" s="21" t="n"/>
      <c r="F108" s="53" t="n"/>
      <c r="G108" s="31" t="n"/>
      <c r="H108" s="48" t="n"/>
      <c r="I108" s="48" t="n"/>
      <c r="J108" s="21" t="n"/>
    </row>
    <row r="109" ht="18" customHeight="1">
      <c r="A109" s="53" t="n"/>
      <c r="B109" s="53" t="n"/>
      <c r="C109" s="55" t="n"/>
      <c r="D109" s="48" t="n"/>
      <c r="E109" s="21" t="n"/>
      <c r="F109" s="53" t="n"/>
      <c r="G109" s="31" t="n"/>
      <c r="H109" s="48" t="n"/>
      <c r="I109" s="48" t="n"/>
      <c r="J109" s="21" t="n"/>
    </row>
    <row r="110" ht="18" customHeight="1">
      <c r="A110" s="53" t="n"/>
      <c r="B110" s="53" t="n"/>
      <c r="C110" s="55" t="n"/>
      <c r="D110" s="48" t="n"/>
      <c r="E110" s="21" t="n"/>
      <c r="F110" s="53" t="n"/>
      <c r="G110" s="31" t="n"/>
      <c r="H110" s="48" t="n"/>
      <c r="I110" s="48" t="n"/>
      <c r="J110" s="21" t="n"/>
    </row>
    <row r="111" ht="18" customHeight="1">
      <c r="A111" s="53" t="n"/>
      <c r="B111" s="53" t="n"/>
      <c r="C111" s="55" t="n"/>
      <c r="D111" s="48" t="n"/>
      <c r="E111" s="21" t="n"/>
      <c r="F111" s="53" t="n"/>
      <c r="G111" s="31" t="n"/>
      <c r="H111" s="48" t="n"/>
      <c r="I111" s="48" t="n"/>
      <c r="J111" s="21" t="n"/>
    </row>
    <row r="112" ht="18" customHeight="1">
      <c r="A112" s="53" t="n"/>
      <c r="B112" s="53" t="n"/>
      <c r="C112" s="55" t="n"/>
      <c r="D112" s="48" t="n"/>
      <c r="E112" s="21" t="n"/>
      <c r="F112" s="53" t="n"/>
      <c r="G112" s="31" t="n"/>
      <c r="H112" s="48" t="n"/>
      <c r="I112" s="48" t="n"/>
      <c r="J112" s="21" t="n"/>
    </row>
    <row r="113" ht="18" customHeight="1">
      <c r="A113" s="53" t="n"/>
      <c r="B113" s="53" t="n"/>
      <c r="C113" s="55" t="n"/>
      <c r="D113" s="48" t="n"/>
      <c r="E113" s="21" t="n"/>
      <c r="F113" s="53" t="n"/>
      <c r="G113" s="31" t="n"/>
      <c r="H113" s="48" t="n"/>
      <c r="I113" s="48" t="n"/>
      <c r="J113" s="21" t="n"/>
    </row>
    <row r="114" ht="18" customHeight="1">
      <c r="A114" s="53" t="n"/>
      <c r="B114" s="53" t="n"/>
      <c r="C114" s="55" t="n"/>
      <c r="D114" s="48" t="n"/>
      <c r="E114" s="21" t="n"/>
      <c r="F114" s="53" t="n"/>
      <c r="G114" s="31" t="n"/>
      <c r="H114" s="48" t="n"/>
      <c r="I114" s="48" t="n"/>
      <c r="J114" s="21" t="n"/>
    </row>
    <row r="115" ht="18" customHeight="1">
      <c r="A115" s="53" t="n"/>
      <c r="B115" s="53" t="n"/>
      <c r="C115" s="55" t="n"/>
      <c r="D115" s="48" t="n"/>
      <c r="E115" s="21" t="n"/>
      <c r="F115" s="53" t="n"/>
      <c r="G115" s="31" t="n"/>
      <c r="H115" s="48" t="n"/>
      <c r="I115" s="48" t="n"/>
      <c r="J115" s="21" t="n"/>
    </row>
    <row r="116" ht="18" customHeight="1">
      <c r="A116" s="53" t="n"/>
      <c r="B116" s="53" t="n"/>
      <c r="C116" s="55" t="n"/>
      <c r="D116" s="48" t="n"/>
      <c r="E116" s="21" t="n"/>
      <c r="F116" s="53" t="n"/>
      <c r="G116" s="31" t="n"/>
      <c r="H116" s="48" t="n"/>
      <c r="I116" s="48" t="n"/>
      <c r="J116" s="21" t="n"/>
    </row>
    <row r="117" ht="18" customHeight="1">
      <c r="A117" s="53" t="n"/>
      <c r="B117" s="53" t="n"/>
      <c r="C117" s="55" t="n"/>
      <c r="D117" s="48" t="n"/>
      <c r="E117" s="21" t="n"/>
      <c r="F117" s="53" t="n"/>
      <c r="G117" s="31" t="n"/>
      <c r="H117" s="48" t="n"/>
      <c r="I117" s="48" t="n"/>
      <c r="J117" s="21" t="n"/>
    </row>
    <row r="118" ht="18" customHeight="1">
      <c r="A118" s="53" t="n"/>
      <c r="B118" s="53" t="n"/>
      <c r="C118" s="55" t="n"/>
      <c r="D118" s="48" t="n"/>
      <c r="E118" s="21" t="n"/>
      <c r="F118" s="53" t="n"/>
      <c r="G118" s="31" t="n"/>
      <c r="H118" s="48" t="n"/>
      <c r="I118" s="48" t="n"/>
      <c r="J118" s="21" t="n"/>
    </row>
    <row r="119" ht="18" customHeight="1">
      <c r="A119" s="53" t="n"/>
      <c r="B119" s="53" t="n"/>
      <c r="C119" s="55" t="n"/>
      <c r="D119" s="48" t="n"/>
      <c r="E119" s="21" t="n"/>
      <c r="F119" s="53" t="n"/>
      <c r="G119" s="31" t="n"/>
      <c r="H119" s="48" t="n"/>
      <c r="I119" s="48" t="n"/>
      <c r="J119" s="21" t="n"/>
    </row>
    <row r="120" ht="18" customHeight="1">
      <c r="A120" s="53" t="n"/>
      <c r="B120" s="53" t="n"/>
      <c r="C120" s="55" t="n"/>
      <c r="D120" s="48" t="n"/>
      <c r="E120" s="21" t="n"/>
      <c r="F120" s="53" t="n"/>
      <c r="G120" s="31" t="n"/>
      <c r="H120" s="48" t="n"/>
      <c r="I120" s="48" t="n"/>
      <c r="J120" s="21" t="n"/>
    </row>
    <row r="121" ht="18" customHeight="1">
      <c r="A121" s="53" t="n"/>
      <c r="B121" s="53" t="n"/>
      <c r="C121" s="55" t="n"/>
      <c r="D121" s="48" t="n"/>
      <c r="E121" s="21" t="n"/>
      <c r="F121" s="53" t="n"/>
      <c r="G121" s="31" t="n"/>
      <c r="H121" s="48" t="n"/>
      <c r="I121" s="48" t="n"/>
      <c r="J121" s="21" t="n"/>
    </row>
    <row r="122" ht="18" customHeight="1">
      <c r="A122" s="53" t="n"/>
      <c r="B122" s="53" t="n"/>
      <c r="C122" s="55" t="n"/>
      <c r="D122" s="48" t="n"/>
      <c r="E122" s="21" t="n"/>
      <c r="F122" s="53" t="n"/>
      <c r="G122" s="31" t="n"/>
      <c r="H122" s="48" t="n"/>
      <c r="I122" s="48" t="n"/>
      <c r="J122" s="21" t="n"/>
    </row>
    <row r="123"/>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47" t="inlineStr">
        <is>
          <t>חלות</t>
        </is>
      </c>
      <c r="B3" s="53" t="inlineStr">
        <is>
          <t>הכנות שישי</t>
        </is>
      </c>
      <c r="C3" s="53" t="n">
        <v>3</v>
      </c>
      <c r="D3" s="34" t="inlineStr">
        <is>
          <t>אריאלה מרכוס</t>
        </is>
      </c>
      <c r="E3" s="31" t="inlineStr">
        <is>
          <t>פנחס אליהו גלוסקין, ליעם גבע, אריאלה מרכוס</t>
        </is>
      </c>
      <c r="F3" s="50">
        <f>IF(E3="","",LEN(E3)-LEN(SUBSTITUTE(E3,",",""))+1)</f>
        <v/>
      </c>
      <c r="G3" s="50">
        <f>IF(A3="","",COUNTIF('משימות'!$D$3:$D$122,A3))</f>
        <v/>
      </c>
    </row>
    <row r="4" ht="30" customHeight="1">
      <c r="A4" s="47" t="inlineStr">
        <is>
          <t>בראוניז ללא גלוטן</t>
        </is>
      </c>
      <c r="B4" s="53" t="inlineStr">
        <is>
          <t>הכנות שישי</t>
        </is>
      </c>
      <c r="C4" s="53" t="n">
        <v>3</v>
      </c>
      <c r="D4" s="34" t="inlineStr">
        <is>
          <t>ארבל פרנקו</t>
        </is>
      </c>
      <c r="E4" s="31" t="n"/>
      <c r="F4" s="50">
        <f>IF(E4="","",LEN(E4)-LEN(SUBSTITUTE(E4,",",""))+1)</f>
        <v/>
      </c>
      <c r="G4" s="50">
        <f>IF(A4="","",COUNTIF('משימות'!$D$3:$D$122,A4))</f>
        <v/>
      </c>
    </row>
    <row r="5" ht="30" customHeight="1">
      <c r="A5" s="47" t="inlineStr">
        <is>
          <t>עוגת שוקולד</t>
        </is>
      </c>
      <c r="B5" s="53" t="inlineStr">
        <is>
          <t>הכנות שישי</t>
        </is>
      </c>
      <c r="C5" s="53" t="n">
        <v>3</v>
      </c>
      <c r="D5" s="34" t="inlineStr">
        <is>
          <t>ניצן גמלא</t>
        </is>
      </c>
      <c r="E5" s="31" t="inlineStr">
        <is>
          <t>יותם ספיר, ניצן גמלא</t>
        </is>
      </c>
      <c r="F5" s="50">
        <f>IF(E5="","",LEN(E5)-LEN(SUBSTITUTE(E5,",",""))+1)</f>
        <v/>
      </c>
      <c r="G5" s="50">
        <f>IF(A5="","",COUNTIF('משימות'!$D$3:$D$122,A5))</f>
        <v/>
      </c>
    </row>
    <row r="6" ht="30" customHeight="1">
      <c r="A6" s="47" t="inlineStr">
        <is>
          <t>עוגת שמרים</t>
        </is>
      </c>
      <c r="B6" s="53" t="inlineStr">
        <is>
          <t>הכנות שישי</t>
        </is>
      </c>
      <c r="C6" s="53" t="n">
        <v>3</v>
      </c>
      <c r="D6" s="34" t="inlineStr">
        <is>
          <t>מעיין רחל דינר</t>
        </is>
      </c>
      <c r="E6" s="31" t="inlineStr">
        <is>
          <t>הלל פינגולד, ליבי בוכריס, מעיין רחל דינר</t>
        </is>
      </c>
      <c r="F6" s="50">
        <f>IF(E6="","",LEN(E6)-LEN(SUBSTITUTE(E6,",",""))+1)</f>
        <v/>
      </c>
      <c r="G6" s="50">
        <f>IF(A6="","",COUNTIF('משימות'!$D$3:$D$122,A6))</f>
        <v/>
      </c>
    </row>
    <row r="7" ht="30" customHeight="1">
      <c r="A7" s="47" t="inlineStr">
        <is>
          <t>מטבוחה</t>
        </is>
      </c>
      <c r="B7" s="53" t="inlineStr">
        <is>
          <t>הכנות שישי</t>
        </is>
      </c>
      <c r="C7" s="53" t="n">
        <v>3</v>
      </c>
      <c r="D7" s="34" t="inlineStr">
        <is>
          <t>הילי אלפסי</t>
        </is>
      </c>
      <c r="E7" s="31" t="inlineStr">
        <is>
          <t>טליה קור, נועם ישראל קומפאס, של״ו רובינשטיין, הילי אלפסי</t>
        </is>
      </c>
      <c r="F7" s="50">
        <f>IF(E7="","",LEN(E7)-LEN(SUBSTITUTE(E7,",",""))+1)</f>
        <v/>
      </c>
      <c r="G7" s="50">
        <f>IF(A7="","",COUNTIF('משימות'!$D$3:$D$122,A7))</f>
        <v/>
      </c>
    </row>
    <row r="8" ht="30" customHeight="1">
      <c r="A8" s="47" t="inlineStr">
        <is>
          <t>סלט חצילים</t>
        </is>
      </c>
      <c r="B8" s="53" t="inlineStr">
        <is>
          <t>הכנות שישי</t>
        </is>
      </c>
      <c r="C8" s="53" t="n">
        <v>3</v>
      </c>
      <c r="D8" s="34" t="inlineStr">
        <is>
          <t>אביה וייל</t>
        </is>
      </c>
      <c r="E8" s="31" t="n"/>
      <c r="F8" s="50">
        <f>IF(E8="","",LEN(E8)-LEN(SUBSTITUTE(E8,",",""))+1)</f>
        <v/>
      </c>
      <c r="G8" s="50">
        <f>IF(A8="","",COUNTIF('משימות'!$D$3:$D$122,A8))</f>
        <v/>
      </c>
    </row>
    <row r="9" ht="30" customHeight="1">
      <c r="A9" s="47" t="inlineStr">
        <is>
          <t>עוגיות שוקולד צ'יפס</t>
        </is>
      </c>
      <c r="B9" s="53" t="inlineStr">
        <is>
          <t>הכנות שישי</t>
        </is>
      </c>
      <c r="C9" s="53" t="n">
        <v>3</v>
      </c>
      <c r="D9" s="34" t="inlineStr">
        <is>
          <t>הדר עמדי</t>
        </is>
      </c>
      <c r="E9" s="31" t="inlineStr">
        <is>
          <t>הדר עמדי, שי- לי וולגמוט</t>
        </is>
      </c>
      <c r="F9" s="50">
        <f>IF(E9="","",LEN(E9)-LEN(SUBSTITUTE(E9,",",""))+1)</f>
        <v/>
      </c>
      <c r="G9" s="50">
        <f>IF(A9="","",COUNTIF('משימות'!$D$3:$D$122,A9))</f>
        <v/>
      </c>
    </row>
    <row r="10" ht="30" customHeight="1">
      <c r="A10" s="47" t="inlineStr">
        <is>
          <t>ארוחת צהריים שישי</t>
        </is>
      </c>
      <c r="B10" s="53" t="inlineStr">
        <is>
          <t>הכנות שישי</t>
        </is>
      </c>
      <c r="C10" s="53" t="n">
        <v>3</v>
      </c>
      <c r="D10" s="34" t="inlineStr">
        <is>
          <t>הילה עזרא</t>
        </is>
      </c>
      <c r="E10" s="31" t="inlineStr">
        <is>
          <t>הילה עזרא, רותם דרור, שחר מרקוביץ' גליק, רוני פרנקל</t>
        </is>
      </c>
      <c r="F10" s="50">
        <f>IF(E10="","",LEN(E10)-LEN(SUBSTITUTE(E10,",",""))+1)</f>
        <v/>
      </c>
      <c r="G10" s="50">
        <f>IF(A10="","",COUNTIF('משימות'!$D$3:$D$122,A10))</f>
        <v/>
      </c>
    </row>
    <row r="11" ht="30" customHeight="1">
      <c r="A11" s="47" t="inlineStr">
        <is>
          <t>בית מדרש</t>
        </is>
      </c>
      <c r="B11" s="53" t="inlineStr">
        <is>
          <t>תורנות שישי</t>
        </is>
      </c>
      <c r="C11" s="53" t="n">
        <v>3</v>
      </c>
      <c r="D11" s="34" t="inlineStr">
        <is>
          <t>אחיה נחמני</t>
        </is>
      </c>
      <c r="E11" s="31" t="inlineStr">
        <is>
          <t>כליל בלאוקופף, נגה שוהם, עופר בביוף, אוריה תעשה, סהר שירון, ארבל פרנקו, ניתאי שלום, נבו בלוך, חיים שמאי, אחיה נחמני, שירה ספונוב, אביה וייל</t>
        </is>
      </c>
      <c r="F11" s="50">
        <f>IF(E11="","",LEN(E11)-LEN(SUBSTITUTE(E11,",",""))+1)</f>
        <v/>
      </c>
      <c r="G11" s="50">
        <f>IF(A11="","",COUNTIF('משימות'!$D$3:$D$122,A11))</f>
        <v/>
      </c>
    </row>
    <row r="12" ht="30" customHeight="1">
      <c r="A12" s="47" t="inlineStr">
        <is>
          <t>ניקיון חדר האוכל בשישי</t>
        </is>
      </c>
      <c r="B12" s="53" t="inlineStr">
        <is>
          <t>תורנות שישי</t>
        </is>
      </c>
      <c r="C12" s="53" t="n">
        <v>3</v>
      </c>
      <c r="D12" s="34" t="inlineStr">
        <is>
          <t>איתמר אסנהיים</t>
        </is>
      </c>
      <c r="E12" s="31" t="inlineStr">
        <is>
          <t>יערה ריס, זואי כהן, אלה גוטליב, שילת פילפל, אלה מאיר, ינון לוי, עמית סיילס, מאיה פקטר, שחר קרן, איתמר אסנהיים, עמית שי אברהם, ירדן בן שחר</t>
        </is>
      </c>
      <c r="F12" s="50">
        <f>IF(E12="","",LEN(E12)-LEN(SUBSTITUTE(E12,",",""))+1)</f>
        <v/>
      </c>
      <c r="G12" s="50">
        <f>IF(A12="","",COUNTIF('משימות'!$D$3:$D$122,A12))</f>
        <v/>
      </c>
    </row>
    <row r="13" ht="30" customHeight="1">
      <c r="A13" s="47" t="inlineStr">
        <is>
          <t>גסטרונומים</t>
        </is>
      </c>
      <c r="B13" s="53" t="inlineStr">
        <is>
          <t>תורנות שבת</t>
        </is>
      </c>
      <c r="C13" s="53" t="n">
        <v>2</v>
      </c>
      <c r="D13" s="34" t="inlineStr">
        <is>
          <t>ניתאי שלום</t>
        </is>
      </c>
      <c r="E13" s="31" t="inlineStr">
        <is>
          <t>ניתאי שלום, שי- לי וולגמוט</t>
        </is>
      </c>
      <c r="F13" s="50">
        <f>IF(E13="","",LEN(E13)-LEN(SUBSTITUTE(E13,",",""))+1)</f>
        <v/>
      </c>
      <c r="G13" s="50">
        <f>IF(A13="","",COUNTIF('משימות'!$D$3:$D$122,A13))</f>
        <v/>
      </c>
    </row>
    <row r="14" ht="30" customHeight="1">
      <c r="A14" s="47" t="inlineStr">
        <is>
          <t>ארוחת ערב</t>
        </is>
      </c>
      <c r="B14" s="53" t="inlineStr">
        <is>
          <t>תורנות שבת</t>
        </is>
      </c>
      <c r="C14" s="53" t="n">
        <v>2</v>
      </c>
      <c r="D14" s="34" t="inlineStr">
        <is>
          <t>יואב אוחנה</t>
        </is>
      </c>
      <c r="E14" s="31" t="inlineStr">
        <is>
          <t>רוני כהן, יונתן לירז, יואב אוחנה, יובל יצחק</t>
        </is>
      </c>
      <c r="F14" s="50">
        <f>IF(E14="","",LEN(E14)-LEN(SUBSTITUTE(E14,",",""))+1)</f>
        <v/>
      </c>
      <c r="G14" s="50">
        <f>IF(A14="","",COUNTIF('משימות'!$D$3:$D$122,A14))</f>
        <v/>
      </c>
    </row>
    <row r="15" ht="30" customHeight="1">
      <c r="A15" s="47" t="inlineStr">
        <is>
          <t>פינוי ארוחת ערב</t>
        </is>
      </c>
      <c r="B15" s="53" t="inlineStr">
        <is>
          <t>תורנות שבת</t>
        </is>
      </c>
      <c r="C15" s="53" t="n">
        <v>2</v>
      </c>
      <c r="D15" s="34" t="inlineStr">
        <is>
          <t>אוריה תעשה</t>
        </is>
      </c>
      <c r="E15" s="31" t="inlineStr">
        <is>
          <t>משה אוברשטיין, כליל בלאוקופף, רותם דרור, של״ו רובינשטיין, ארבל פרנקו, נבו בלוך, אוריה תעשה</t>
        </is>
      </c>
      <c r="F15" s="50">
        <f>IF(E15="","",LEN(E15)-LEN(SUBSTITUTE(E15,",",""))+1)</f>
        <v/>
      </c>
      <c r="G15" s="50">
        <f>IF(A15="","",COUNTIF('משימות'!$D$3:$D$122,A15))</f>
        <v/>
      </c>
    </row>
    <row r="16" ht="30" customHeight="1">
      <c r="A16" s="47" t="inlineStr">
        <is>
          <t>טיש</t>
        </is>
      </c>
      <c r="B16" s="53" t="inlineStr">
        <is>
          <t>תורנות שבת</t>
        </is>
      </c>
      <c r="C16" s="53" t="n">
        <v>1</v>
      </c>
      <c r="D16" s="34" t="inlineStr">
        <is>
          <t>תמר פרידמן</t>
        </is>
      </c>
      <c r="E16" s="31" t="inlineStr">
        <is>
          <t>עופר בביוף, טליה קור, תמר פרידמן</t>
        </is>
      </c>
      <c r="F16" s="50">
        <f>IF(E16="","",LEN(E16)-LEN(SUBSTITUTE(E16,",",""))+1)</f>
        <v/>
      </c>
      <c r="G16" s="50">
        <f>IF(A16="","",COUNTIF('משימות'!$D$3:$D$122,A16))</f>
        <v/>
      </c>
    </row>
    <row r="17" ht="30" customHeight="1">
      <c r="A17" s="47" t="inlineStr">
        <is>
          <t>קידוש</t>
        </is>
      </c>
      <c r="B17" s="53" t="inlineStr">
        <is>
          <t>תורנות שבת</t>
        </is>
      </c>
      <c r="C17" s="53" t="n">
        <v>1</v>
      </c>
      <c r="D17" s="34" t="inlineStr">
        <is>
          <t>אריאלה מרכוס</t>
        </is>
      </c>
      <c r="E17" s="31" t="inlineStr">
        <is>
          <t>פנחס אליהו גלוסקין, אריאלה מרכוס, ליעם גבע</t>
        </is>
      </c>
      <c r="F17" s="50">
        <f>IF(E17="","",LEN(E17)-LEN(SUBSTITUTE(E17,",",""))+1)</f>
        <v/>
      </c>
      <c r="G17" s="50">
        <f>IF(A17="","",COUNTIF('משימות'!$D$3:$D$122,A17))</f>
        <v/>
      </c>
    </row>
    <row r="18" ht="30" customHeight="1">
      <c r="A18" s="47" t="inlineStr">
        <is>
          <t>ארוחת צהריים שבת</t>
        </is>
      </c>
      <c r="B18" s="53" t="inlineStr">
        <is>
          <t>תורנות שבת</t>
        </is>
      </c>
      <c r="C18" s="53" t="n">
        <v>2</v>
      </c>
      <c r="D18" s="34" t="inlineStr">
        <is>
          <t>הלל פינגולד</t>
        </is>
      </c>
      <c r="E18" s="31" t="inlineStr">
        <is>
          <t>יותם ספיר, הלל פינגולד, ליבי בוכריס, ניצן גמלא</t>
        </is>
      </c>
      <c r="F18" s="50">
        <f>IF(E18="","",LEN(E18)-LEN(SUBSTITUTE(E18,",",""))+1)</f>
        <v/>
      </c>
      <c r="G18" s="50">
        <f>IF(A18="","",COUNTIF('משימות'!$D$3:$D$122,A18))</f>
        <v/>
      </c>
    </row>
    <row r="19" ht="30" customHeight="1">
      <c r="A19" s="47" t="inlineStr">
        <is>
          <t>פינוי ארוחת צהריים וסעודה שלישית</t>
        </is>
      </c>
      <c r="B19" s="53" t="inlineStr">
        <is>
          <t>תורנות שבת</t>
        </is>
      </c>
      <c r="C19" s="53" t="n">
        <v>2</v>
      </c>
      <c r="D19" s="34" t="inlineStr">
        <is>
          <t>מעיין רחל דינר</t>
        </is>
      </c>
      <c r="E19" s="31" t="inlineStr">
        <is>
          <t>מעיין רחל דינר, נועם ישראל קומפאס, הילי אלפסי, הילה עזרא, נגה שוהם</t>
        </is>
      </c>
      <c r="F19" s="50">
        <f>IF(E19="","",LEN(E19)-LEN(SUBSTITUTE(E19,",",""))+1)</f>
        <v/>
      </c>
      <c r="G19" s="50">
        <f>IF(A19="","",COUNTIF('משימות'!$D$3:$D$122,A19))</f>
        <v/>
      </c>
    </row>
    <row r="20" ht="30" customHeight="1">
      <c r="A20" s="47" t="inlineStr">
        <is>
          <t>ניקיון בית המדרש במוצ"ש</t>
        </is>
      </c>
      <c r="B20" s="53" t="inlineStr">
        <is>
          <t>תורנות מוצ"ש</t>
        </is>
      </c>
      <c r="C20" s="53" t="n">
        <v>2</v>
      </c>
      <c r="D20" s="34" t="inlineStr">
        <is>
          <t>אחיה נחמני</t>
        </is>
      </c>
      <c r="E20" s="31" t="inlineStr">
        <is>
          <t>יונתן לירז, הדר עמדי, סהר שירון, רוני פרנקל, שחר מרקוביץ' גליק, תמר פרידמן, יובל יצחק, אחיה נחמני, חיים שמאי, יערה ריס</t>
        </is>
      </c>
      <c r="F20" s="50">
        <f>IF(E20="","",LEN(E20)-LEN(SUBSTITUTE(E20,",",""))+1)</f>
        <v/>
      </c>
      <c r="G20" s="50">
        <f>IF(A20="","",COUNTIF('משימות'!$D$3:$D$122,A20))</f>
        <v/>
      </c>
    </row>
    <row r="21" ht="30" customHeight="1">
      <c r="A21" s="47" t="inlineStr">
        <is>
          <t>ניקיון חדר האוכל במוצ"ש</t>
        </is>
      </c>
      <c r="B21" s="53" t="inlineStr">
        <is>
          <t>תורנות מוצ"ש</t>
        </is>
      </c>
      <c r="C21" s="53" t="n">
        <v>3</v>
      </c>
      <c r="D21" s="34" t="inlineStr">
        <is>
          <t>אביה וייל</t>
        </is>
      </c>
      <c r="E21" s="31" t="inlineStr">
        <is>
          <t>שירה ספונוב, אביה וייל, יואב אוחנה, זואי כהן, משה אוברשטיין, עמית סיילס, אלה גוטליב, מאיה פקטר, שילת פילפל, שחר קרן</t>
        </is>
      </c>
      <c r="F21" s="50">
        <f>IF(E21="","",LEN(E21)-LEN(SUBSTITUTE(E21,",",""))+1)</f>
        <v/>
      </c>
      <c r="G21" s="50">
        <f>IF(A21="","",COUNTIF('משימות'!$D$3:$D$122,A21))</f>
        <v/>
      </c>
    </row>
    <row r="22" ht="30" customHeight="1">
      <c r="A22" s="47" t="inlineStr">
        <is>
          <t>ארוחת ערב מוצ"ש</t>
        </is>
      </c>
      <c r="B22" s="53" t="inlineStr">
        <is>
          <t>תורנות מוצ"ש</t>
        </is>
      </c>
      <c r="C22" s="53" t="n">
        <v>3</v>
      </c>
      <c r="D22" s="34" t="inlineStr">
        <is>
          <t>איתמר אסנהיים</t>
        </is>
      </c>
      <c r="E22" s="31" t="inlineStr">
        <is>
          <t>אלה מאיר, עמית שי אברהם, ינון לוי, איתמר אסנהיים, ירדן בן שחר</t>
        </is>
      </c>
      <c r="F22" s="50">
        <f>IF(E22="","",LEN(E22)-LEN(SUBSTITUTE(E22,",",""))+1)</f>
        <v/>
      </c>
      <c r="G22" s="50">
        <f>IF(A22="","",COUNTIF('משימות'!$D$3:$D$122,A22))</f>
        <v/>
      </c>
    </row>
    <row r="23" ht="18" customHeight="1">
      <c r="A23" s="47" t="n"/>
      <c r="B23" s="53" t="n"/>
      <c r="C23" s="53" t="n"/>
      <c r="D23" s="34" t="n"/>
      <c r="E23" s="31" t="n"/>
      <c r="F23" s="50">
        <f>IF(E23="","",LEN(E23)-LEN(SUBSTITUTE(E23,",",""))+1)</f>
        <v/>
      </c>
      <c r="G23" s="50">
        <f>IF(A23="","",COUNTIF('משימות'!$D$3:$D$122,A23))</f>
        <v/>
      </c>
    </row>
    <row r="24" ht="18" customHeight="1">
      <c r="A24" s="47" t="n"/>
      <c r="B24" s="53" t="n"/>
      <c r="C24" s="53" t="n"/>
      <c r="D24" s="34" t="n"/>
      <c r="E24" s="31" t="n"/>
      <c r="F24" s="50">
        <f>IF(E24="","",LEN(E24)-LEN(SUBSTITUTE(E24,",",""))+1)</f>
        <v/>
      </c>
      <c r="G24" s="50">
        <f>IF(A24="","",COUNTIF('משימות'!$D$3:$D$122,A24))</f>
        <v/>
      </c>
    </row>
    <row r="25" ht="18" customHeight="1">
      <c r="A25" s="47" t="n"/>
      <c r="B25" s="53" t="n"/>
      <c r="C25" s="53" t="n"/>
      <c r="D25" s="34" t="n"/>
      <c r="E25" s="31" t="n"/>
      <c r="F25" s="50">
        <f>IF(E25="","",LEN(E25)-LEN(SUBSTITUTE(E25,",",""))+1)</f>
        <v/>
      </c>
      <c r="G25" s="50">
        <f>IF(A25="","",COUNTIF('משימות'!$D$3:$D$122,A25))</f>
        <v/>
      </c>
    </row>
    <row r="26" ht="18" customHeight="1">
      <c r="A26" s="47" t="n"/>
      <c r="B26" s="53" t="n"/>
      <c r="C26" s="53" t="n"/>
      <c r="D26" s="34" t="n"/>
      <c r="E26" s="31" t="n"/>
      <c r="F26" s="50">
        <f>IF(E26="","",LEN(E26)-LEN(SUBSTITUTE(E26,",",""))+1)</f>
        <v/>
      </c>
      <c r="G26" s="50">
        <f>IF(A26="","",COUNTIF('משימות'!$D$3:$D$122,A26))</f>
        <v/>
      </c>
    </row>
    <row r="27" ht="18" customHeight="1">
      <c r="A27" s="47" t="n"/>
      <c r="B27" s="53" t="n"/>
      <c r="C27" s="53" t="n"/>
      <c r="D27" s="34" t="n"/>
      <c r="E27" s="31" t="n"/>
      <c r="F27" s="50">
        <f>IF(E27="","",LEN(E27)-LEN(SUBSTITUTE(E27,",",""))+1)</f>
        <v/>
      </c>
      <c r="G27" s="50">
        <f>IF(A27="","",COUNTIF('משימות'!$D$3:$D$122,A27))</f>
        <v/>
      </c>
    </row>
    <row r="28" ht="18" customHeight="1">
      <c r="A28" s="47" t="n"/>
      <c r="B28" s="53" t="n"/>
      <c r="C28" s="53" t="n"/>
      <c r="D28" s="34" t="n"/>
      <c r="E28" s="31" t="n"/>
      <c r="F28" s="50">
        <f>IF(E28="","",LEN(E28)-LEN(SUBSTITUTE(E28,",",""))+1)</f>
        <v/>
      </c>
      <c r="G28" s="50">
        <f>IF(A28="","",COUNTIF('משימות'!$D$3:$D$122,A28))</f>
        <v/>
      </c>
    </row>
    <row r="29" ht="18" customHeight="1">
      <c r="A29" s="47" t="n"/>
      <c r="B29" s="53" t="n"/>
      <c r="C29" s="53" t="n"/>
      <c r="D29" s="34" t="n"/>
      <c r="E29" s="31" t="n"/>
      <c r="F29" s="50">
        <f>IF(E29="","",LEN(E29)-LEN(SUBSTITUTE(E29,",",""))+1)</f>
        <v/>
      </c>
      <c r="G29" s="50">
        <f>IF(A29="","",COUNTIF('משימות'!$D$3:$D$122,A29))</f>
        <v/>
      </c>
    </row>
    <row r="30" ht="18" customHeight="1">
      <c r="A30" s="47" t="n"/>
      <c r="B30" s="53" t="n"/>
      <c r="C30" s="53" t="n"/>
      <c r="D30" s="34" t="n"/>
      <c r="E30" s="31" t="n"/>
      <c r="F30" s="50">
        <f>IF(E30="","",LEN(E30)-LEN(SUBSTITUTE(E30,",",""))+1)</f>
        <v/>
      </c>
      <c r="G30" s="50">
        <f>IF(A30="","",COUNTIF('משימות'!$D$3:$D$122,A30))</f>
        <v/>
      </c>
    </row>
    <row r="31" ht="18" customHeight="1">
      <c r="A31" s="47" t="n"/>
      <c r="B31" s="53" t="n"/>
      <c r="C31" s="53" t="n"/>
      <c r="D31" s="34" t="n"/>
      <c r="E31" s="31" t="n"/>
      <c r="F31" s="50">
        <f>IF(E31="","",LEN(E31)-LEN(SUBSTITUTE(E31,",",""))+1)</f>
        <v/>
      </c>
      <c r="G31" s="50">
        <f>IF(A31="","",COUNTIF('משימות'!$D$3:$D$122,A31))</f>
        <v/>
      </c>
    </row>
    <row r="32" ht="18" customHeight="1">
      <c r="A32" s="47" t="n"/>
      <c r="B32" s="53" t="n"/>
      <c r="C32" s="53" t="n"/>
      <c r="D32" s="34" t="n"/>
      <c r="E32" s="31" t="n"/>
      <c r="F32" s="50">
        <f>IF(E32="","",LEN(E32)-LEN(SUBSTITUTE(E32,",",""))+1)</f>
        <v/>
      </c>
      <c r="G32" s="50">
        <f>IF(A32="","",COUNTIF('משימות'!$D$3:$D$122,A32))</f>
        <v/>
      </c>
    </row>
    <row r="33"/>
    <row r="34" ht="28" customHeight="1">
      <c r="A34" s="26" t="n"/>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48" t="inlineStr">
        <is>
          <t>ניתאי שלום</t>
        </is>
      </c>
      <c r="B3" s="53" t="inlineStr">
        <is>
          <t>מדרשה</t>
        </is>
      </c>
      <c r="C3" s="35" t="inlineStr">
        <is>
          <t>אבי</t>
        </is>
      </c>
      <c r="D3" s="35" t="inlineStr">
        <is>
          <t>כן</t>
        </is>
      </c>
      <c r="E3" s="34" t="inlineStr">
        <is>
          <t>בית מדרש; גסטרונומים</t>
        </is>
      </c>
      <c r="F3" s="50">
        <f>IF(A3="","",COUNTIF('משימות'!$G$3:$G$122,"*"&amp;A3&amp;"*"))</f>
        <v/>
      </c>
      <c r="G3" s="35" t="n">
        <v>5</v>
      </c>
      <c r="H3" s="50">
        <f>IF(A3="","",SUMIF('היסטוריה'!$B$3:$B$3002,A3,'היסטוריה'!$E$3:$E$3002))</f>
        <v/>
      </c>
      <c r="I3" s="34" t="n"/>
    </row>
    <row r="4">
      <c r="A4" s="48" t="inlineStr">
        <is>
          <t>איתן וינסטון</t>
        </is>
      </c>
      <c r="B4" s="53" t="inlineStr">
        <is>
          <t>מדרשה</t>
        </is>
      </c>
      <c r="C4" s="35" t="n"/>
      <c r="D4" s="35" t="n"/>
      <c r="E4" s="34" t="n"/>
      <c r="F4" s="50">
        <f>IF(A4="","",COUNTIF('משימות'!$G$3:$G$122,"*"&amp;A4&amp;"*"))</f>
        <v/>
      </c>
      <c r="G4" s="35" t="n"/>
      <c r="H4" s="50">
        <f>IF(A4="","",SUMIF('היסטוריה'!$B$3:$B$3002,A4,'היסטוריה'!$E$3:$E$3002))</f>
        <v/>
      </c>
      <c r="I4" s="34" t="inlineStr">
        <is>
          <t>לא נוכח/ת</t>
        </is>
      </c>
    </row>
    <row r="5">
      <c r="A5" s="48" t="inlineStr">
        <is>
          <t>יובל יצחק</t>
        </is>
      </c>
      <c r="B5" s="53" t="inlineStr">
        <is>
          <t>מדרשה</t>
        </is>
      </c>
      <c r="C5" s="35" t="inlineStr">
        <is>
          <t>בניה</t>
        </is>
      </c>
      <c r="D5" s="35" t="inlineStr">
        <is>
          <t>כן</t>
        </is>
      </c>
      <c r="E5" s="34" t="inlineStr">
        <is>
          <t>ארוחת ערב; ניקיון בית המדרש במוצ"ש</t>
        </is>
      </c>
      <c r="F5" s="50">
        <f>IF(A5="","",COUNTIF('משימות'!$G$3:$G$122,"*"&amp;A5&amp;"*"))</f>
        <v/>
      </c>
      <c r="G5" s="35" t="n">
        <v>4</v>
      </c>
      <c r="H5" s="50">
        <f>IF(A5="","",SUMIF('היסטוריה'!$B$3:$B$3002,A5,'היסטוריה'!$E$3:$E$3002))</f>
        <v/>
      </c>
      <c r="I5" s="34" t="n"/>
    </row>
    <row r="6">
      <c r="A6" s="48" t="inlineStr">
        <is>
          <t>הילי אלפסי</t>
        </is>
      </c>
      <c r="B6" s="53" t="inlineStr">
        <is>
          <t>מדרשה</t>
        </is>
      </c>
      <c r="C6" s="35" t="inlineStr">
        <is>
          <t>הילה</t>
        </is>
      </c>
      <c r="D6" s="35" t="inlineStr">
        <is>
          <t>כן</t>
        </is>
      </c>
      <c r="E6" s="34" t="inlineStr">
        <is>
          <t>מטבוחה; פינוי ארוחת צהריים וסעודה שלישית</t>
        </is>
      </c>
      <c r="F6" s="50">
        <f>IF(A6="","",COUNTIF('משימות'!$G$3:$G$122,"*"&amp;A6&amp;"*"))</f>
        <v/>
      </c>
      <c r="G6" s="35" t="n">
        <v>5</v>
      </c>
      <c r="H6" s="50">
        <f>IF(A6="","",SUMIF('היסטוריה'!$B$3:$B$3002,A6,'היסטוריה'!$E$3:$E$3002))</f>
        <v/>
      </c>
      <c r="I6" s="34" t="n"/>
    </row>
    <row r="7">
      <c r="A7" s="48" t="inlineStr">
        <is>
          <t>יהב לוי</t>
        </is>
      </c>
      <c r="B7" s="53" t="inlineStr">
        <is>
          <t>מדרשה</t>
        </is>
      </c>
      <c r="C7" s="35" t="n"/>
      <c r="D7" s="35" t="n"/>
      <c r="E7" s="34" t="n"/>
      <c r="F7" s="50">
        <f>IF(A7="","",COUNTIF('משימות'!$G$3:$G$122,"*"&amp;A7&amp;"*"))</f>
        <v/>
      </c>
      <c r="G7" s="35" t="n"/>
      <c r="H7" s="50">
        <f>IF(A7="","",SUMIF('היסטוריה'!$B$3:$B$3002,A7,'היסטוריה'!$E$3:$E$3002))</f>
        <v/>
      </c>
      <c r="I7" s="34" t="inlineStr">
        <is>
          <t>לא נוכח/ת</t>
        </is>
      </c>
    </row>
    <row r="8">
      <c r="A8" s="48" t="inlineStr">
        <is>
          <t>שחר קרן</t>
        </is>
      </c>
      <c r="B8" s="53" t="inlineStr">
        <is>
          <t>מדרשה</t>
        </is>
      </c>
      <c r="C8" s="35" t="inlineStr">
        <is>
          <t>הילה</t>
        </is>
      </c>
      <c r="D8" s="35" t="inlineStr">
        <is>
          <t>כן</t>
        </is>
      </c>
      <c r="E8" s="34" t="inlineStr">
        <is>
          <t>ניקיון חדר האוכל בשישי; ניקיון חדר האוכל במוצ"ש</t>
        </is>
      </c>
      <c r="F8" s="50">
        <f>IF(A8="","",COUNTIF('משימות'!$G$3:$G$122,"*"&amp;A8&amp;"*"))</f>
        <v/>
      </c>
      <c r="G8" s="35" t="n">
        <v>6</v>
      </c>
      <c r="H8" s="50">
        <f>IF(A8="","",SUMIF('היסטוריה'!$B$3:$B$3002,A8,'היסטוריה'!$E$3:$E$3002))</f>
        <v/>
      </c>
      <c r="I8" s="34" t="n"/>
    </row>
    <row r="9">
      <c r="A9" s="48" t="inlineStr">
        <is>
          <t>ירדן בן שחר</t>
        </is>
      </c>
      <c r="B9" s="53" t="inlineStr">
        <is>
          <t>מדרשה</t>
        </is>
      </c>
      <c r="C9" s="35" t="inlineStr">
        <is>
          <t>הילה</t>
        </is>
      </c>
      <c r="D9" s="35" t="inlineStr">
        <is>
          <t>כן</t>
        </is>
      </c>
      <c r="E9" s="34" t="inlineStr">
        <is>
          <t>ניקיון חדר האוכל בשישי; ארוחת ערב מוצ"ש</t>
        </is>
      </c>
      <c r="F9" s="50">
        <f>IF(A9="","",COUNTIF('משימות'!$G$3:$G$122,"*"&amp;A9&amp;"*"))</f>
        <v/>
      </c>
      <c r="G9" s="35" t="n">
        <v>6</v>
      </c>
      <c r="H9" s="50">
        <f>IF(A9="","",SUMIF('היסטוריה'!$B$3:$B$3002,A9,'היסטוריה'!$E$3:$E$3002))</f>
        <v/>
      </c>
      <c r="I9" s="34" t="n"/>
    </row>
    <row r="10">
      <c r="A10" s="48" t="inlineStr">
        <is>
          <t>אחיה נחמני</t>
        </is>
      </c>
      <c r="B10" s="53" t="inlineStr">
        <is>
          <t>מדרשה</t>
        </is>
      </c>
      <c r="C10" s="35" t="inlineStr">
        <is>
          <t>אבי</t>
        </is>
      </c>
      <c r="D10" s="35" t="inlineStr">
        <is>
          <t>כן</t>
        </is>
      </c>
      <c r="E10" s="34" t="inlineStr">
        <is>
          <t>בית מדרש; ניקיון בית המדרש במוצ"ש</t>
        </is>
      </c>
      <c r="F10" s="50">
        <f>IF(A10="","",COUNTIF('משימות'!$G$3:$G$122,"*"&amp;A10&amp;"*"))</f>
        <v/>
      </c>
      <c r="G10" s="35" t="n">
        <v>5</v>
      </c>
      <c r="H10" s="50">
        <f>IF(A10="","",SUMIF('היסטוריה'!$B$3:$B$3002,A10,'היסטוריה'!$E$3:$E$3002))</f>
        <v/>
      </c>
      <c r="I10" s="34" t="n"/>
    </row>
    <row r="11">
      <c r="A11" s="48" t="inlineStr">
        <is>
          <t>מעיין יוספי</t>
        </is>
      </c>
      <c r="B11" s="53" t="inlineStr">
        <is>
          <t>מדרשה</t>
        </is>
      </c>
      <c r="C11" s="35" t="n"/>
      <c r="D11" s="35" t="n"/>
      <c r="E11" s="34" t="n"/>
      <c r="F11" s="50">
        <f>IF(A11="","",COUNTIF('משימות'!$G$3:$G$122,"*"&amp;A11&amp;"*"))</f>
        <v/>
      </c>
      <c r="G11" s="35" t="n"/>
      <c r="H11" s="50">
        <f>IF(A11="","",SUMIF('היסטוריה'!$B$3:$B$3002,A11,'היסטוריה'!$E$3:$E$3002))</f>
        <v/>
      </c>
      <c r="I11" s="34" t="inlineStr">
        <is>
          <t>לא נוכח/ת</t>
        </is>
      </c>
    </row>
    <row r="12">
      <c r="A12" s="48" t="inlineStr">
        <is>
          <t>עמית סיילס</t>
        </is>
      </c>
      <c r="B12" s="53" t="inlineStr">
        <is>
          <t>מדרשה</t>
        </is>
      </c>
      <c r="C12" s="35" t="inlineStr">
        <is>
          <t>תמר</t>
        </is>
      </c>
      <c r="D12" s="35" t="inlineStr">
        <is>
          <t>כן</t>
        </is>
      </c>
      <c r="E12" s="34" t="inlineStr">
        <is>
          <t>ניקיון חדר האוכל בשישי; ניקיון חדר האוכל במוצ"ש</t>
        </is>
      </c>
      <c r="F12" s="50">
        <f>IF(A12="","",COUNTIF('משימות'!$G$3:$G$122,"*"&amp;A12&amp;"*"))</f>
        <v/>
      </c>
      <c r="G12" s="35" t="n">
        <v>6</v>
      </c>
      <c r="H12" s="50">
        <f>IF(A12="","",SUMIF('היסטוריה'!$B$3:$B$3002,A12,'היסטוריה'!$E$3:$E$3002))</f>
        <v/>
      </c>
      <c r="I12" s="34" t="n"/>
    </row>
    <row r="13">
      <c r="A13" s="48" t="inlineStr">
        <is>
          <t>אריאלה מרכוס</t>
        </is>
      </c>
      <c r="B13" s="53" t="inlineStr">
        <is>
          <t>מדרשה</t>
        </is>
      </c>
      <c r="C13" s="35" t="n"/>
      <c r="D13" s="35" t="inlineStr">
        <is>
          <t>כן</t>
        </is>
      </c>
      <c r="E13" s="34" t="inlineStr">
        <is>
          <t>חלות; קידוש</t>
        </is>
      </c>
      <c r="F13" s="50">
        <f>IF(A13="","",COUNTIF('משימות'!$G$3:$G$122,"*"&amp;A13&amp;"*"))</f>
        <v/>
      </c>
      <c r="G13" s="35" t="n">
        <v>4</v>
      </c>
      <c r="H13" s="50">
        <f>IF(A13="","",SUMIF('היסטוריה'!$B$3:$B$3002,A13,'היסטוריה'!$E$3:$E$3002))</f>
        <v/>
      </c>
      <c r="I13" s="34" t="n"/>
    </row>
    <row r="14">
      <c r="A14" s="48" t="inlineStr">
        <is>
          <t>משה אוברשטיין</t>
        </is>
      </c>
      <c r="B14" s="53" t="inlineStr">
        <is>
          <t>מדרשה</t>
        </is>
      </c>
      <c r="C14" s="35" t="inlineStr">
        <is>
          <t>תמר</t>
        </is>
      </c>
      <c r="D14" s="35" t="inlineStr">
        <is>
          <t>כן</t>
        </is>
      </c>
      <c r="E14" s="34" t="inlineStr">
        <is>
          <t>פינוי ארוחת ערב; ניקיון חדר האוכל במוצ"ש</t>
        </is>
      </c>
      <c r="F14" s="50">
        <f>IF(A14="","",COUNTIF('משימות'!$G$3:$G$122,"*"&amp;A14&amp;"*"))</f>
        <v/>
      </c>
      <c r="G14" s="35" t="n">
        <v>5</v>
      </c>
      <c r="H14" s="50">
        <f>IF(A14="","",SUMIF('היסטוריה'!$B$3:$B$3002,A14,'היסטוריה'!$E$3:$E$3002))</f>
        <v/>
      </c>
      <c r="I14" s="34" t="n"/>
    </row>
    <row r="15">
      <c r="A15" s="48" t="inlineStr">
        <is>
          <t>אוריה תעשה</t>
        </is>
      </c>
      <c r="B15" s="53" t="inlineStr">
        <is>
          <t>מדרשה</t>
        </is>
      </c>
      <c r="C15" s="35" t="inlineStr">
        <is>
          <t>יואב</t>
        </is>
      </c>
      <c r="D15" s="35" t="inlineStr">
        <is>
          <t>כן</t>
        </is>
      </c>
      <c r="E15" s="34" t="inlineStr">
        <is>
          <t>בית מדרש; פינוי ארוחת ערב</t>
        </is>
      </c>
      <c r="F15" s="50">
        <f>IF(A15="","",COUNTIF('משימות'!$G$3:$G$122,"*"&amp;A15&amp;"*"))</f>
        <v/>
      </c>
      <c r="G15" s="35" t="n">
        <v>5</v>
      </c>
      <c r="H15" s="50">
        <f>IF(A15="","",SUMIF('היסטוריה'!$B$3:$B$3002,A15,'היסטוריה'!$E$3:$E$3002))</f>
        <v/>
      </c>
      <c r="I15" s="34" t="n"/>
    </row>
    <row r="16">
      <c r="A16" s="48" t="inlineStr">
        <is>
          <t>יונתן לירז</t>
        </is>
      </c>
      <c r="B16" s="53" t="inlineStr">
        <is>
          <t>מדרשה</t>
        </is>
      </c>
      <c r="C16" s="35" t="inlineStr">
        <is>
          <t>יואב</t>
        </is>
      </c>
      <c r="D16" s="35" t="inlineStr">
        <is>
          <t>כן</t>
        </is>
      </c>
      <c r="E16" s="34" t="inlineStr">
        <is>
          <t>ארוחת ערב; ניקיון בית המדרש במוצ"ש</t>
        </is>
      </c>
      <c r="F16" s="50">
        <f>IF(A16="","",COUNTIF('משימות'!$G$3:$G$122,"*"&amp;A16&amp;"*"))</f>
        <v/>
      </c>
      <c r="G16" s="35" t="n">
        <v>4</v>
      </c>
      <c r="H16" s="50">
        <f>IF(A16="","",SUMIF('היסטוריה'!$B$3:$B$3002,A16,'היסטוריה'!$E$3:$E$3002))</f>
        <v/>
      </c>
      <c r="I16" s="34" t="n"/>
    </row>
    <row r="17">
      <c r="A17" s="48" t="inlineStr">
        <is>
          <t>פנחס אליהו גלוסקין</t>
        </is>
      </c>
      <c r="B17" s="53" t="inlineStr">
        <is>
          <t>מדרשה</t>
        </is>
      </c>
      <c r="C17" s="35" t="n"/>
      <c r="D17" s="35" t="inlineStr">
        <is>
          <t>כן</t>
        </is>
      </c>
      <c r="E17" s="34" t="inlineStr">
        <is>
          <t>חלות; קידוש</t>
        </is>
      </c>
      <c r="F17" s="50">
        <f>IF(A17="","",COUNTIF('משימות'!$G$3:$G$122,"*"&amp;A17&amp;"*"))</f>
        <v/>
      </c>
      <c r="G17" s="35" t="n">
        <v>4</v>
      </c>
      <c r="H17" s="50">
        <f>IF(A17="","",SUMIF('היסטוריה'!$B$3:$B$3002,A17,'היסטוריה'!$E$3:$E$3002))</f>
        <v/>
      </c>
      <c r="I17" s="34" t="n"/>
    </row>
    <row r="18">
      <c r="A18" s="48" t="inlineStr">
        <is>
          <t>נדב טוקר</t>
        </is>
      </c>
      <c r="B18" s="53" t="inlineStr">
        <is>
          <t>מדרשה</t>
        </is>
      </c>
      <c r="C18" s="35" t="n"/>
      <c r="D18" s="35" t="n"/>
      <c r="E18" s="34" t="n"/>
      <c r="F18" s="50">
        <f>IF(A18="","",COUNTIF('משימות'!$G$3:$G$122,"*"&amp;A18&amp;"*"))</f>
        <v/>
      </c>
      <c r="G18" s="35" t="n"/>
      <c r="H18" s="50">
        <f>IF(A18="","",SUMIF('היסטוריה'!$B$3:$B$3002,A18,'היסטוריה'!$E$3:$E$3002))</f>
        <v/>
      </c>
      <c r="I18" s="34" t="inlineStr">
        <is>
          <t>לא נוכח/ת</t>
        </is>
      </c>
    </row>
    <row r="19">
      <c r="A19" s="48" t="inlineStr">
        <is>
          <t>הדר עמדי</t>
        </is>
      </c>
      <c r="B19" s="53" t="inlineStr">
        <is>
          <t>מדרשה</t>
        </is>
      </c>
      <c r="C19" s="35" t="inlineStr">
        <is>
          <t>תמר</t>
        </is>
      </c>
      <c r="D19" s="35" t="inlineStr">
        <is>
          <t>כן</t>
        </is>
      </c>
      <c r="E19" s="34" t="inlineStr">
        <is>
          <t>עוגיות שוקולד צ'יפס; ניקיון בית המדרש במוצ"ש</t>
        </is>
      </c>
      <c r="F19" s="50">
        <f>IF(A19="","",COUNTIF('משימות'!$G$3:$G$122,"*"&amp;A19&amp;"*"))</f>
        <v/>
      </c>
      <c r="G19" s="35" t="n">
        <v>5</v>
      </c>
      <c r="H19" s="50">
        <f>IF(A19="","",SUMIF('היסטוריה'!$B$3:$B$3002,A19,'היסטוריה'!$E$3:$E$3002))</f>
        <v/>
      </c>
      <c r="I19" s="34" t="n"/>
    </row>
    <row r="20">
      <c r="A20" s="48" t="inlineStr">
        <is>
          <t>יואב אוחנה</t>
        </is>
      </c>
      <c r="B20" s="53" t="inlineStr">
        <is>
          <t>מדרשה</t>
        </is>
      </c>
      <c r="C20" s="35" t="inlineStr">
        <is>
          <t>הילה</t>
        </is>
      </c>
      <c r="D20" s="35" t="inlineStr">
        <is>
          <t>כן</t>
        </is>
      </c>
      <c r="E20" s="34" t="inlineStr">
        <is>
          <t>ארוחת ערב; ניקיון חדר האוכל במוצ"ש</t>
        </is>
      </c>
      <c r="F20" s="50">
        <f>IF(A20="","",COUNTIF('משימות'!$G$3:$G$122,"*"&amp;A20&amp;"*"))</f>
        <v/>
      </c>
      <c r="G20" s="35" t="n">
        <v>5</v>
      </c>
      <c r="H20" s="50">
        <f>IF(A20="","",SUMIF('היסטוריה'!$B$3:$B$3002,A20,'היסטוריה'!$E$3:$E$3002))</f>
        <v/>
      </c>
      <c r="I20" s="34" t="n"/>
    </row>
    <row r="21">
      <c r="A21" s="48" t="inlineStr">
        <is>
          <t>עופר בביוף</t>
        </is>
      </c>
      <c r="B21" s="53" t="inlineStr">
        <is>
          <t>מדרשה</t>
        </is>
      </c>
      <c r="C21" s="35" t="inlineStr">
        <is>
          <t>יואב</t>
        </is>
      </c>
      <c r="D21" s="35" t="inlineStr">
        <is>
          <t>כן</t>
        </is>
      </c>
      <c r="E21" s="34" t="inlineStr">
        <is>
          <t>בית מדרש; טיש</t>
        </is>
      </c>
      <c r="F21" s="50">
        <f>IF(A21="","",COUNTIF('משימות'!$G$3:$G$122,"*"&amp;A21&amp;"*"))</f>
        <v/>
      </c>
      <c r="G21" s="35" t="n">
        <v>4</v>
      </c>
      <c r="H21" s="50">
        <f>IF(A21="","",SUMIF('היסטוריה'!$B$3:$B$3002,A21,'היסטוריה'!$E$3:$E$3002))</f>
        <v/>
      </c>
      <c r="I21" s="34" t="n"/>
    </row>
    <row r="22">
      <c r="A22" s="48" t="inlineStr">
        <is>
          <t>הילה עזרא</t>
        </is>
      </c>
      <c r="B22" s="53" t="inlineStr">
        <is>
          <t>מדרשה</t>
        </is>
      </c>
      <c r="C22" s="35" t="inlineStr">
        <is>
          <t>הילה</t>
        </is>
      </c>
      <c r="D22" s="35" t="inlineStr">
        <is>
          <t>כן</t>
        </is>
      </c>
      <c r="E22" s="34" t="inlineStr">
        <is>
          <t>ארוחת צהריים שישי; פינוי ארוחת צהריים וסעודה שלישית</t>
        </is>
      </c>
      <c r="F22" s="50">
        <f>IF(A22="","",COUNTIF('משימות'!$G$3:$G$122,"*"&amp;A22&amp;"*"))</f>
        <v/>
      </c>
      <c r="G22" s="35" t="n">
        <v>5</v>
      </c>
      <c r="H22" s="50">
        <f>IF(A22="","",SUMIF('היסטוריה'!$B$3:$B$3002,A22,'היסטוריה'!$E$3:$E$3002))</f>
        <v/>
      </c>
      <c r="I22" s="34" t="n"/>
    </row>
    <row r="23">
      <c r="A23" s="48" t="inlineStr">
        <is>
          <t>בניה מעוז</t>
        </is>
      </c>
      <c r="B23" s="53" t="inlineStr">
        <is>
          <t>מדרשה</t>
        </is>
      </c>
      <c r="C23" s="35" t="n"/>
      <c r="D23" s="35" t="n"/>
      <c r="E23" s="34" t="n"/>
      <c r="F23" s="50">
        <f>IF(A23="","",COUNTIF('משימות'!$G$3:$G$122,"*"&amp;A23&amp;"*"))</f>
        <v/>
      </c>
      <c r="G23" s="35" t="n"/>
      <c r="H23" s="50">
        <f>IF(A23="","",SUMIF('היסטוריה'!$B$3:$B$3002,A23,'היסטוריה'!$E$3:$E$3002))</f>
        <v/>
      </c>
      <c r="I23" s="34" t="inlineStr">
        <is>
          <t>לא נוכח/ת</t>
        </is>
      </c>
    </row>
    <row r="24">
      <c r="A24" s="48" t="inlineStr">
        <is>
          <t>שחר מרקוביץ' גליק</t>
        </is>
      </c>
      <c r="B24" s="53" t="inlineStr">
        <is>
          <t>מדרשה</t>
        </is>
      </c>
      <c r="C24" s="35" t="n"/>
      <c r="D24" s="35" t="inlineStr">
        <is>
          <t>כן</t>
        </is>
      </c>
      <c r="E24" s="34" t="inlineStr">
        <is>
          <t>ארוחת צהריים שישי; ניקיון בית המדרש במוצ"ש</t>
        </is>
      </c>
      <c r="F24" s="50">
        <f>IF(A24="","",COUNTIF('משימות'!$G$3:$G$122,"*"&amp;A24&amp;"*"))</f>
        <v/>
      </c>
      <c r="G24" s="35" t="n">
        <v>5</v>
      </c>
      <c r="H24" s="50">
        <f>IF(A24="","",SUMIF('היסטוריה'!$B$3:$B$3002,A24,'היסטוריה'!$E$3:$E$3002))</f>
        <v/>
      </c>
      <c r="I24" s="34" t="n"/>
    </row>
    <row r="25">
      <c r="A25" s="48" t="inlineStr">
        <is>
          <t>חיים שמאי</t>
        </is>
      </c>
      <c r="B25" s="53" t="inlineStr">
        <is>
          <t>מדרשה</t>
        </is>
      </c>
      <c r="C25" s="35" t="inlineStr">
        <is>
          <t>הילה</t>
        </is>
      </c>
      <c r="D25" s="35" t="inlineStr">
        <is>
          <t>כן</t>
        </is>
      </c>
      <c r="E25" s="34" t="inlineStr">
        <is>
          <t>בית מדרש; ניקיון בית המדרש במוצ"ש</t>
        </is>
      </c>
      <c r="F25" s="50">
        <f>IF(A25="","",COUNTIF('משימות'!$G$3:$G$122,"*"&amp;A25&amp;"*"))</f>
        <v/>
      </c>
      <c r="G25" s="35" t="n">
        <v>5</v>
      </c>
      <c r="H25" s="50">
        <f>IF(A25="","",SUMIF('היסטוריה'!$B$3:$B$3002,A25,'היסטוריה'!$E$3:$E$3002))</f>
        <v/>
      </c>
      <c r="I25" s="34" t="n"/>
    </row>
    <row r="26">
      <c r="A26" s="48" t="inlineStr">
        <is>
          <t>אנה עזריאל</t>
        </is>
      </c>
      <c r="B26" s="53" t="inlineStr">
        <is>
          <t>מדרשה</t>
        </is>
      </c>
      <c r="C26" s="35" t="n"/>
      <c r="D26" s="35" t="n"/>
      <c r="E26" s="34" t="n"/>
      <c r="F26" s="50">
        <f>IF(A26="","",COUNTIF('משימות'!$G$3:$G$122,"*"&amp;A26&amp;"*"))</f>
        <v/>
      </c>
      <c r="G26" s="35" t="n"/>
      <c r="H26" s="50">
        <f>IF(A26="","",SUMIF('היסטוריה'!$B$3:$B$3002,A26,'היסטוריה'!$E$3:$E$3002))</f>
        <v/>
      </c>
      <c r="I26" s="34" t="inlineStr">
        <is>
          <t>לא נוכח/ת</t>
        </is>
      </c>
    </row>
    <row r="27">
      <c r="A27" s="48" t="inlineStr">
        <is>
          <t>אלרואי גרינברג</t>
        </is>
      </c>
      <c r="B27" s="53" t="inlineStr">
        <is>
          <t>מדרשה</t>
        </is>
      </c>
      <c r="C27" s="35" t="n"/>
      <c r="D27" s="35" t="n"/>
      <c r="E27" s="34" t="n"/>
      <c r="F27" s="50">
        <f>IF(A27="","",COUNTIF('משימות'!$G$3:$G$122,"*"&amp;A27&amp;"*"))</f>
        <v/>
      </c>
      <c r="G27" s="35" t="n"/>
      <c r="H27" s="50">
        <f>IF(A27="","",SUMIF('היסטוריה'!$B$3:$B$3002,A27,'היסטוריה'!$E$3:$E$3002))</f>
        <v/>
      </c>
      <c r="I27" s="34" t="inlineStr">
        <is>
          <t>לא נוכח/ת</t>
        </is>
      </c>
    </row>
    <row r="28">
      <c r="A28" s="48" t="inlineStr">
        <is>
          <t>אלה גוטליב</t>
        </is>
      </c>
      <c r="B28" s="53" t="inlineStr">
        <is>
          <t>מדרשה</t>
        </is>
      </c>
      <c r="C28" s="35" t="inlineStr">
        <is>
          <t>תמר</t>
        </is>
      </c>
      <c r="D28" s="35" t="inlineStr">
        <is>
          <t>כן</t>
        </is>
      </c>
      <c r="E28" s="34" t="inlineStr">
        <is>
          <t>ניקיון חדר האוכל בשישי; ניקיון חדר האוכל במוצ"ש</t>
        </is>
      </c>
      <c r="F28" s="50">
        <f>IF(A28="","",COUNTIF('משימות'!$G$3:$G$122,"*"&amp;A28&amp;"*"))</f>
        <v/>
      </c>
      <c r="G28" s="35" t="n">
        <v>6</v>
      </c>
      <c r="H28" s="50">
        <f>IF(A28="","",SUMIF('היסטוריה'!$B$3:$B$3002,A28,'היסטוריה'!$E$3:$E$3002))</f>
        <v/>
      </c>
      <c r="I28" s="34" t="n"/>
    </row>
    <row r="29">
      <c r="A29" s="48" t="inlineStr">
        <is>
          <t>רותם דרור</t>
        </is>
      </c>
      <c r="B29" s="53" t="inlineStr">
        <is>
          <t>מדרשה</t>
        </is>
      </c>
      <c r="C29" s="35" t="inlineStr">
        <is>
          <t>אבי</t>
        </is>
      </c>
      <c r="D29" s="35" t="inlineStr">
        <is>
          <t>כן</t>
        </is>
      </c>
      <c r="E29" s="34" t="inlineStr">
        <is>
          <t>ארוחת צהריים שישי; פינוי ארוחת ערב</t>
        </is>
      </c>
      <c r="F29" s="50">
        <f>IF(A29="","",COUNTIF('משימות'!$G$3:$G$122,"*"&amp;A29&amp;"*"))</f>
        <v/>
      </c>
      <c r="G29" s="35" t="n">
        <v>5</v>
      </c>
      <c r="H29" s="50">
        <f>IF(A29="","",SUMIF('היסטוריה'!$B$3:$B$3002,A29,'היסטוריה'!$E$3:$E$3002))</f>
        <v/>
      </c>
      <c r="I29" s="34" t="n"/>
    </row>
    <row r="30">
      <c r="A30" s="48" t="inlineStr">
        <is>
          <t>עומר יוסף גנון</t>
        </is>
      </c>
      <c r="B30" s="53" t="inlineStr">
        <is>
          <t>מדרשה</t>
        </is>
      </c>
      <c r="C30" s="35" t="n"/>
      <c r="D30" s="35" t="n"/>
      <c r="E30" s="34" t="n"/>
      <c r="F30" s="50">
        <f>IF(A30="","",COUNTIF('משימות'!$G$3:$G$122,"*"&amp;A30&amp;"*"))</f>
        <v/>
      </c>
      <c r="G30" s="35" t="n"/>
      <c r="H30" s="50">
        <f>IF(A30="","",SUMIF('היסטוריה'!$B$3:$B$3002,A30,'היסטוריה'!$E$3:$E$3002))</f>
        <v/>
      </c>
      <c r="I30" s="34" t="inlineStr">
        <is>
          <t>לא נוכח/ת</t>
        </is>
      </c>
    </row>
    <row r="31">
      <c r="A31" s="48" t="inlineStr">
        <is>
          <t>סהר שירון</t>
        </is>
      </c>
      <c r="B31" s="53" t="inlineStr">
        <is>
          <t>מדרשה</t>
        </is>
      </c>
      <c r="C31" s="35" t="n"/>
      <c r="D31" s="35" t="inlineStr">
        <is>
          <t>כן</t>
        </is>
      </c>
      <c r="E31" s="34" t="inlineStr">
        <is>
          <t>בית מדרש; ניקיון בית המדרש במוצ"ש</t>
        </is>
      </c>
      <c r="F31" s="50">
        <f>IF(A31="","",COUNTIF('משימות'!$G$3:$G$122,"*"&amp;A31&amp;"*"))</f>
        <v/>
      </c>
      <c r="G31" s="35" t="n">
        <v>5</v>
      </c>
      <c r="H31" s="50">
        <f>IF(A31="","",SUMIF('היסטוריה'!$B$3:$B$3002,A31,'היסטוריה'!$E$3:$E$3002))</f>
        <v/>
      </c>
      <c r="I31" s="34" t="n"/>
    </row>
    <row r="32">
      <c r="A32" s="48" t="inlineStr">
        <is>
          <t>שירה ספונוב</t>
        </is>
      </c>
      <c r="B32" s="53" t="inlineStr">
        <is>
          <t>מדרשה</t>
        </is>
      </c>
      <c r="C32" s="35" t="inlineStr">
        <is>
          <t>הילה</t>
        </is>
      </c>
      <c r="D32" s="35" t="inlineStr">
        <is>
          <t>כן</t>
        </is>
      </c>
      <c r="E32" s="34" t="inlineStr">
        <is>
          <t>בית מדרש; ניקיון חדר האוכל במוצ"ש</t>
        </is>
      </c>
      <c r="F32" s="50">
        <f>IF(A32="","",COUNTIF('משימות'!$G$3:$G$122,"*"&amp;A32&amp;"*"))</f>
        <v/>
      </c>
      <c r="G32" s="35" t="n">
        <v>6</v>
      </c>
      <c r="H32" s="50">
        <f>IF(A32="","",SUMIF('היסטוריה'!$B$3:$B$3002,A32,'היסטוריה'!$E$3:$E$3002))</f>
        <v/>
      </c>
      <c r="I32" s="34" t="n"/>
    </row>
    <row r="33">
      <c r="A33" s="48" t="inlineStr">
        <is>
          <t>הלל פינגולד</t>
        </is>
      </c>
      <c r="B33" s="53" t="inlineStr">
        <is>
          <t>מדרשה</t>
        </is>
      </c>
      <c r="C33" s="35" t="inlineStr">
        <is>
          <t>הילה</t>
        </is>
      </c>
      <c r="D33" s="35" t="inlineStr">
        <is>
          <t>כן</t>
        </is>
      </c>
      <c r="E33" s="34" t="inlineStr">
        <is>
          <t>עוגת שמרים; ארוחת צהריים שבת</t>
        </is>
      </c>
      <c r="F33" s="50">
        <f>IF(A33="","",COUNTIF('משימות'!$G$3:$G$122,"*"&amp;A33&amp;"*"))</f>
        <v/>
      </c>
      <c r="G33" s="35" t="n">
        <v>5</v>
      </c>
      <c r="H33" s="50">
        <f>IF(A33="","",SUMIF('היסטוריה'!$B$3:$B$3002,A33,'היסטוריה'!$E$3:$E$3002))</f>
        <v/>
      </c>
      <c r="I33" s="34" t="n"/>
    </row>
    <row r="34">
      <c r="A34" s="48" t="inlineStr">
        <is>
          <t>מעיין רחל דינר</t>
        </is>
      </c>
      <c r="B34" s="53" t="inlineStr">
        <is>
          <t>מדרשה</t>
        </is>
      </c>
      <c r="C34" s="35" t="inlineStr">
        <is>
          <t>בניה</t>
        </is>
      </c>
      <c r="D34" s="35" t="inlineStr">
        <is>
          <t>כן</t>
        </is>
      </c>
      <c r="E34" s="34" t="inlineStr">
        <is>
          <t>עוגת שמרים; פינוי ארוחת צהריים וסעודה שלישית</t>
        </is>
      </c>
      <c r="F34" s="50">
        <f>IF(A34="","",COUNTIF('משימות'!$G$3:$G$122,"*"&amp;A34&amp;"*"))</f>
        <v/>
      </c>
      <c r="G34" s="35" t="n">
        <v>5</v>
      </c>
      <c r="H34" s="50">
        <f>IF(A34="","",SUMIF('היסטוריה'!$B$3:$B$3002,A34,'היסטוריה'!$E$3:$E$3002))</f>
        <v/>
      </c>
      <c r="I34" s="34" t="n"/>
    </row>
    <row r="35">
      <c r="A35" s="48" t="inlineStr">
        <is>
          <t>עמרי קולטון</t>
        </is>
      </c>
      <c r="B35" s="53" t="inlineStr">
        <is>
          <t>מדרשה</t>
        </is>
      </c>
      <c r="C35" s="35" t="n"/>
      <c r="D35" s="35" t="n"/>
      <c r="E35" s="34" t="n"/>
      <c r="F35" s="50">
        <f>IF(A35="","",COUNTIF('משימות'!$G$3:$G$122,"*"&amp;A35&amp;"*"))</f>
        <v/>
      </c>
      <c r="G35" s="35" t="n"/>
      <c r="H35" s="50">
        <f>IF(A35="","",SUMIF('היסטוריה'!$B$3:$B$3002,A35,'היסטוריה'!$E$3:$E$3002))</f>
        <v/>
      </c>
      <c r="I35" s="34" t="inlineStr">
        <is>
          <t>לא נוכח/ת</t>
        </is>
      </c>
    </row>
    <row r="36">
      <c r="A36" s="48" t="inlineStr">
        <is>
          <t>נגה חוה כהן</t>
        </is>
      </c>
      <c r="B36" s="53" t="inlineStr">
        <is>
          <t>מדרשה</t>
        </is>
      </c>
      <c r="C36" s="35" t="n"/>
      <c r="D36" s="35" t="n"/>
      <c r="E36" s="34" t="n"/>
      <c r="F36" s="50">
        <f>IF(A36="","",COUNTIF('משימות'!$G$3:$G$122,"*"&amp;A36&amp;"*"))</f>
        <v/>
      </c>
      <c r="G36" s="35" t="n"/>
      <c r="H36" s="50">
        <f>IF(A36="","",SUMIF('היסטוריה'!$B$3:$B$3002,A36,'היסטוריה'!$E$3:$E$3002))</f>
        <v/>
      </c>
      <c r="I36" s="34" t="inlineStr">
        <is>
          <t>לא נוכח/ת</t>
        </is>
      </c>
    </row>
    <row r="37">
      <c r="A37" s="48" t="inlineStr">
        <is>
          <t>קובי סמייסון</t>
        </is>
      </c>
      <c r="B37" s="53" t="inlineStr">
        <is>
          <t>מדרשה</t>
        </is>
      </c>
      <c r="C37" s="35" t="n"/>
      <c r="D37" s="35" t="n"/>
      <c r="E37" s="34" t="n"/>
      <c r="F37" s="50">
        <f>IF(A37="","",COUNTIF('משימות'!$G$3:$G$122,"*"&amp;A37&amp;"*"))</f>
        <v/>
      </c>
      <c r="G37" s="35" t="n"/>
      <c r="H37" s="50">
        <f>IF(A37="","",SUMIF('היסטוריה'!$B$3:$B$3002,A37,'היסטוריה'!$E$3:$E$3002))</f>
        <v/>
      </c>
      <c r="I37" s="34" t="inlineStr">
        <is>
          <t>לא נוכח/ת</t>
        </is>
      </c>
    </row>
    <row r="38">
      <c r="A38" s="48" t="inlineStr">
        <is>
          <t>נגה שוהם</t>
        </is>
      </c>
      <c r="B38" s="53" t="inlineStr">
        <is>
          <t>מדרשה</t>
        </is>
      </c>
      <c r="C38" s="35" t="inlineStr">
        <is>
          <t>יואב</t>
        </is>
      </c>
      <c r="D38" s="35" t="inlineStr">
        <is>
          <t>כן</t>
        </is>
      </c>
      <c r="E38" s="34" t="inlineStr">
        <is>
          <t>בית מדרש; פינוי ארוחת צהריים וסעודה שלישית</t>
        </is>
      </c>
      <c r="F38" s="50">
        <f>IF(A38="","",COUNTIF('משימות'!$G$3:$G$122,"*"&amp;A38&amp;"*"))</f>
        <v/>
      </c>
      <c r="G38" s="35" t="n">
        <v>5</v>
      </c>
      <c r="H38" s="50">
        <f>IF(A38="","",SUMIF('היסטוריה'!$B$3:$B$3002,A38,'היסטוריה'!$E$3:$E$3002))</f>
        <v/>
      </c>
      <c r="I38" s="34" t="n"/>
    </row>
    <row r="39">
      <c r="A39" s="48" t="inlineStr">
        <is>
          <t>ינון לוי</t>
        </is>
      </c>
      <c r="B39" s="53" t="inlineStr">
        <is>
          <t>מדרשה</t>
        </is>
      </c>
      <c r="C39" s="35" t="inlineStr">
        <is>
          <t>אבי</t>
        </is>
      </c>
      <c r="D39" s="35" t="inlineStr">
        <is>
          <t>כן</t>
        </is>
      </c>
      <c r="E39" s="34" t="inlineStr">
        <is>
          <t>ניקיון חדר האוכל בשישי; ארוחת ערב מוצ"ש</t>
        </is>
      </c>
      <c r="F39" s="50">
        <f>IF(A39="","",COUNTIF('משימות'!$G$3:$G$122,"*"&amp;A39&amp;"*"))</f>
        <v/>
      </c>
      <c r="G39" s="35" t="n">
        <v>6</v>
      </c>
      <c r="H39" s="50">
        <f>IF(A39="","",SUMIF('היסטוריה'!$B$3:$B$3002,A39,'היסטוריה'!$E$3:$E$3002))</f>
        <v/>
      </c>
      <c r="I39" s="34" t="n"/>
    </row>
    <row r="40">
      <c r="A40" s="48" t="inlineStr">
        <is>
          <t>אלה מאיר</t>
        </is>
      </c>
      <c r="B40" s="53" t="inlineStr">
        <is>
          <t>מדרשה</t>
        </is>
      </c>
      <c r="C40" s="35" t="inlineStr">
        <is>
          <t>תמר</t>
        </is>
      </c>
      <c r="D40" s="35" t="inlineStr">
        <is>
          <t>כן</t>
        </is>
      </c>
      <c r="E40" s="34" t="inlineStr">
        <is>
          <t>ניקיון חדר האוכל בשישי; ארוחת ערב מוצ"ש</t>
        </is>
      </c>
      <c r="F40" s="50">
        <f>IF(A40="","",COUNTIF('משימות'!$G$3:$G$122,"*"&amp;A40&amp;"*"))</f>
        <v/>
      </c>
      <c r="G40" s="35" t="n">
        <v>6</v>
      </c>
      <c r="H40" s="50">
        <f>IF(A40="","",SUMIF('היסטוריה'!$B$3:$B$3002,A40,'היסטוריה'!$E$3:$E$3002))</f>
        <v/>
      </c>
      <c r="I40" s="34" t="n"/>
    </row>
    <row r="41">
      <c r="A41" s="48" t="inlineStr">
        <is>
          <t>זואי כהן</t>
        </is>
      </c>
      <c r="B41" s="53" t="inlineStr">
        <is>
          <t>מדרשה</t>
        </is>
      </c>
      <c r="C41" s="35" t="inlineStr">
        <is>
          <t>תמר</t>
        </is>
      </c>
      <c r="D41" s="35" t="inlineStr">
        <is>
          <t>כן</t>
        </is>
      </c>
      <c r="E41" s="34" t="inlineStr">
        <is>
          <t>ניקיון חדר האוכל בשישי; ניקיון חדר האוכל במוצ"ש</t>
        </is>
      </c>
      <c r="F41" s="50">
        <f>IF(A41="","",COUNTIF('משימות'!$G$3:$G$122,"*"&amp;A41&amp;"*"))</f>
        <v/>
      </c>
      <c r="G41" s="35" t="n">
        <v>6</v>
      </c>
      <c r="H41" s="50">
        <f>IF(A41="","",SUMIF('היסטוריה'!$B$3:$B$3002,A41,'היסטוריה'!$E$3:$E$3002))</f>
        <v/>
      </c>
      <c r="I41" s="34" t="n"/>
    </row>
    <row r="42">
      <c r="A42" s="48" t="inlineStr">
        <is>
          <t>של״ו רובינשטיין</t>
        </is>
      </c>
      <c r="B42" s="53" t="inlineStr">
        <is>
          <t>מדרשה</t>
        </is>
      </c>
      <c r="C42" s="35" t="inlineStr">
        <is>
          <t>הילה</t>
        </is>
      </c>
      <c r="D42" s="35" t="inlineStr">
        <is>
          <t>כן</t>
        </is>
      </c>
      <c r="E42" s="34" t="inlineStr">
        <is>
          <t>מטבוחה; פינוי ארוחת ערב</t>
        </is>
      </c>
      <c r="F42" s="50">
        <f>IF(A42="","",COUNTIF('משימות'!$G$3:$G$122,"*"&amp;A42&amp;"*"))</f>
        <v/>
      </c>
      <c r="G42" s="35" t="n">
        <v>5</v>
      </c>
      <c r="H42" s="50">
        <f>IF(A42="","",SUMIF('היסטוריה'!$B$3:$B$3002,A42,'היסטוריה'!$E$3:$E$3002))</f>
        <v/>
      </c>
      <c r="I42" s="34" t="n"/>
    </row>
    <row r="43">
      <c r="A43" s="48" t="inlineStr">
        <is>
          <t>כליל בלאוקופף</t>
        </is>
      </c>
      <c r="B43" s="53" t="inlineStr">
        <is>
          <t>מדרשה</t>
        </is>
      </c>
      <c r="C43" s="35" t="inlineStr">
        <is>
          <t>בניה</t>
        </is>
      </c>
      <c r="D43" s="35" t="inlineStr">
        <is>
          <t>כן</t>
        </is>
      </c>
      <c r="E43" s="34" t="inlineStr">
        <is>
          <t>בית מדרש; פינוי ארוחת ערב</t>
        </is>
      </c>
      <c r="F43" s="50">
        <f>IF(A43="","",COUNTIF('משימות'!$G$3:$G$122,"*"&amp;A43&amp;"*"))</f>
        <v/>
      </c>
      <c r="G43" s="35" t="n">
        <v>5</v>
      </c>
      <c r="H43" s="50">
        <f>IF(A43="","",SUMIF('היסטוריה'!$B$3:$B$3002,A43,'היסטוריה'!$E$3:$E$3002))</f>
        <v/>
      </c>
      <c r="I43" s="34" t="n"/>
    </row>
    <row r="44">
      <c r="A44" s="48" t="inlineStr">
        <is>
          <t>רוני פרנקל</t>
        </is>
      </c>
      <c r="B44" s="53" t="inlineStr">
        <is>
          <t>מדרשה</t>
        </is>
      </c>
      <c r="C44" s="35" t="inlineStr">
        <is>
          <t>אבי</t>
        </is>
      </c>
      <c r="D44" s="35" t="inlineStr">
        <is>
          <t>כן</t>
        </is>
      </c>
      <c r="E44" s="34" t="inlineStr">
        <is>
          <t>ארוחת צהריים שישי; ניקיון בית המדרש במוצ"ש</t>
        </is>
      </c>
      <c r="F44" s="50">
        <f>IF(A44="","",COUNTIF('משימות'!$G$3:$G$122,"*"&amp;A44&amp;"*"))</f>
        <v/>
      </c>
      <c r="G44" s="35" t="n">
        <v>5</v>
      </c>
      <c r="H44" s="50">
        <f>IF(A44="","",SUMIF('היסטוריה'!$B$3:$B$3002,A44,'היסטוריה'!$E$3:$E$3002))</f>
        <v/>
      </c>
      <c r="I44" s="34" t="n"/>
    </row>
    <row r="45">
      <c r="A45" s="48" t="inlineStr">
        <is>
          <t>נועם גלס</t>
        </is>
      </c>
      <c r="B45" s="53" t="inlineStr">
        <is>
          <t>מדרשה</t>
        </is>
      </c>
      <c r="C45" s="35" t="n"/>
      <c r="D45" s="35" t="n"/>
      <c r="E45" s="34" t="n"/>
      <c r="F45" s="50">
        <f>IF(A45="","",COUNTIF('משימות'!$G$3:$G$122,"*"&amp;A45&amp;"*"))</f>
        <v/>
      </c>
      <c r="G45" s="35" t="n"/>
      <c r="H45" s="50">
        <f>IF(A45="","",SUMIF('היסטוריה'!$B$3:$B$3002,A45,'היסטוריה'!$E$3:$E$3002))</f>
        <v/>
      </c>
      <c r="I45" s="34" t="inlineStr">
        <is>
          <t>לא נוכח/ת</t>
        </is>
      </c>
    </row>
    <row r="46">
      <c r="A46" s="48" t="inlineStr">
        <is>
          <t>הילה לביא</t>
        </is>
      </c>
      <c r="B46" s="53" t="inlineStr">
        <is>
          <t>מדרשה</t>
        </is>
      </c>
      <c r="C46" s="35" t="n"/>
      <c r="D46" s="35" t="n"/>
      <c r="E46" s="34" t="n"/>
      <c r="F46" s="50">
        <f>IF(A46="","",COUNTIF('משימות'!$G$3:$G$122,"*"&amp;A46&amp;"*"))</f>
        <v/>
      </c>
      <c r="G46" s="35" t="n"/>
      <c r="H46" s="50">
        <f>IF(A46="","",SUMIF('היסטוריה'!$B$3:$B$3002,A46,'היסטוריה'!$E$3:$E$3002))</f>
        <v/>
      </c>
      <c r="I46" s="34" t="inlineStr">
        <is>
          <t>לא נוכח/ת</t>
        </is>
      </c>
    </row>
    <row r="47">
      <c r="A47" s="48" t="inlineStr">
        <is>
          <t>עמית שי אברהם</t>
        </is>
      </c>
      <c r="B47" s="53" t="inlineStr">
        <is>
          <t>מדרשה</t>
        </is>
      </c>
      <c r="C47" s="35" t="inlineStr">
        <is>
          <t>הילה</t>
        </is>
      </c>
      <c r="D47" s="35" t="inlineStr">
        <is>
          <t>כן</t>
        </is>
      </c>
      <c r="E47" s="34" t="inlineStr">
        <is>
          <t>ניקיון חדר האוכל בשישי; ארוחת ערב מוצ"ש</t>
        </is>
      </c>
      <c r="F47" s="50">
        <f>IF(A47="","",COUNTIF('משימות'!$G$3:$G$122,"*"&amp;A47&amp;"*"))</f>
        <v/>
      </c>
      <c r="G47" s="35" t="n">
        <v>6</v>
      </c>
      <c r="H47" s="50">
        <f>IF(A47="","",SUMIF('היסטוריה'!$B$3:$B$3002,A47,'היסטוריה'!$E$3:$E$3002))</f>
        <v/>
      </c>
      <c r="I47" s="34" t="n"/>
    </row>
    <row r="48">
      <c r="A48" s="48" t="inlineStr">
        <is>
          <t>תמר פרימור</t>
        </is>
      </c>
      <c r="B48" s="53" t="inlineStr">
        <is>
          <t>מדרשה</t>
        </is>
      </c>
      <c r="C48" s="35" t="n"/>
      <c r="D48" s="35" t="n"/>
      <c r="E48" s="34" t="n"/>
      <c r="F48" s="50">
        <f>IF(A48="","",COUNTIF('משימות'!$G$3:$G$122,"*"&amp;A48&amp;"*"))</f>
        <v/>
      </c>
      <c r="G48" s="35" t="n"/>
      <c r="H48" s="50">
        <f>IF(A48="","",SUMIF('היסטוריה'!$B$3:$B$3002,A48,'היסטוריה'!$E$3:$E$3002))</f>
        <v/>
      </c>
      <c r="I48" s="34" t="inlineStr">
        <is>
          <t>לא נוכח/ת</t>
        </is>
      </c>
    </row>
    <row r="49">
      <c r="A49" s="48" t="inlineStr">
        <is>
          <t>נבו בלוך</t>
        </is>
      </c>
      <c r="B49" s="53" t="inlineStr">
        <is>
          <t>מדרשה</t>
        </is>
      </c>
      <c r="C49" s="35" t="inlineStr">
        <is>
          <t>אבי</t>
        </is>
      </c>
      <c r="D49" s="35" t="inlineStr">
        <is>
          <t>כן</t>
        </is>
      </c>
      <c r="E49" s="34" t="inlineStr">
        <is>
          <t>בית מדרש; פינוי ארוחת ערב</t>
        </is>
      </c>
      <c r="F49" s="50">
        <f>IF(A49="","",COUNTIF('משימות'!$G$3:$G$122,"*"&amp;A49&amp;"*"))</f>
        <v/>
      </c>
      <c r="G49" s="35" t="n">
        <v>5</v>
      </c>
      <c r="H49" s="50">
        <f>IF(A49="","",SUMIF('היסטוריה'!$B$3:$B$3002,A49,'היסטוריה'!$E$3:$E$3002))</f>
        <v/>
      </c>
      <c r="I49" s="34" t="n"/>
    </row>
    <row r="50">
      <c r="A50" s="48" t="inlineStr">
        <is>
          <t>ארבל פרנקו</t>
        </is>
      </c>
      <c r="B50" s="53" t="inlineStr">
        <is>
          <t>מדרשה</t>
        </is>
      </c>
      <c r="C50" s="35" t="inlineStr">
        <is>
          <t>בניה</t>
        </is>
      </c>
      <c r="D50" s="35" t="inlineStr">
        <is>
          <t>כן</t>
        </is>
      </c>
      <c r="E50" s="34" t="inlineStr">
        <is>
          <t>בית מדרש; פינוי ארוחת ערב</t>
        </is>
      </c>
      <c r="F50" s="50">
        <f>IF(A50="","",COUNTIF('משימות'!$G$3:$G$122,"*"&amp;A50&amp;"*"))</f>
        <v/>
      </c>
      <c r="G50" s="35" t="n">
        <v>5</v>
      </c>
      <c r="H50" s="50">
        <f>IF(A50="","",SUMIF('היסטוריה'!$B$3:$B$3002,A50,'היסטוריה'!$E$3:$E$3002))</f>
        <v/>
      </c>
      <c r="I50" s="34" t="n"/>
    </row>
    <row r="51">
      <c r="A51" s="48" t="inlineStr">
        <is>
          <t>יעל ברחד</t>
        </is>
      </c>
      <c r="B51" s="53" t="inlineStr">
        <is>
          <t>מדרשה</t>
        </is>
      </c>
      <c r="C51" s="35" t="n"/>
      <c r="D51" s="35" t="n"/>
      <c r="E51" s="34" t="n"/>
      <c r="F51" s="50">
        <f>IF(A51="","",COUNTIF('משימות'!$G$3:$G$122,"*"&amp;A51&amp;"*"))</f>
        <v/>
      </c>
      <c r="G51" s="35" t="n"/>
      <c r="H51" s="50">
        <f>IF(A51="","",SUMIF('היסטוריה'!$B$3:$B$3002,A51,'היסטוריה'!$E$3:$E$3002))</f>
        <v/>
      </c>
      <c r="I51" s="34" t="inlineStr">
        <is>
          <t>לא נוכח/ת</t>
        </is>
      </c>
    </row>
    <row r="52">
      <c r="A52" s="48" t="inlineStr">
        <is>
          <t>תמר פרידמן</t>
        </is>
      </c>
      <c r="B52" s="53" t="inlineStr">
        <is>
          <t>מדרשה</t>
        </is>
      </c>
      <c r="C52" s="35" t="inlineStr">
        <is>
          <t>תמר</t>
        </is>
      </c>
      <c r="D52" s="35" t="inlineStr">
        <is>
          <t>כן</t>
        </is>
      </c>
      <c r="E52" s="34" t="inlineStr">
        <is>
          <t>טיש; ניקיון בית המדרש במוצ"ש</t>
        </is>
      </c>
      <c r="F52" s="50">
        <f>IF(A52="","",COUNTIF('משימות'!$G$3:$G$122,"*"&amp;A52&amp;"*"))</f>
        <v/>
      </c>
      <c r="G52" s="35" t="n">
        <v>3</v>
      </c>
      <c r="H52" s="50">
        <f>IF(A52="","",SUMIF('היסטוריה'!$B$3:$B$3002,A52,'היסטוריה'!$E$3:$E$3002))</f>
        <v/>
      </c>
      <c r="I52" s="34" t="n"/>
    </row>
    <row r="53">
      <c r="A53" s="48" t="inlineStr">
        <is>
          <t>יותם ספיר</t>
        </is>
      </c>
      <c r="B53" s="53" t="inlineStr">
        <is>
          <t>מדרשה</t>
        </is>
      </c>
      <c r="C53" s="35" t="n"/>
      <c r="D53" s="35" t="inlineStr">
        <is>
          <t>כן</t>
        </is>
      </c>
      <c r="E53" s="34" t="inlineStr">
        <is>
          <t>עוגת שוקולד; ארוחת צהריים שבת</t>
        </is>
      </c>
      <c r="F53" s="50">
        <f>IF(A53="","",COUNTIF('משימות'!$G$3:$G$122,"*"&amp;A53&amp;"*"))</f>
        <v/>
      </c>
      <c r="G53" s="35" t="n">
        <v>5</v>
      </c>
      <c r="H53" s="50">
        <f>IF(A53="","",SUMIF('היסטוריה'!$B$3:$B$3002,A53,'היסטוריה'!$E$3:$E$3002))</f>
        <v/>
      </c>
      <c r="I53" s="34" t="n"/>
    </row>
    <row r="54">
      <c r="A54" s="48" t="inlineStr">
        <is>
          <t>איתמר אסנהיים</t>
        </is>
      </c>
      <c r="B54" s="53" t="inlineStr">
        <is>
          <t>מדרשה</t>
        </is>
      </c>
      <c r="C54" s="35" t="inlineStr">
        <is>
          <t>תמר</t>
        </is>
      </c>
      <c r="D54" s="35" t="inlineStr">
        <is>
          <t>כן</t>
        </is>
      </c>
      <c r="E54" s="34" t="inlineStr">
        <is>
          <t>ניקיון חדר האוכל בשישי; ארוחת ערב מוצ"ש</t>
        </is>
      </c>
      <c r="F54" s="50">
        <f>IF(A54="","",COUNTIF('משימות'!$G$3:$G$122,"*"&amp;A54&amp;"*"))</f>
        <v/>
      </c>
      <c r="G54" s="35" t="n">
        <v>6</v>
      </c>
      <c r="H54" s="50">
        <f>IF(A54="","",SUMIF('היסטוריה'!$B$3:$B$3002,A54,'היסטוריה'!$E$3:$E$3002))</f>
        <v/>
      </c>
      <c r="I54" s="34" t="n"/>
    </row>
    <row r="55">
      <c r="A55" s="48" t="inlineStr">
        <is>
          <t>שי- לי וולגמוט</t>
        </is>
      </c>
      <c r="B55" s="53" t="inlineStr">
        <is>
          <t>מדרשה</t>
        </is>
      </c>
      <c r="C55" s="35" t="inlineStr">
        <is>
          <t>בניה</t>
        </is>
      </c>
      <c r="D55" s="35" t="inlineStr">
        <is>
          <t>כן</t>
        </is>
      </c>
      <c r="E55" s="34" t="inlineStr">
        <is>
          <t>עוגיות שוקולד צ'יפס; גסטרונומים</t>
        </is>
      </c>
      <c r="F55" s="50">
        <f>IF(A55="","",COUNTIF('משימות'!$G$3:$G$122,"*"&amp;A55&amp;"*"))</f>
        <v/>
      </c>
      <c r="G55" s="35" t="n">
        <v>5</v>
      </c>
      <c r="H55" s="50">
        <f>IF(A55="","",SUMIF('היסטוריה'!$B$3:$B$3002,A55,'היסטוריה'!$E$3:$E$3002))</f>
        <v/>
      </c>
      <c r="I55" s="34" t="n"/>
    </row>
    <row r="56">
      <c r="A56" s="48" t="inlineStr">
        <is>
          <t>שילת פילפל</t>
        </is>
      </c>
      <c r="B56" s="53" t="inlineStr">
        <is>
          <t>מדרשה</t>
        </is>
      </c>
      <c r="C56" s="35" t="inlineStr">
        <is>
          <t>בניה</t>
        </is>
      </c>
      <c r="D56" s="35" t="inlineStr">
        <is>
          <t>כן</t>
        </is>
      </c>
      <c r="E56" s="34" t="inlineStr">
        <is>
          <t>ניקיון חדר האוכל בשישי; ניקיון חדר האוכל במוצ"ש</t>
        </is>
      </c>
      <c r="F56" s="50">
        <f>IF(A56="","",COUNTIF('משימות'!$G$3:$G$122,"*"&amp;A56&amp;"*"))</f>
        <v/>
      </c>
      <c r="G56" s="35" t="n">
        <v>6</v>
      </c>
      <c r="H56" s="50">
        <f>IF(A56="","",SUMIF('היסטוריה'!$B$3:$B$3002,A56,'היסטוריה'!$E$3:$E$3002))</f>
        <v/>
      </c>
      <c r="I56" s="34" t="n"/>
    </row>
    <row r="57">
      <c r="A57" s="48" t="inlineStr">
        <is>
          <t>נועם ישראל קומפאס</t>
        </is>
      </c>
      <c r="B57" s="53" t="inlineStr">
        <is>
          <t>מדרשה</t>
        </is>
      </c>
      <c r="C57" s="35" t="inlineStr">
        <is>
          <t>בניה</t>
        </is>
      </c>
      <c r="D57" s="35" t="inlineStr">
        <is>
          <t>כן</t>
        </is>
      </c>
      <c r="E57" s="34" t="inlineStr">
        <is>
          <t>מטבוחה; פינוי ארוחת צהריים וסעודה שלישית</t>
        </is>
      </c>
      <c r="F57" s="50">
        <f>IF(A57="","",COUNTIF('משימות'!$G$3:$G$122,"*"&amp;A57&amp;"*"))</f>
        <v/>
      </c>
      <c r="G57" s="35" t="n">
        <v>5</v>
      </c>
      <c r="H57" s="50">
        <f>IF(A57="","",SUMIF('היסטוריה'!$B$3:$B$3002,A57,'היסטוריה'!$E$3:$E$3002))</f>
        <v/>
      </c>
      <c r="I57" s="34" t="n"/>
    </row>
    <row r="58">
      <c r="A58" s="48" t="inlineStr">
        <is>
          <t>רועי צבי סרי</t>
        </is>
      </c>
      <c r="B58" s="53" t="inlineStr">
        <is>
          <t>מדרשה</t>
        </is>
      </c>
      <c r="C58" s="35" t="n"/>
      <c r="D58" s="35" t="n"/>
      <c r="E58" s="34" t="n"/>
      <c r="F58" s="50">
        <f>IF(A58="","",COUNTIF('משימות'!$G$3:$G$122,"*"&amp;A58&amp;"*"))</f>
        <v/>
      </c>
      <c r="G58" s="35" t="n"/>
      <c r="H58" s="50">
        <f>IF(A58="","",SUMIF('היסטוריה'!$B$3:$B$3002,A58,'היסטוריה'!$E$3:$E$3002))</f>
        <v/>
      </c>
      <c r="I58" s="34" t="inlineStr">
        <is>
          <t>לא נוכח/ת</t>
        </is>
      </c>
    </row>
    <row r="59">
      <c r="A59" s="48" t="inlineStr">
        <is>
          <t>איתן כהן</t>
        </is>
      </c>
      <c r="B59" s="53" t="inlineStr">
        <is>
          <t>מדרשה</t>
        </is>
      </c>
      <c r="C59" s="35" t="n"/>
      <c r="D59" s="35" t="n"/>
      <c r="E59" s="34" t="n"/>
      <c r="F59" s="50">
        <f>IF(A59="","",COUNTIF('משימות'!$G$3:$G$122,"*"&amp;A59&amp;"*"))</f>
        <v/>
      </c>
      <c r="G59" s="35" t="n"/>
      <c r="H59" s="50">
        <f>IF(A59="","",SUMIF('היסטוריה'!$B$3:$B$3002,A59,'היסטוריה'!$E$3:$E$3002))</f>
        <v/>
      </c>
      <c r="I59" s="34" t="inlineStr">
        <is>
          <t>לא נוכח/ת</t>
        </is>
      </c>
    </row>
    <row r="60">
      <c r="A60" s="48" t="inlineStr">
        <is>
          <t>איתי בן מנחם</t>
        </is>
      </c>
      <c r="B60" s="53" t="inlineStr">
        <is>
          <t>מדרשה</t>
        </is>
      </c>
      <c r="C60" s="35" t="n"/>
      <c r="D60" s="35" t="n"/>
      <c r="E60" s="34" t="n"/>
      <c r="F60" s="50">
        <f>IF(A60="","",COUNTIF('משימות'!$G$3:$G$122,"*"&amp;A60&amp;"*"))</f>
        <v/>
      </c>
      <c r="G60" s="35" t="n"/>
      <c r="H60" s="50">
        <f>IF(A60="","",SUMIF('היסטוריה'!$B$3:$B$3002,A60,'היסטוריה'!$E$3:$E$3002))</f>
        <v/>
      </c>
      <c r="I60" s="34" t="inlineStr">
        <is>
          <t>לא נוכח/ת</t>
        </is>
      </c>
    </row>
    <row r="61">
      <c r="A61" s="48" t="inlineStr">
        <is>
          <t>טליה קור</t>
        </is>
      </c>
      <c r="B61" s="53" t="inlineStr">
        <is>
          <t>מדרשה</t>
        </is>
      </c>
      <c r="C61" s="35" t="inlineStr">
        <is>
          <t>הילה</t>
        </is>
      </c>
      <c r="D61" s="35" t="inlineStr">
        <is>
          <t>כן</t>
        </is>
      </c>
      <c r="E61" s="34" t="inlineStr">
        <is>
          <t>מטבוחה; טיש</t>
        </is>
      </c>
      <c r="F61" s="50">
        <f>IF(A61="","",COUNTIF('משימות'!$G$3:$G$122,"*"&amp;A61&amp;"*"))</f>
        <v/>
      </c>
      <c r="G61" s="35" t="n">
        <v>4</v>
      </c>
      <c r="H61" s="50">
        <f>IF(A61="","",SUMIF('היסטוריה'!$B$3:$B$3002,A61,'היסטוריה'!$E$3:$E$3002))</f>
        <v/>
      </c>
      <c r="I61" s="34" t="n"/>
    </row>
    <row r="62">
      <c r="A62" s="48" t="inlineStr">
        <is>
          <t>ניצן גמלא</t>
        </is>
      </c>
      <c r="B62" s="53" t="inlineStr">
        <is>
          <t>מדרשה</t>
        </is>
      </c>
      <c r="C62" s="35" t="inlineStr">
        <is>
          <t>תמר</t>
        </is>
      </c>
      <c r="D62" s="35" t="inlineStr">
        <is>
          <t>כן</t>
        </is>
      </c>
      <c r="E62" s="34" t="inlineStr">
        <is>
          <t>עוגת שוקולד; ארוחת צהריים שבת</t>
        </is>
      </c>
      <c r="F62" s="50">
        <f>IF(A62="","",COUNTIF('משימות'!$G$3:$G$122,"*"&amp;A62&amp;"*"))</f>
        <v/>
      </c>
      <c r="G62" s="35" t="n">
        <v>5</v>
      </c>
      <c r="H62" s="50">
        <f>IF(A62="","",SUMIF('היסטוריה'!$B$3:$B$3002,A62,'היסטוריה'!$E$3:$E$3002))</f>
        <v/>
      </c>
      <c r="I62" s="34" t="n"/>
    </row>
    <row r="63">
      <c r="A63" s="48" t="inlineStr">
        <is>
          <t>אביה וייל</t>
        </is>
      </c>
      <c r="B63" s="53" t="inlineStr">
        <is>
          <t>מדרשה</t>
        </is>
      </c>
      <c r="C63" s="35" t="inlineStr">
        <is>
          <t>אלול</t>
        </is>
      </c>
      <c r="D63" s="35" t="inlineStr">
        <is>
          <t>כן</t>
        </is>
      </c>
      <c r="E63" s="34" t="inlineStr">
        <is>
          <t>בית מדרש; ניקיון חדר האוכל במוצ"ש</t>
        </is>
      </c>
      <c r="F63" s="50">
        <f>IF(A63="","",COUNTIF('משימות'!$G$3:$G$122,"*"&amp;A63&amp;"*"))</f>
        <v/>
      </c>
      <c r="G63" s="35" t="n">
        <v>6</v>
      </c>
      <c r="H63" s="50">
        <f>IF(A63="","",SUMIF('היסטוריה'!$B$3:$B$3002,A63,'היסטוריה'!$E$3:$E$3002))</f>
        <v/>
      </c>
      <c r="I63" s="34" t="n"/>
    </row>
    <row r="64">
      <c r="A64" s="48" t="inlineStr">
        <is>
          <t>אורי אסף</t>
        </is>
      </c>
      <c r="B64" s="53" t="inlineStr">
        <is>
          <t>מדרשה</t>
        </is>
      </c>
      <c r="C64" s="35" t="n"/>
      <c r="D64" s="35" t="n"/>
      <c r="E64" s="34" t="n"/>
      <c r="F64" s="50">
        <f>IF(A64="","",COUNTIF('משימות'!$G$3:$G$122,"*"&amp;A64&amp;"*"))</f>
        <v/>
      </c>
      <c r="G64" s="35" t="n"/>
      <c r="H64" s="50">
        <f>IF(A64="","",SUMIF('היסטוריה'!$B$3:$B$3002,A64,'היסטוריה'!$E$3:$E$3002))</f>
        <v/>
      </c>
      <c r="I64" s="34" t="inlineStr">
        <is>
          <t>לא נוכח/ת</t>
        </is>
      </c>
    </row>
    <row r="65">
      <c r="A65" s="48" t="inlineStr">
        <is>
          <t>יערה ריס</t>
        </is>
      </c>
      <c r="B65" s="53" t="inlineStr">
        <is>
          <t>מדרשה</t>
        </is>
      </c>
      <c r="C65" s="35" t="inlineStr">
        <is>
          <t>אלול</t>
        </is>
      </c>
      <c r="D65" s="35" t="inlineStr">
        <is>
          <t>כן</t>
        </is>
      </c>
      <c r="E65" s="34" t="inlineStr">
        <is>
          <t>ניקיון חדר האוכל בשישי; ניקיון בית המדרש במוצ"ש</t>
        </is>
      </c>
      <c r="F65" s="50">
        <f>IF(A65="","",COUNTIF('משימות'!$G$3:$G$122,"*"&amp;A65&amp;"*"))</f>
        <v/>
      </c>
      <c r="G65" s="35" t="n">
        <v>5</v>
      </c>
      <c r="H65" s="50">
        <f>IF(A65="","",SUMIF('היסטוריה'!$B$3:$B$3002,A65,'היסטוריה'!$E$3:$E$3002))</f>
        <v/>
      </c>
      <c r="I65" s="34" t="n"/>
    </row>
    <row r="66">
      <c r="A66" s="48" t="inlineStr">
        <is>
          <t>ליאור שימרלינג</t>
        </is>
      </c>
      <c r="B66" s="53" t="inlineStr">
        <is>
          <t>מדרשה</t>
        </is>
      </c>
      <c r="C66" s="35" t="n"/>
      <c r="D66" s="35" t="n"/>
      <c r="E66" s="34" t="n"/>
      <c r="F66" s="50">
        <f>IF(A66="","",COUNTIF('משימות'!$G$3:$G$122,"*"&amp;A66&amp;"*"))</f>
        <v/>
      </c>
      <c r="G66" s="35" t="n"/>
      <c r="H66" s="50">
        <f>IF(A66="","",SUMIF('היסטוריה'!$B$3:$B$3002,A66,'היסטוריה'!$E$3:$E$3002))</f>
        <v/>
      </c>
      <c r="I66" s="34" t="inlineStr">
        <is>
          <t>לא נוכח/ת</t>
        </is>
      </c>
    </row>
    <row r="67">
      <c r="A67" s="48" t="inlineStr">
        <is>
          <t>ליבי בוכריס</t>
        </is>
      </c>
      <c r="B67" s="53" t="inlineStr">
        <is>
          <t>מדרשה</t>
        </is>
      </c>
      <c r="C67" s="35" t="n"/>
      <c r="D67" s="35" t="inlineStr">
        <is>
          <t>כן</t>
        </is>
      </c>
      <c r="E67" s="34" t="inlineStr">
        <is>
          <t>עוגת שמרים; ארוחת צהריים שבת</t>
        </is>
      </c>
      <c r="F67" s="50">
        <f>IF(A67="","",COUNTIF('משימות'!$G$3:$G$122,"*"&amp;A67&amp;"*"))</f>
        <v/>
      </c>
      <c r="G67" s="35" t="n">
        <v>5</v>
      </c>
      <c r="H67" s="50">
        <f>IF(A67="","",SUMIF('היסטוריה'!$B$3:$B$3002,A67,'היסטוריה'!$E$3:$E$3002))</f>
        <v/>
      </c>
      <c r="I67" s="34" t="n"/>
    </row>
    <row r="68">
      <c r="A68" s="48" t="inlineStr">
        <is>
          <t>ליעם גבע</t>
        </is>
      </c>
      <c r="B68" s="53" t="inlineStr">
        <is>
          <t>מדרשה</t>
        </is>
      </c>
      <c r="C68" s="35" t="n"/>
      <c r="D68" s="35" t="inlineStr">
        <is>
          <t>כן</t>
        </is>
      </c>
      <c r="E68" s="34" t="inlineStr">
        <is>
          <t>חלות; קידוש</t>
        </is>
      </c>
      <c r="F68" s="50">
        <f>IF(A68="","",COUNTIF('משימות'!$G$3:$G$122,"*"&amp;A68&amp;"*"))</f>
        <v/>
      </c>
      <c r="G68" s="35" t="n">
        <v>4</v>
      </c>
      <c r="H68" s="50">
        <f>IF(A68="","",SUMIF('היסטוריה'!$B$3:$B$3002,A68,'היסטוריה'!$E$3:$E$3002))</f>
        <v/>
      </c>
      <c r="I68" s="34" t="n"/>
    </row>
    <row r="69">
      <c r="A69" s="48" t="inlineStr">
        <is>
          <t>מאיה פקטר</t>
        </is>
      </c>
      <c r="B69" s="53" t="inlineStr">
        <is>
          <t>מדרשה</t>
        </is>
      </c>
      <c r="C69" s="35" t="inlineStr">
        <is>
          <t>אלול</t>
        </is>
      </c>
      <c r="D69" s="35" t="inlineStr">
        <is>
          <t>כן</t>
        </is>
      </c>
      <c r="E69" s="34" t="inlineStr">
        <is>
          <t>ניקיון חדר האוכל בשישי; ניקיון חדר האוכל במוצ"ש</t>
        </is>
      </c>
      <c r="F69" s="50">
        <f>IF(A69="","",COUNTIF('משימות'!$G$3:$G$122,"*"&amp;A69&amp;"*"))</f>
        <v/>
      </c>
      <c r="G69" s="35" t="n">
        <v>6</v>
      </c>
      <c r="H69" s="50">
        <f>IF(A69="","",SUMIF('היסטוריה'!$B$3:$B$3002,A69,'היסטוריה'!$E$3:$E$3002))</f>
        <v/>
      </c>
      <c r="I69" s="34" t="n"/>
    </row>
    <row r="70">
      <c r="A70" s="48" t="inlineStr">
        <is>
          <t>פרת פולס</t>
        </is>
      </c>
      <c r="B70" s="53" t="inlineStr">
        <is>
          <t>מדרשה</t>
        </is>
      </c>
      <c r="C70" s="35" t="n"/>
      <c r="D70" s="35" t="n"/>
      <c r="E70" s="34" t="n"/>
      <c r="F70" s="50">
        <f>IF(A70="","",COUNTIF('משימות'!$G$3:$G$122,"*"&amp;A70&amp;"*"))</f>
        <v/>
      </c>
      <c r="G70" s="35" t="n"/>
      <c r="H70" s="50">
        <f>IF(A70="","",SUMIF('היסטוריה'!$B$3:$B$3002,A70,'היסטוריה'!$E$3:$E$3002))</f>
        <v/>
      </c>
      <c r="I70" s="34" t="inlineStr">
        <is>
          <t>לא נוכח/ת</t>
        </is>
      </c>
    </row>
    <row r="71">
      <c r="A71" s="48" t="inlineStr">
        <is>
          <t>רגב שהם</t>
        </is>
      </c>
      <c r="B71" s="53" t="inlineStr">
        <is>
          <t>מדרשה</t>
        </is>
      </c>
      <c r="C71" s="35" t="n"/>
      <c r="D71" s="35" t="n"/>
      <c r="E71" s="34" t="n"/>
      <c r="F71" s="50">
        <f>IF(A71="","",COUNTIF('משימות'!$G$3:$G$122,"*"&amp;A71&amp;"*"))</f>
        <v/>
      </c>
      <c r="G71" s="35" t="n"/>
      <c r="H71" s="50">
        <f>IF(A71="","",SUMIF('היסטוריה'!$B$3:$B$3002,A71,'היסטוריה'!$E$3:$E$3002))</f>
        <v/>
      </c>
      <c r="I71" s="34" t="inlineStr">
        <is>
          <t>לא נוכח/ת</t>
        </is>
      </c>
    </row>
    <row r="72">
      <c r="A72" s="48" t="inlineStr">
        <is>
          <t>רוני כהן</t>
        </is>
      </c>
      <c r="B72" s="53" t="inlineStr">
        <is>
          <t>מדרשה</t>
        </is>
      </c>
      <c r="C72" s="35" t="inlineStr">
        <is>
          <t>אלול</t>
        </is>
      </c>
      <c r="D72" s="35" t="inlineStr">
        <is>
          <t>כן</t>
        </is>
      </c>
      <c r="E72" s="34" t="inlineStr">
        <is>
          <t>ארוחת ערב</t>
        </is>
      </c>
      <c r="F72" s="50">
        <f>IF(A72="","",COUNTIF('משימות'!$G$3:$G$122,"*"&amp;A72&amp;"*"))</f>
        <v/>
      </c>
      <c r="G72" s="35" t="n">
        <v>2</v>
      </c>
      <c r="H72" s="50">
        <f>IF(A72="","",SUMIF('היסטוריה'!$B$3:$B$3002,A72,'היסטוריה'!$E$3:$E$3002))</f>
        <v/>
      </c>
      <c r="I72" s="34" t="n"/>
    </row>
    <row r="73">
      <c r="A73" s="48" t="n"/>
      <c r="B73" s="53" t="n"/>
      <c r="C73" s="35" t="n"/>
      <c r="D73" s="35" t="n"/>
      <c r="E73" s="34" t="n"/>
      <c r="F73" s="50">
        <f>IF(A73="","",COUNTIF('משימות'!$G$3:$G$122,"*"&amp;A73&amp;"*"))</f>
        <v/>
      </c>
      <c r="G73" s="35" t="n"/>
      <c r="H73" s="50">
        <f>IF(A73="","",SUMIF('היסטוריה'!$B$3:$B$3002,A73,'היסטוריה'!$E$3:$E$3002))</f>
        <v/>
      </c>
      <c r="I73" s="34" t="n"/>
    </row>
    <row r="74">
      <c r="A74" s="48" t="n"/>
      <c r="B74" s="53" t="n"/>
      <c r="C74" s="35" t="n"/>
      <c r="D74" s="35" t="n"/>
      <c r="E74" s="34" t="n"/>
      <c r="F74" s="50">
        <f>IF(A74="","",COUNTIF('משימות'!$G$3:$G$122,"*"&amp;A74&amp;"*"))</f>
        <v/>
      </c>
      <c r="G74" s="35" t="n"/>
      <c r="H74" s="50">
        <f>IF(A74="","",SUMIF('היסטוריה'!$B$3:$B$3002,A74,'היסטוריה'!$E$3:$E$3002))</f>
        <v/>
      </c>
      <c r="I74" s="34" t="n"/>
    </row>
    <row r="75">
      <c r="A75" s="48" t="n"/>
      <c r="B75" s="53" t="n"/>
      <c r="C75" s="35" t="n"/>
      <c r="D75" s="35" t="n"/>
      <c r="E75" s="34" t="n"/>
      <c r="F75" s="50">
        <f>IF(A75="","",COUNTIF('משימות'!$G$3:$G$122,"*"&amp;A75&amp;"*"))</f>
        <v/>
      </c>
      <c r="G75" s="35" t="n"/>
      <c r="H75" s="50">
        <f>IF(A75="","",SUMIF('היסטוריה'!$B$3:$B$3002,A75,'היסטוריה'!$E$3:$E$3002))</f>
        <v/>
      </c>
      <c r="I75" s="34" t="n"/>
    </row>
    <row r="76">
      <c r="A76" s="48" t="n"/>
      <c r="B76" s="53" t="n"/>
      <c r="C76" s="35" t="n"/>
      <c r="D76" s="35" t="n"/>
      <c r="E76" s="34" t="n"/>
      <c r="F76" s="50">
        <f>IF(A76="","",COUNTIF('משימות'!$G$3:$G$122,"*"&amp;A76&amp;"*"))</f>
        <v/>
      </c>
      <c r="G76" s="35" t="n"/>
      <c r="H76" s="50">
        <f>IF(A76="","",SUMIF('היסטוריה'!$B$3:$B$3002,A76,'היסטוריה'!$E$3:$E$3002))</f>
        <v/>
      </c>
      <c r="I76" s="34" t="n"/>
    </row>
    <row r="77">
      <c r="A77" s="48" t="n"/>
      <c r="B77" s="53" t="n"/>
      <c r="C77" s="35" t="n"/>
      <c r="D77" s="35" t="n"/>
      <c r="E77" s="34" t="n"/>
      <c r="F77" s="50">
        <f>IF(A77="","",COUNTIF('משימות'!$G$3:$G$122,"*"&amp;A77&amp;"*"))</f>
        <v/>
      </c>
      <c r="G77" s="35" t="n"/>
      <c r="H77" s="50">
        <f>IF(A77="","",SUMIF('היסטוריה'!$B$3:$B$3002,A77,'היסטוריה'!$E$3:$E$3002))</f>
        <v/>
      </c>
      <c r="I77" s="34" t="n"/>
    </row>
    <row r="78">
      <c r="A78" s="48" t="n"/>
      <c r="B78" s="53" t="n"/>
      <c r="C78" s="35" t="n"/>
      <c r="D78" s="35" t="n"/>
      <c r="E78" s="34" t="n"/>
      <c r="F78" s="50">
        <f>IF(A78="","",COUNTIF('משימות'!$G$3:$G$122,"*"&amp;A78&amp;"*"))</f>
        <v/>
      </c>
      <c r="G78" s="35" t="n"/>
      <c r="H78" s="50">
        <f>IF(A78="","",SUMIF('היסטוריה'!$B$3:$B$3002,A78,'היסטוריה'!$E$3:$E$3002))</f>
        <v/>
      </c>
      <c r="I78" s="34" t="n"/>
    </row>
    <row r="79">
      <c r="A79" s="48" t="n"/>
      <c r="B79" s="53" t="n"/>
      <c r="C79" s="35" t="n"/>
      <c r="D79" s="35" t="n"/>
      <c r="E79" s="34" t="n"/>
      <c r="F79" s="50">
        <f>IF(A79="","",COUNTIF('משימות'!$G$3:$G$122,"*"&amp;A79&amp;"*"))</f>
        <v/>
      </c>
      <c r="G79" s="35" t="n"/>
      <c r="H79" s="50">
        <f>IF(A79="","",SUMIF('היסטוריה'!$B$3:$B$3002,A79,'היסטוריה'!$E$3:$E$3002))</f>
        <v/>
      </c>
      <c r="I79" s="34" t="n"/>
    </row>
    <row r="80">
      <c r="A80" s="48" t="n"/>
      <c r="B80" s="53" t="n"/>
      <c r="C80" s="35" t="n"/>
      <c r="D80" s="35" t="n"/>
      <c r="E80" s="34" t="n"/>
      <c r="F80" s="50">
        <f>IF(A80="","",COUNTIF('משימות'!$G$3:$G$122,"*"&amp;A80&amp;"*"))</f>
        <v/>
      </c>
      <c r="G80" s="35" t="n"/>
      <c r="H80" s="50">
        <f>IF(A80="","",SUMIF('היסטוריה'!$B$3:$B$3002,A80,'היסטוריה'!$E$3:$E$3002))</f>
        <v/>
      </c>
      <c r="I80" s="34" t="n"/>
    </row>
    <row r="81">
      <c r="A81" s="48" t="n"/>
      <c r="B81" s="53" t="n"/>
      <c r="C81" s="35" t="n"/>
      <c r="D81" s="35" t="n"/>
      <c r="E81" s="34" t="n"/>
      <c r="F81" s="50">
        <f>IF(A81="","",COUNTIF('משימות'!$G$3:$G$122,"*"&amp;A81&amp;"*"))</f>
        <v/>
      </c>
      <c r="G81" s="35" t="n"/>
      <c r="H81" s="50">
        <f>IF(A81="","",SUMIF('היסטוריה'!$B$3:$B$3002,A81,'היסטוריה'!$E$3:$E$3002))</f>
        <v/>
      </c>
      <c r="I81" s="34" t="n"/>
    </row>
    <row r="82">
      <c r="A82" s="48" t="n"/>
      <c r="B82" s="53" t="n"/>
      <c r="C82" s="35" t="n"/>
      <c r="D82" s="35" t="n"/>
      <c r="E82" s="34" t="n"/>
      <c r="F82" s="50">
        <f>IF(A82="","",COUNTIF('משימות'!$G$3:$G$122,"*"&amp;A82&amp;"*"))</f>
        <v/>
      </c>
      <c r="G82" s="35" t="n"/>
      <c r="H82" s="50">
        <f>IF(A82="","",SUMIF('היסטוריה'!$B$3:$B$3002,A82,'היסטוריה'!$E$3:$E$3002))</f>
        <v/>
      </c>
      <c r="I82" s="34" t="n"/>
    </row>
    <row r="83">
      <c r="A83" s="48" t="n"/>
      <c r="B83" s="53" t="n"/>
      <c r="C83" s="35" t="n"/>
      <c r="D83" s="35" t="n"/>
      <c r="E83" s="34" t="n"/>
      <c r="F83" s="50">
        <f>IF(A83="","",COUNTIF('משימות'!$G$3:$G$122,"*"&amp;A83&amp;"*"))</f>
        <v/>
      </c>
      <c r="G83" s="35" t="n"/>
      <c r="H83" s="50">
        <f>IF(A83="","",SUMIF('היסטוריה'!$B$3:$B$3002,A83,'היסטוריה'!$E$3:$E$3002))</f>
        <v/>
      </c>
      <c r="I83" s="34" t="n"/>
    </row>
    <row r="84">
      <c r="A84" s="48" t="n"/>
      <c r="B84" s="53" t="n"/>
      <c r="C84" s="35" t="n"/>
      <c r="D84" s="35" t="n"/>
      <c r="E84" s="34" t="n"/>
      <c r="F84" s="50">
        <f>IF(A84="","",COUNTIF('משימות'!$G$3:$G$122,"*"&amp;A84&amp;"*"))</f>
        <v/>
      </c>
      <c r="G84" s="35" t="n"/>
      <c r="H84" s="50">
        <f>IF(A84="","",SUMIF('היסטוריה'!$B$3:$B$3002,A84,'היסטוריה'!$E$3:$E$3002))</f>
        <v/>
      </c>
      <c r="I84" s="34" t="n"/>
    </row>
    <row r="85">
      <c r="A85" s="48" t="n"/>
      <c r="B85" s="53" t="n"/>
      <c r="C85" s="35" t="n"/>
      <c r="D85" s="35" t="n"/>
      <c r="E85" s="34" t="n"/>
      <c r="F85" s="50">
        <f>IF(A85="","",COUNTIF('משימות'!$G$3:$G$122,"*"&amp;A85&amp;"*"))</f>
        <v/>
      </c>
      <c r="G85" s="35" t="n"/>
      <c r="H85" s="50">
        <f>IF(A85="","",SUMIF('היסטוריה'!$B$3:$B$3002,A85,'היסטוריה'!$E$3:$E$3002))</f>
        <v/>
      </c>
      <c r="I85" s="34" t="n"/>
    </row>
    <row r="86">
      <c r="A86" s="48" t="n"/>
      <c r="B86" s="53" t="n"/>
      <c r="C86" s="35" t="n"/>
      <c r="D86" s="35" t="n"/>
      <c r="E86" s="34" t="n"/>
      <c r="F86" s="50">
        <f>IF(A86="","",COUNTIF('משימות'!$G$3:$G$122,"*"&amp;A86&amp;"*"))</f>
        <v/>
      </c>
      <c r="G86" s="35" t="n"/>
      <c r="H86" s="50">
        <f>IF(A86="","",SUMIF('היסטוריה'!$B$3:$B$3002,A86,'היסטוריה'!$E$3:$E$3002))</f>
        <v/>
      </c>
      <c r="I86" s="34" t="n"/>
    </row>
    <row r="87">
      <c r="A87" s="48" t="n"/>
      <c r="B87" s="53" t="n"/>
      <c r="C87" s="35" t="n"/>
      <c r="D87" s="35" t="n"/>
      <c r="E87" s="34" t="n"/>
      <c r="F87" s="50">
        <f>IF(A87="","",COUNTIF('משימות'!$G$3:$G$122,"*"&amp;A87&amp;"*"))</f>
        <v/>
      </c>
      <c r="G87" s="35" t="n"/>
      <c r="H87" s="50">
        <f>IF(A87="","",SUMIF('היסטוריה'!$B$3:$B$3002,A87,'היסטוריה'!$E$3:$E$3002))</f>
        <v/>
      </c>
      <c r="I87" s="34" t="n"/>
    </row>
    <row r="88">
      <c r="A88" s="48" t="n"/>
      <c r="B88" s="53" t="n"/>
      <c r="C88" s="35" t="n"/>
      <c r="D88" s="35" t="n"/>
      <c r="E88" s="34" t="n"/>
      <c r="F88" s="50">
        <f>IF(A88="","",COUNTIF('משימות'!$G$3:$G$122,"*"&amp;A88&amp;"*"))</f>
        <v/>
      </c>
      <c r="G88" s="35" t="n"/>
      <c r="H88" s="50">
        <f>IF(A88="","",SUMIF('היסטוריה'!$B$3:$B$3002,A88,'היסטוריה'!$E$3:$E$3002))</f>
        <v/>
      </c>
      <c r="I88" s="34" t="n"/>
    </row>
    <row r="89">
      <c r="A89" s="48" t="n"/>
      <c r="B89" s="53" t="n"/>
      <c r="C89" s="35" t="n"/>
      <c r="D89" s="35" t="n"/>
      <c r="E89" s="34" t="n"/>
      <c r="F89" s="50">
        <f>IF(A89="","",COUNTIF('משימות'!$G$3:$G$122,"*"&amp;A89&amp;"*"))</f>
        <v/>
      </c>
      <c r="G89" s="35" t="n"/>
      <c r="H89" s="50">
        <f>IF(A89="","",SUMIF('היסטוריה'!$B$3:$B$3002,A89,'היסטוריה'!$E$3:$E$3002))</f>
        <v/>
      </c>
      <c r="I89" s="34" t="n"/>
    </row>
    <row r="90">
      <c r="A90" s="48" t="n"/>
      <c r="B90" s="53" t="n"/>
      <c r="C90" s="35" t="n"/>
      <c r="D90" s="35" t="n"/>
      <c r="E90" s="34" t="n"/>
      <c r="F90" s="50">
        <f>IF(A90="","",COUNTIF('משימות'!$G$3:$G$122,"*"&amp;A90&amp;"*"))</f>
        <v/>
      </c>
      <c r="G90" s="35" t="n"/>
      <c r="H90" s="50">
        <f>IF(A90="","",SUMIF('היסטוריה'!$B$3:$B$3002,A90,'היסטוריה'!$E$3:$E$3002))</f>
        <v/>
      </c>
      <c r="I90" s="34" t="n"/>
    </row>
    <row r="91">
      <c r="A91" s="48" t="n"/>
      <c r="B91" s="53" t="n"/>
      <c r="C91" s="35" t="n"/>
      <c r="D91" s="35" t="n"/>
      <c r="E91" s="34" t="n"/>
      <c r="F91" s="50">
        <f>IF(A91="","",COUNTIF('משימות'!$G$3:$G$122,"*"&amp;A91&amp;"*"))</f>
        <v/>
      </c>
      <c r="G91" s="35" t="n"/>
      <c r="H91" s="50">
        <f>IF(A91="","",SUMIF('היסטוריה'!$B$3:$B$3002,A91,'היסטוריה'!$E$3:$E$3002))</f>
        <v/>
      </c>
      <c r="I91" s="34" t="n"/>
    </row>
    <row r="92">
      <c r="A92" s="48" t="n"/>
      <c r="B92" s="53" t="n"/>
      <c r="C92" s="35" t="n"/>
      <c r="D92" s="35" t="n"/>
      <c r="E92" s="34" t="n"/>
      <c r="F92" s="50">
        <f>IF(A92="","",COUNTIF('משימות'!$G$3:$G$122,"*"&amp;A92&amp;"*"))</f>
        <v/>
      </c>
      <c r="G92" s="35" t="n"/>
      <c r="H92" s="50">
        <f>IF(A92="","",SUMIF('היסטוריה'!$B$3:$B$3002,A92,'היסטוריה'!$E$3:$E$3002))</f>
        <v/>
      </c>
      <c r="I92" s="34" t="n"/>
    </row>
    <row r="93">
      <c r="A93" s="48" t="n"/>
      <c r="B93" s="53" t="n"/>
      <c r="C93" s="35" t="n"/>
      <c r="D93" s="35" t="n"/>
      <c r="E93" s="34" t="n"/>
      <c r="F93" s="50">
        <f>IF(A93="","",COUNTIF('משימות'!$G$3:$G$122,"*"&amp;A93&amp;"*"))</f>
        <v/>
      </c>
      <c r="G93" s="35" t="n"/>
      <c r="H93" s="50">
        <f>IF(A93="","",SUMIF('היסטוריה'!$B$3:$B$3002,A93,'היסטוריה'!$E$3:$E$3002))</f>
        <v/>
      </c>
      <c r="I93" s="34" t="n"/>
    </row>
    <row r="94">
      <c r="A94" s="48" t="n"/>
      <c r="B94" s="53" t="n"/>
      <c r="C94" s="35" t="n"/>
      <c r="D94" s="35" t="n"/>
      <c r="E94" s="34" t="n"/>
      <c r="F94" s="50">
        <f>IF(A94="","",COUNTIF('משימות'!$G$3:$G$122,"*"&amp;A94&amp;"*"))</f>
        <v/>
      </c>
      <c r="G94" s="35" t="n"/>
      <c r="H94" s="50">
        <f>IF(A94="","",SUMIF('היסטוריה'!$B$3:$B$3002,A94,'היסטוריה'!$E$3:$E$3002))</f>
        <v/>
      </c>
      <c r="I94" s="34" t="n"/>
    </row>
    <row r="95">
      <c r="A95" s="48" t="n"/>
      <c r="B95" s="53" t="n"/>
      <c r="C95" s="35" t="n"/>
      <c r="D95" s="35" t="n"/>
      <c r="E95" s="34" t="n"/>
      <c r="F95" s="50">
        <f>IF(A95="","",COUNTIF('משימות'!$G$3:$G$122,"*"&amp;A95&amp;"*"))</f>
        <v/>
      </c>
      <c r="G95" s="35" t="n"/>
      <c r="H95" s="50">
        <f>IF(A95="","",SUMIF('היסטוריה'!$B$3:$B$3002,A95,'היסטוריה'!$E$3:$E$3002))</f>
        <v/>
      </c>
      <c r="I95" s="34" t="n"/>
    </row>
    <row r="96">
      <c r="A96" s="48" t="n"/>
      <c r="B96" s="53" t="n"/>
      <c r="C96" s="35" t="n"/>
      <c r="D96" s="35" t="n"/>
      <c r="E96" s="34" t="n"/>
      <c r="F96" s="50">
        <f>IF(A96="","",COUNTIF('משימות'!$G$3:$G$122,"*"&amp;A96&amp;"*"))</f>
        <v/>
      </c>
      <c r="G96" s="35" t="n"/>
      <c r="H96" s="50">
        <f>IF(A96="","",SUMIF('היסטוריה'!$B$3:$B$3002,A96,'היסטוריה'!$E$3:$E$3002))</f>
        <v/>
      </c>
      <c r="I96" s="34" t="n"/>
    </row>
    <row r="97">
      <c r="A97" s="48" t="n"/>
      <c r="B97" s="53" t="n"/>
      <c r="C97" s="35" t="n"/>
      <c r="D97" s="35" t="n"/>
      <c r="E97" s="34" t="n"/>
      <c r="F97" s="50">
        <f>IF(A97="","",COUNTIF('משימות'!$G$3:$G$122,"*"&amp;A97&amp;"*"))</f>
        <v/>
      </c>
      <c r="G97" s="35" t="n"/>
      <c r="H97" s="50">
        <f>IF(A97="","",SUMIF('היסטוריה'!$B$3:$B$3002,A97,'היסטוריה'!$E$3:$E$3002))</f>
        <v/>
      </c>
      <c r="I97" s="34" t="n"/>
    </row>
    <row r="98">
      <c r="A98" s="48" t="n"/>
      <c r="B98" s="53" t="n"/>
      <c r="C98" s="35" t="n"/>
      <c r="D98" s="35" t="n"/>
      <c r="E98" s="34" t="n"/>
      <c r="F98" s="50">
        <f>IF(A98="","",COUNTIF('משימות'!$G$3:$G$122,"*"&amp;A98&amp;"*"))</f>
        <v/>
      </c>
      <c r="G98" s="35" t="n"/>
      <c r="H98" s="50">
        <f>IF(A98="","",SUMIF('היסטוריה'!$B$3:$B$3002,A98,'היסטוריה'!$E$3:$E$3002))</f>
        <v/>
      </c>
      <c r="I98" s="34" t="n"/>
    </row>
    <row r="99">
      <c r="A99" s="48" t="n"/>
      <c r="B99" s="53" t="n"/>
      <c r="C99" s="35" t="n"/>
      <c r="D99" s="35" t="n"/>
      <c r="E99" s="34" t="n"/>
      <c r="F99" s="50">
        <f>IF(A99="","",COUNTIF('משימות'!$G$3:$G$122,"*"&amp;A99&amp;"*"))</f>
        <v/>
      </c>
      <c r="G99" s="35" t="n"/>
      <c r="H99" s="50">
        <f>IF(A99="","",SUMIF('היסטוריה'!$B$3:$B$3002,A99,'היסטוריה'!$E$3:$E$3002))</f>
        <v/>
      </c>
      <c r="I99" s="34" t="n"/>
    </row>
    <row r="100">
      <c r="A100" s="48" t="n"/>
      <c r="B100" s="53" t="n"/>
      <c r="C100" s="35" t="n"/>
      <c r="D100" s="35" t="n"/>
      <c r="E100" s="34" t="n"/>
      <c r="F100" s="50">
        <f>IF(A100="","",COUNTIF('משימות'!$G$3:$G$122,"*"&amp;A100&amp;"*"))</f>
        <v/>
      </c>
      <c r="G100" s="35" t="n"/>
      <c r="H100" s="50">
        <f>IF(A100="","",SUMIF('היסטוריה'!$B$3:$B$3002,A100,'היסטוריה'!$E$3:$E$3002))</f>
        <v/>
      </c>
      <c r="I100" s="34" t="n"/>
    </row>
    <row r="101">
      <c r="A101" s="48" t="n"/>
      <c r="B101" s="53" t="n"/>
      <c r="C101" s="35" t="n"/>
      <c r="D101" s="35" t="n"/>
      <c r="E101" s="34" t="n"/>
      <c r="F101" s="50">
        <f>IF(A101="","",COUNTIF('משימות'!$G$3:$G$122,"*"&amp;A101&amp;"*"))</f>
        <v/>
      </c>
      <c r="G101" s="35" t="n"/>
      <c r="H101" s="50">
        <f>IF(A101="","",SUMIF('היסטוריה'!$B$3:$B$3002,A101,'היסטוריה'!$E$3:$E$3002))</f>
        <v/>
      </c>
      <c r="I101" s="34" t="n"/>
    </row>
    <row r="102">
      <c r="A102" s="48" t="n"/>
      <c r="B102" s="53" t="n"/>
      <c r="C102" s="35" t="n"/>
      <c r="D102" s="35" t="n"/>
      <c r="E102" s="34" t="n"/>
      <c r="F102" s="50">
        <f>IF(A102="","",COUNTIF('משימות'!$G$3:$G$122,"*"&amp;A102&amp;"*"))</f>
        <v/>
      </c>
      <c r="G102" s="35" t="n"/>
      <c r="H102" s="50">
        <f>IF(A102="","",SUMIF('היסטוריה'!$B$3:$B$3002,A102,'היסטוריה'!$E$3:$E$3002))</f>
        <v/>
      </c>
      <c r="I102" s="34" t="n"/>
    </row>
    <row r="103">
      <c r="A103" s="48" t="n"/>
      <c r="B103" s="53" t="n"/>
      <c r="C103" s="35" t="n"/>
      <c r="D103" s="35" t="n"/>
      <c r="E103" s="34" t="n"/>
      <c r="F103" s="50">
        <f>IF(A103="","",COUNTIF('משימות'!$G$3:$G$122,"*"&amp;A103&amp;"*"))</f>
        <v/>
      </c>
      <c r="G103" s="35" t="n"/>
      <c r="H103" s="50">
        <f>IF(A103="","",SUMIF('היסטוריה'!$B$3:$B$3002,A103,'היסטוריה'!$E$3:$E$3002))</f>
        <v/>
      </c>
      <c r="I103" s="34" t="n"/>
    </row>
    <row r="104">
      <c r="A104" s="48" t="n"/>
      <c r="B104" s="53" t="n"/>
      <c r="C104" s="35" t="n"/>
      <c r="D104" s="35" t="n"/>
      <c r="E104" s="34" t="n"/>
      <c r="F104" s="50">
        <f>IF(A104="","",COUNTIF('משימות'!$G$3:$G$122,"*"&amp;A104&amp;"*"))</f>
        <v/>
      </c>
      <c r="G104" s="35" t="n"/>
      <c r="H104" s="50">
        <f>IF(A104="","",SUMIF('היסטוריה'!$B$3:$B$3002,A104,'היסטוריה'!$E$3:$E$3002))</f>
        <v/>
      </c>
      <c r="I104" s="34" t="n"/>
    </row>
    <row r="105">
      <c r="A105" s="48" t="n"/>
      <c r="B105" s="53" t="n"/>
      <c r="C105" s="35" t="n"/>
      <c r="D105" s="35" t="n"/>
      <c r="E105" s="34" t="n"/>
      <c r="F105" s="50">
        <f>IF(A105="","",COUNTIF('משימות'!$G$3:$G$122,"*"&amp;A105&amp;"*"))</f>
        <v/>
      </c>
      <c r="G105" s="35" t="n"/>
      <c r="H105" s="50">
        <f>IF(A105="","",SUMIF('היסטוריה'!$B$3:$B$3002,A105,'היסטוריה'!$E$3:$E$3002))</f>
        <v/>
      </c>
      <c r="I105" s="34" t="n"/>
    </row>
    <row r="106">
      <c r="A106" s="48" t="n"/>
      <c r="B106" s="53" t="n"/>
      <c r="C106" s="35" t="n"/>
      <c r="D106" s="35" t="n"/>
      <c r="E106" s="34" t="n"/>
      <c r="F106" s="50">
        <f>IF(A106="","",COUNTIF('משימות'!$G$3:$G$122,"*"&amp;A106&amp;"*"))</f>
        <v/>
      </c>
      <c r="G106" s="35" t="n"/>
      <c r="H106" s="50">
        <f>IF(A106="","",SUMIF('היסטוריה'!$B$3:$B$3002,A106,'היסטוריה'!$E$3:$E$3002))</f>
        <v/>
      </c>
      <c r="I106" s="34" t="n"/>
    </row>
    <row r="107">
      <c r="A107" s="48" t="n"/>
      <c r="B107" s="53" t="n"/>
      <c r="C107" s="35" t="n"/>
      <c r="D107" s="35" t="n"/>
      <c r="E107" s="34" t="n"/>
      <c r="F107" s="50">
        <f>IF(A107="","",COUNTIF('משימות'!$G$3:$G$122,"*"&amp;A107&amp;"*"))</f>
        <v/>
      </c>
      <c r="G107" s="35" t="n"/>
      <c r="H107" s="50">
        <f>IF(A107="","",SUMIF('היסטוריה'!$B$3:$B$3002,A107,'היסטוריה'!$E$3:$E$3002))</f>
        <v/>
      </c>
      <c r="I107" s="34" t="n"/>
    </row>
    <row r="108">
      <c r="A108" s="48" t="n"/>
      <c r="B108" s="53" t="n"/>
      <c r="C108" s="35" t="n"/>
      <c r="D108" s="35" t="n"/>
      <c r="E108" s="34" t="n"/>
      <c r="F108" s="50">
        <f>IF(A108="","",COUNTIF('משימות'!$G$3:$G$122,"*"&amp;A108&amp;"*"))</f>
        <v/>
      </c>
      <c r="G108" s="35" t="n"/>
      <c r="H108" s="50">
        <f>IF(A108="","",SUMIF('היסטוריה'!$B$3:$B$3002,A108,'היסטוריה'!$E$3:$E$3002))</f>
        <v/>
      </c>
      <c r="I108" s="34" t="n"/>
    </row>
    <row r="109">
      <c r="A109" s="48" t="n"/>
      <c r="B109" s="53" t="n"/>
      <c r="C109" s="35" t="n"/>
      <c r="D109" s="35" t="n"/>
      <c r="E109" s="34" t="n"/>
      <c r="F109" s="50">
        <f>IF(A109="","",COUNTIF('משימות'!$G$3:$G$122,"*"&amp;A109&amp;"*"))</f>
        <v/>
      </c>
      <c r="G109" s="35" t="n"/>
      <c r="H109" s="50">
        <f>IF(A109="","",SUMIF('היסטוריה'!$B$3:$B$3002,A109,'היסטוריה'!$E$3:$E$3002))</f>
        <v/>
      </c>
      <c r="I109" s="34" t="n"/>
    </row>
    <row r="110">
      <c r="A110" s="48" t="n"/>
      <c r="B110" s="53" t="n"/>
      <c r="C110" s="35" t="n"/>
      <c r="D110" s="35" t="n"/>
      <c r="E110" s="34" t="n"/>
      <c r="F110" s="50">
        <f>IF(A110="","",COUNTIF('משימות'!$G$3:$G$122,"*"&amp;A110&amp;"*"))</f>
        <v/>
      </c>
      <c r="G110" s="35" t="n"/>
      <c r="H110" s="50">
        <f>IF(A110="","",SUMIF('היסטוריה'!$B$3:$B$3002,A110,'היסטוריה'!$E$3:$E$3002))</f>
        <v/>
      </c>
      <c r="I110" s="34" t="n"/>
    </row>
    <row r="111">
      <c r="A111" s="48" t="n"/>
      <c r="B111" s="53" t="n"/>
      <c r="C111" s="35" t="n"/>
      <c r="D111" s="35" t="n"/>
      <c r="E111" s="34" t="n"/>
      <c r="F111" s="50">
        <f>IF(A111="","",COUNTIF('משימות'!$G$3:$G$122,"*"&amp;A111&amp;"*"))</f>
        <v/>
      </c>
      <c r="G111" s="35" t="n"/>
      <c r="H111" s="50">
        <f>IF(A111="","",SUMIF('היסטוריה'!$B$3:$B$3002,A111,'היסטוריה'!$E$3:$E$3002))</f>
        <v/>
      </c>
      <c r="I111" s="34" t="n"/>
    </row>
    <row r="112">
      <c r="A112" s="48" t="n"/>
      <c r="B112" s="53" t="n"/>
      <c r="C112" s="35" t="n"/>
      <c r="D112" s="35" t="n"/>
      <c r="E112" s="34" t="n"/>
      <c r="F112" s="50">
        <f>IF(A112="","",COUNTIF('משימות'!$G$3:$G$122,"*"&amp;A112&amp;"*"))</f>
        <v/>
      </c>
      <c r="G112" s="35" t="n"/>
      <c r="H112" s="50">
        <f>IF(A112="","",SUMIF('היסטוריה'!$B$3:$B$3002,A112,'היסטוריה'!$E$3:$E$3002))</f>
        <v/>
      </c>
      <c r="I112" s="34" t="n"/>
    </row>
    <row r="113">
      <c r="A113" s="48" t="n"/>
      <c r="B113" s="53" t="n"/>
      <c r="C113" s="35" t="n"/>
      <c r="D113" s="35" t="n"/>
      <c r="E113" s="34" t="n"/>
      <c r="F113" s="50">
        <f>IF(A113="","",COUNTIF('משימות'!$G$3:$G$122,"*"&amp;A113&amp;"*"))</f>
        <v/>
      </c>
      <c r="G113" s="35" t="n"/>
      <c r="H113" s="50">
        <f>IF(A113="","",SUMIF('היסטוריה'!$B$3:$B$3002,A113,'היסטוריה'!$E$3:$E$3002))</f>
        <v/>
      </c>
      <c r="I113" s="34" t="n"/>
    </row>
    <row r="114">
      <c r="A114" s="48" t="n"/>
      <c r="B114" s="53" t="n"/>
      <c r="C114" s="35" t="n"/>
      <c r="D114" s="35" t="n"/>
      <c r="E114" s="34" t="n"/>
      <c r="F114" s="50">
        <f>IF(A114="","",COUNTIF('משימות'!$G$3:$G$122,"*"&amp;A114&amp;"*"))</f>
        <v/>
      </c>
      <c r="G114" s="35" t="n"/>
      <c r="H114" s="50">
        <f>IF(A114="","",SUMIF('היסטוריה'!$B$3:$B$3002,A114,'היסטוריה'!$E$3:$E$3002))</f>
        <v/>
      </c>
      <c r="I114" s="34" t="n"/>
    </row>
    <row r="115">
      <c r="A115" s="48" t="n"/>
      <c r="B115" s="53" t="n"/>
      <c r="C115" s="35" t="n"/>
      <c r="D115" s="35" t="n"/>
      <c r="E115" s="34" t="n"/>
      <c r="F115" s="50">
        <f>IF(A115="","",COUNTIF('משימות'!$G$3:$G$122,"*"&amp;A115&amp;"*"))</f>
        <v/>
      </c>
      <c r="G115" s="35" t="n"/>
      <c r="H115" s="50">
        <f>IF(A115="","",SUMIF('היסטוריה'!$B$3:$B$3002,A115,'היסטוריה'!$E$3:$E$3002))</f>
        <v/>
      </c>
      <c r="I115" s="34" t="n"/>
    </row>
    <row r="116">
      <c r="A116" s="48" t="n"/>
      <c r="B116" s="53" t="n"/>
      <c r="C116" s="35" t="n"/>
      <c r="D116" s="35" t="n"/>
      <c r="E116" s="34" t="n"/>
      <c r="F116" s="50">
        <f>IF(A116="","",COUNTIF('משימות'!$G$3:$G$122,"*"&amp;A116&amp;"*"))</f>
        <v/>
      </c>
      <c r="G116" s="35" t="n"/>
      <c r="H116" s="50">
        <f>IF(A116="","",SUMIF('היסטוריה'!$B$3:$B$3002,A116,'היסטוריה'!$E$3:$E$3002))</f>
        <v/>
      </c>
      <c r="I116" s="34" t="n"/>
    </row>
    <row r="117">
      <c r="A117" s="48" t="n"/>
      <c r="B117" s="53" t="n"/>
      <c r="C117" s="35" t="n"/>
      <c r="D117" s="35" t="n"/>
      <c r="E117" s="34" t="n"/>
      <c r="F117" s="50">
        <f>IF(A117="","",COUNTIF('משימות'!$G$3:$G$122,"*"&amp;A117&amp;"*"))</f>
        <v/>
      </c>
      <c r="G117" s="35" t="n"/>
      <c r="H117" s="50">
        <f>IF(A117="","",SUMIF('היסטוריה'!$B$3:$B$3002,A117,'היסטוריה'!$E$3:$E$3002))</f>
        <v/>
      </c>
      <c r="I117" s="34" t="n"/>
    </row>
    <row r="118">
      <c r="A118" s="48" t="n"/>
      <c r="B118" s="53" t="n"/>
      <c r="C118" s="35" t="n"/>
      <c r="D118" s="35" t="n"/>
      <c r="E118" s="34" t="n"/>
      <c r="F118" s="50">
        <f>IF(A118="","",COUNTIF('משימות'!$G$3:$G$122,"*"&amp;A118&amp;"*"))</f>
        <v/>
      </c>
      <c r="G118" s="35" t="n"/>
      <c r="H118" s="50">
        <f>IF(A118="","",SUMIF('היסטוריה'!$B$3:$B$3002,A118,'היסטוריה'!$E$3:$E$3002))</f>
        <v/>
      </c>
      <c r="I118" s="34" t="n"/>
    </row>
    <row r="119">
      <c r="A119" s="48" t="n"/>
      <c r="B119" s="53" t="n"/>
      <c r="C119" s="35" t="n"/>
      <c r="D119" s="35" t="n"/>
      <c r="E119" s="34" t="n"/>
      <c r="F119" s="50">
        <f>IF(A119="","",COUNTIF('משימות'!$G$3:$G$122,"*"&amp;A119&amp;"*"))</f>
        <v/>
      </c>
      <c r="G119" s="35" t="n"/>
      <c r="H119" s="50">
        <f>IF(A119="","",SUMIF('היסטוריה'!$B$3:$B$3002,A119,'היסטוריה'!$E$3:$E$3002))</f>
        <v/>
      </c>
      <c r="I119" s="34" t="n"/>
    </row>
    <row r="120">
      <c r="A120" s="48" t="n"/>
      <c r="B120" s="53" t="n"/>
      <c r="C120" s="35" t="n"/>
      <c r="D120" s="35" t="n"/>
      <c r="E120" s="34" t="n"/>
      <c r="F120" s="50">
        <f>IF(A120="","",COUNTIF('משימות'!$G$3:$G$122,"*"&amp;A120&amp;"*"))</f>
        <v/>
      </c>
      <c r="G120" s="35" t="n"/>
      <c r="H120" s="50">
        <f>IF(A120="","",SUMIF('היסטוריה'!$B$3:$B$3002,A120,'היסטוריה'!$E$3:$E$3002))</f>
        <v/>
      </c>
      <c r="I120" s="34" t="n"/>
    </row>
    <row r="121">
      <c r="A121" s="48" t="n"/>
      <c r="B121" s="53" t="n"/>
      <c r="C121" s="35" t="n"/>
      <c r="D121" s="35" t="n"/>
      <c r="E121" s="34" t="n"/>
      <c r="F121" s="50">
        <f>IF(A121="","",COUNTIF('משימות'!$G$3:$G$122,"*"&amp;A121&amp;"*"))</f>
        <v/>
      </c>
      <c r="G121" s="35" t="n"/>
      <c r="H121" s="50">
        <f>IF(A121="","",SUMIF('היסטוריה'!$B$3:$B$3002,A121,'היסטוריה'!$E$3:$E$3002))</f>
        <v/>
      </c>
      <c r="I121" s="34" t="n"/>
    </row>
    <row r="122">
      <c r="A122" s="48" t="n"/>
      <c r="B122" s="53" t="n"/>
      <c r="C122" s="35" t="n"/>
      <c r="D122" s="35" t="n"/>
      <c r="E122" s="34" t="n"/>
      <c r="F122" s="50">
        <f>IF(A122="","",COUNTIF('משימות'!$G$3:$G$122,"*"&amp;A122&amp;"*"))</f>
        <v/>
      </c>
      <c r="G122" s="35" t="n"/>
      <c r="H122" s="50">
        <f>IF(A122="","",SUMIF('היסטוריה'!$B$3:$B$3002,A122,'היסטוריה'!$E$3:$E$3002))</f>
        <v/>
      </c>
      <c r="I122" s="34" t="n"/>
    </row>
    <row r="123">
      <c r="A123" s="48" t="n"/>
      <c r="B123" s="53" t="n"/>
      <c r="C123" s="35" t="n"/>
      <c r="D123" s="35" t="n"/>
      <c r="E123" s="34" t="n"/>
      <c r="F123" s="50">
        <f>IF(A123="","",COUNTIF('משימות'!$G$3:$G$122,"*"&amp;A123&amp;"*"))</f>
        <v/>
      </c>
      <c r="G123" s="35" t="n"/>
      <c r="H123" s="50">
        <f>IF(A123="","",SUMIF('היסטוריה'!$B$3:$B$3002,A123,'היסטוריה'!$E$3:$E$3002))</f>
        <v/>
      </c>
      <c r="I123" s="34" t="n"/>
    </row>
    <row r="124">
      <c r="A124" s="48" t="n"/>
      <c r="B124" s="53" t="n"/>
      <c r="C124" s="35" t="n"/>
      <c r="D124" s="35" t="n"/>
      <c r="E124" s="34" t="n"/>
      <c r="F124" s="50">
        <f>IF(A124="","",COUNTIF('משימות'!$G$3:$G$122,"*"&amp;A124&amp;"*"))</f>
        <v/>
      </c>
      <c r="G124" s="35" t="n"/>
      <c r="H124" s="50">
        <f>IF(A124="","",SUMIF('היסטוריה'!$B$3:$B$3002,A124,'היסטוריה'!$E$3:$E$3002))</f>
        <v/>
      </c>
      <c r="I124" s="34" t="n"/>
    </row>
    <row r="125">
      <c r="A125" s="48" t="n"/>
      <c r="B125" s="53" t="n"/>
      <c r="C125" s="35" t="n"/>
      <c r="D125" s="35" t="n"/>
      <c r="E125" s="34" t="n"/>
      <c r="F125" s="50">
        <f>IF(A125="","",COUNTIF('משימות'!$G$3:$G$122,"*"&amp;A125&amp;"*"))</f>
        <v/>
      </c>
      <c r="G125" s="35" t="n"/>
      <c r="H125" s="50">
        <f>IF(A125="","",SUMIF('היסטוריה'!$B$3:$B$3002,A125,'היסטוריה'!$E$3:$E$3002))</f>
        <v/>
      </c>
      <c r="I125" s="34" t="n"/>
    </row>
    <row r="126">
      <c r="A126" s="48" t="n"/>
      <c r="B126" s="53" t="n"/>
      <c r="C126" s="35" t="n"/>
      <c r="D126" s="35" t="n"/>
      <c r="E126" s="34" t="n"/>
      <c r="F126" s="50">
        <f>IF(A126="","",COUNTIF('משימות'!$G$3:$G$122,"*"&amp;A126&amp;"*"))</f>
        <v/>
      </c>
      <c r="G126" s="35" t="n"/>
      <c r="H126" s="50">
        <f>IF(A126="","",SUMIF('היסטוריה'!$B$3:$B$3002,A126,'היסטוריה'!$E$3:$E$3002))</f>
        <v/>
      </c>
      <c r="I126" s="34" t="n"/>
    </row>
    <row r="127">
      <c r="A127" s="48" t="n"/>
      <c r="B127" s="53" t="n"/>
      <c r="C127" s="35" t="n"/>
      <c r="D127" s="35" t="n"/>
      <c r="E127" s="34" t="n"/>
      <c r="F127" s="50">
        <f>IF(A127="","",COUNTIF('משימות'!$G$3:$G$122,"*"&amp;A127&amp;"*"))</f>
        <v/>
      </c>
      <c r="G127" s="35" t="n"/>
      <c r="H127" s="50">
        <f>IF(A127="","",SUMIF('היסטוריה'!$B$3:$B$3002,A127,'היסטוריה'!$E$3:$E$3002))</f>
        <v/>
      </c>
      <c r="I127" s="34" t="n"/>
    </row>
    <row r="128">
      <c r="A128" s="48" t="n"/>
      <c r="B128" s="53" t="n"/>
      <c r="C128" s="35" t="n"/>
      <c r="D128" s="35" t="n"/>
      <c r="E128" s="34" t="n"/>
      <c r="F128" s="50">
        <f>IF(A128="","",COUNTIF('משימות'!$G$3:$G$122,"*"&amp;A128&amp;"*"))</f>
        <v/>
      </c>
      <c r="G128" s="35" t="n"/>
      <c r="H128" s="50">
        <f>IF(A128="","",SUMIF('היסטוריה'!$B$3:$B$3002,A128,'היסטוריה'!$E$3:$E$3002))</f>
        <v/>
      </c>
      <c r="I128" s="34" t="n"/>
    </row>
    <row r="129">
      <c r="A129" s="48" t="n"/>
      <c r="B129" s="53" t="n"/>
      <c r="C129" s="35" t="n"/>
      <c r="D129" s="35" t="n"/>
      <c r="E129" s="34" t="n"/>
      <c r="F129" s="50">
        <f>IF(A129="","",COUNTIF('משימות'!$G$3:$G$122,"*"&amp;A129&amp;"*"))</f>
        <v/>
      </c>
      <c r="G129" s="35" t="n"/>
      <c r="H129" s="50">
        <f>IF(A129="","",SUMIF('היסטוריה'!$B$3:$B$3002,A129,'היסטוריה'!$E$3:$E$3002))</f>
        <v/>
      </c>
      <c r="I129" s="34" t="n"/>
    </row>
    <row r="130">
      <c r="A130" s="48" t="n"/>
      <c r="B130" s="53" t="n"/>
      <c r="C130" s="35" t="n"/>
      <c r="D130" s="35" t="n"/>
      <c r="E130" s="34" t="n"/>
      <c r="F130" s="50">
        <f>IF(A130="","",COUNTIF('משימות'!$G$3:$G$122,"*"&amp;A130&amp;"*"))</f>
        <v/>
      </c>
      <c r="G130" s="35" t="n"/>
      <c r="H130" s="50">
        <f>IF(A130="","",SUMIF('היסטוריה'!$B$3:$B$3002,A130,'היסטוריה'!$E$3:$E$3002))</f>
        <v/>
      </c>
      <c r="I130" s="34" t="n"/>
    </row>
    <row r="131">
      <c r="A131" s="48" t="n"/>
      <c r="B131" s="53" t="n"/>
      <c r="C131" s="35" t="n"/>
      <c r="D131" s="35" t="n"/>
      <c r="E131" s="34" t="n"/>
      <c r="F131" s="50">
        <f>IF(A131="","",COUNTIF('משימות'!$G$3:$G$122,"*"&amp;A131&amp;"*"))</f>
        <v/>
      </c>
      <c r="G131" s="35" t="n"/>
      <c r="H131" s="50">
        <f>IF(A131="","",SUMIF('היסטוריה'!$B$3:$B$3002,A131,'היסטוריה'!$E$3:$E$3002))</f>
        <v/>
      </c>
      <c r="I131" s="34" t="n"/>
    </row>
    <row r="132">
      <c r="A132" s="48" t="n"/>
      <c r="B132" s="53" t="n"/>
      <c r="C132" s="35" t="n"/>
      <c r="D132" s="35" t="n"/>
      <c r="E132" s="34" t="n"/>
      <c r="F132" s="50">
        <f>IF(A132="","",COUNTIF('משימות'!$G$3:$G$122,"*"&amp;A132&amp;"*"))</f>
        <v/>
      </c>
      <c r="G132" s="35" t="n"/>
      <c r="H132" s="50">
        <f>IF(A132="","",SUMIF('היסטוריה'!$B$3:$B$3002,A132,'היסטוריה'!$E$3:$E$3002))</f>
        <v/>
      </c>
      <c r="I132" s="34" t="n"/>
    </row>
    <row r="133"/>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F28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58" t="n">
        <v>46269</v>
      </c>
      <c r="B3" s="59" t="inlineStr">
        <is>
          <t>אוריה תעשה</t>
        </is>
      </c>
      <c r="C3" s="60" t="inlineStr">
        <is>
          <t>הכנות שישי</t>
        </is>
      </c>
      <c r="D3" s="59" t="inlineStr">
        <is>
          <t>ארוחת צהריים שישי</t>
        </is>
      </c>
      <c r="E3" s="60" t="n">
        <v>3</v>
      </c>
    </row>
    <row r="4">
      <c r="A4" s="58" t="n">
        <v>46269</v>
      </c>
      <c r="B4" s="59" t="inlineStr">
        <is>
          <t>ינון לוי</t>
        </is>
      </c>
      <c r="C4" s="60" t="inlineStr">
        <is>
          <t>הכנות שישי</t>
        </is>
      </c>
      <c r="D4" s="59" t="inlineStr">
        <is>
          <t>ארוחת צהריים שישי</t>
        </is>
      </c>
      <c r="E4" s="60" t="n">
        <v>3</v>
      </c>
    </row>
    <row r="5">
      <c r="A5" s="58" t="n">
        <v>46269</v>
      </c>
      <c r="B5" s="59" t="inlineStr">
        <is>
          <t>ליעם גבע</t>
        </is>
      </c>
      <c r="C5" s="60" t="inlineStr">
        <is>
          <t>הכנות שישי</t>
        </is>
      </c>
      <c r="D5" s="59" t="inlineStr">
        <is>
          <t>ארוחת צהריים שישי</t>
        </is>
      </c>
      <c r="E5" s="60" t="n">
        <v>3</v>
      </c>
    </row>
    <row r="6">
      <c r="A6" s="58" t="n">
        <v>46269</v>
      </c>
      <c r="B6" s="59" t="inlineStr">
        <is>
          <t>שי- לי וולגמוט</t>
        </is>
      </c>
      <c r="C6" s="60" t="inlineStr">
        <is>
          <t>הכנות שישי</t>
        </is>
      </c>
      <c r="D6" s="59" t="inlineStr">
        <is>
          <t>ארוחת צהריים שישי</t>
        </is>
      </c>
      <c r="E6" s="60" t="n">
        <v>3</v>
      </c>
    </row>
    <row r="7">
      <c r="A7" s="58" t="n">
        <v>46269</v>
      </c>
      <c r="B7" s="59" t="inlineStr">
        <is>
          <t>אביה וייל</t>
        </is>
      </c>
      <c r="C7" s="60" t="inlineStr">
        <is>
          <t>הכנות שישי</t>
        </is>
      </c>
      <c r="D7" s="59" t="inlineStr">
        <is>
          <t>עוגות · צוות יותם</t>
        </is>
      </c>
      <c r="E7" s="60" t="n">
        <v>3</v>
      </c>
    </row>
    <row r="8">
      <c r="A8" s="58" t="n">
        <v>46269</v>
      </c>
      <c r="B8" s="59" t="inlineStr">
        <is>
          <t>יואב אוחנה</t>
        </is>
      </c>
      <c r="C8" s="60" t="inlineStr">
        <is>
          <t>הכנות שישי</t>
        </is>
      </c>
      <c r="D8" s="59" t="inlineStr">
        <is>
          <t>עוגות · צוות יותם</t>
        </is>
      </c>
      <c r="E8" s="60" t="n">
        <v>3</v>
      </c>
    </row>
    <row r="9">
      <c r="A9" s="58" t="n">
        <v>46269</v>
      </c>
      <c r="B9" s="59" t="inlineStr">
        <is>
          <t>יותם ספיר</t>
        </is>
      </c>
      <c r="C9" s="60" t="inlineStr">
        <is>
          <t>הכנות שישי</t>
        </is>
      </c>
      <c r="D9" s="59" t="inlineStr">
        <is>
          <t>עוגות · צוות יותם</t>
        </is>
      </c>
      <c r="E9" s="60" t="n">
        <v>3</v>
      </c>
    </row>
    <row r="10">
      <c r="A10" s="58" t="n">
        <v>46269</v>
      </c>
      <c r="B10" s="59" t="inlineStr">
        <is>
          <t>כליל בלאוקופף</t>
        </is>
      </c>
      <c r="C10" s="60" t="inlineStr">
        <is>
          <t>הכנות שישי</t>
        </is>
      </c>
      <c r="D10" s="59" t="inlineStr">
        <is>
          <t>עוגות · צוות סהר</t>
        </is>
      </c>
      <c r="E10" s="60" t="n">
        <v>3</v>
      </c>
    </row>
    <row r="11">
      <c r="A11" s="58" t="n">
        <v>46269</v>
      </c>
      <c r="B11" s="59" t="inlineStr">
        <is>
          <t>נוה גריינר</t>
        </is>
      </c>
      <c r="C11" s="60" t="inlineStr">
        <is>
          <t>הכנות שישי</t>
        </is>
      </c>
      <c r="D11" s="59" t="inlineStr">
        <is>
          <t>עוגות · צוות סהר</t>
        </is>
      </c>
      <c r="E11" s="60" t="n">
        <v>3</v>
      </c>
    </row>
    <row r="12">
      <c r="A12" s="58" t="n">
        <v>46269</v>
      </c>
      <c r="B12" s="59" t="inlineStr">
        <is>
          <t>סהר שירון</t>
        </is>
      </c>
      <c r="C12" s="60" t="inlineStr">
        <is>
          <t>הכנות שישי</t>
        </is>
      </c>
      <c r="D12" s="59" t="inlineStr">
        <is>
          <t>עוגות · צוות סהר</t>
        </is>
      </c>
      <c r="E12" s="60" t="n">
        <v>3</v>
      </c>
    </row>
    <row r="13">
      <c r="A13" s="58" t="n">
        <v>46269</v>
      </c>
      <c r="B13" s="59" t="inlineStr">
        <is>
          <t>הילה עזרא</t>
        </is>
      </c>
      <c r="C13" s="60" t="inlineStr">
        <is>
          <t>הכנות שישי</t>
        </is>
      </c>
      <c r="D13" s="59" t="inlineStr">
        <is>
          <t>עוגות · צוות רותם</t>
        </is>
      </c>
      <c r="E13" s="60" t="n">
        <v>3</v>
      </c>
    </row>
    <row r="14">
      <c r="A14" s="58" t="n">
        <v>46269</v>
      </c>
      <c r="B14" s="59" t="inlineStr">
        <is>
          <t>יאר אלפסי</t>
        </is>
      </c>
      <c r="C14" s="60" t="inlineStr">
        <is>
          <t>הכנות שישי</t>
        </is>
      </c>
      <c r="D14" s="59" t="inlineStr">
        <is>
          <t>עוגות · צוות רותם</t>
        </is>
      </c>
      <c r="E14" s="60" t="n">
        <v>3</v>
      </c>
    </row>
    <row r="15">
      <c r="A15" s="58" t="n">
        <v>46269</v>
      </c>
      <c r="B15" s="59" t="inlineStr">
        <is>
          <t>רותם דרור</t>
        </is>
      </c>
      <c r="C15" s="60" t="inlineStr">
        <is>
          <t>הכנות שישי</t>
        </is>
      </c>
      <c r="D15" s="59" t="inlineStr">
        <is>
          <t>עוגות · צוות רותם</t>
        </is>
      </c>
      <c r="E15" s="60" t="n">
        <v>3</v>
      </c>
    </row>
    <row r="16">
      <c r="A16" s="58" t="n">
        <v>46269</v>
      </c>
      <c r="B16" s="59" t="inlineStr">
        <is>
          <t>רוני פרנקל</t>
        </is>
      </c>
      <c r="C16" s="60" t="inlineStr">
        <is>
          <t>הכנות שישי</t>
        </is>
      </c>
      <c r="D16" s="59" t="inlineStr">
        <is>
          <t>עוגות · צוות שילת</t>
        </is>
      </c>
      <c r="E16" s="60" t="n">
        <v>3</v>
      </c>
    </row>
    <row r="17">
      <c r="A17" s="58" t="n">
        <v>46269</v>
      </c>
      <c r="B17" s="59" t="inlineStr">
        <is>
          <t>שילת פילפל</t>
        </is>
      </c>
      <c r="C17" s="60" t="inlineStr">
        <is>
          <t>הכנות שישי</t>
        </is>
      </c>
      <c r="D17" s="59" t="inlineStr">
        <is>
          <t>עוגות · צוות שילת</t>
        </is>
      </c>
      <c r="E17" s="60" t="n">
        <v>3</v>
      </c>
    </row>
    <row r="18">
      <c r="A18" s="58" t="n">
        <v>46269</v>
      </c>
      <c r="B18" s="59" t="inlineStr">
        <is>
          <t>אריאלה מרכוס</t>
        </is>
      </c>
      <c r="C18" s="60" t="inlineStr">
        <is>
          <t>תורנות שבת</t>
        </is>
      </c>
      <c r="D18" s="59" t="inlineStr">
        <is>
          <t>בית מדרש · ארוחת ערב וטיש</t>
        </is>
      </c>
      <c r="E18" s="60" t="n">
        <v>2</v>
      </c>
    </row>
    <row r="19">
      <c r="A19" s="58" t="n">
        <v>46269</v>
      </c>
      <c r="B19" s="59" t="inlineStr">
        <is>
          <t>דנה שם טוב</t>
        </is>
      </c>
      <c r="C19" s="60" t="inlineStr">
        <is>
          <t>תורנות שבת</t>
        </is>
      </c>
      <c r="D19" s="59" t="inlineStr">
        <is>
          <t>בית מדרש · ארוחת ערב וטיש</t>
        </is>
      </c>
      <c r="E19" s="60" t="n">
        <v>2</v>
      </c>
    </row>
    <row r="20">
      <c r="A20" s="58" t="n">
        <v>46269</v>
      </c>
      <c r="B20" s="59" t="inlineStr">
        <is>
          <t>יערה ריס</t>
        </is>
      </c>
      <c r="C20" s="60" t="inlineStr">
        <is>
          <t>תורנות שבת</t>
        </is>
      </c>
      <c r="D20" s="59" t="inlineStr">
        <is>
          <t>בית מדרש · ארוחת ערב וטיש</t>
        </is>
      </c>
      <c r="E20" s="60" t="n">
        <v>2</v>
      </c>
    </row>
    <row r="21">
      <c r="A21" s="58" t="n">
        <v>46269</v>
      </c>
      <c r="B21" s="59" t="inlineStr">
        <is>
          <t>מאיה פקטר</t>
        </is>
      </c>
      <c r="C21" s="60" t="inlineStr">
        <is>
          <t>תורנות שבת</t>
        </is>
      </c>
      <c r="D21" s="59" t="inlineStr">
        <is>
          <t>בית מדרש · ארוחת ערב וטיש</t>
        </is>
      </c>
      <c r="E21" s="60" t="n">
        <v>2</v>
      </c>
    </row>
    <row r="22">
      <c r="A22" s="58" t="n">
        <v>46269</v>
      </c>
      <c r="B22" s="59" t="inlineStr">
        <is>
          <t>נדב טוקר</t>
        </is>
      </c>
      <c r="C22" s="60" t="inlineStr">
        <is>
          <t>תורנות שבת</t>
        </is>
      </c>
      <c r="D22" s="59" t="inlineStr">
        <is>
          <t>בית מדרש · ארוחת ערב וטיש</t>
        </is>
      </c>
      <c r="E22" s="60" t="n">
        <v>2</v>
      </c>
    </row>
    <row r="23">
      <c r="A23" s="58" t="n">
        <v>46269</v>
      </c>
      <c r="B23" s="59" t="inlineStr">
        <is>
          <t>נועם גלס</t>
        </is>
      </c>
      <c r="C23" s="60" t="inlineStr">
        <is>
          <t>תורנות שבת</t>
        </is>
      </c>
      <c r="D23" s="59" t="inlineStr">
        <is>
          <t>בית מדרש · ארוחת ערב וטיש</t>
        </is>
      </c>
      <c r="E23" s="60" t="n">
        <v>2</v>
      </c>
    </row>
    <row r="24">
      <c r="A24" s="58" t="n">
        <v>46269</v>
      </c>
      <c r="B24" s="59" t="inlineStr">
        <is>
          <t>ניתאי שלום</t>
        </is>
      </c>
      <c r="C24" s="60" t="inlineStr">
        <is>
          <t>תורנות שבת</t>
        </is>
      </c>
      <c r="D24" s="59" t="inlineStr">
        <is>
          <t>בית מדרש · ארוחת ערב וטיש</t>
        </is>
      </c>
      <c r="E24" s="60" t="n">
        <v>2</v>
      </c>
    </row>
    <row r="25">
      <c r="A25" s="58" t="n">
        <v>46269</v>
      </c>
      <c r="B25" s="59" t="inlineStr">
        <is>
          <t>עליזה בלום</t>
        </is>
      </c>
      <c r="C25" s="60" t="inlineStr">
        <is>
          <t>תורנות שבת</t>
        </is>
      </c>
      <c r="D25" s="59" t="inlineStr">
        <is>
          <t>בית מדרש · ארוחת ערב וטיש</t>
        </is>
      </c>
      <c r="E25" s="60" t="n">
        <v>2</v>
      </c>
    </row>
    <row r="26">
      <c r="A26" s="58" t="n">
        <v>46269</v>
      </c>
      <c r="B26" s="59" t="inlineStr">
        <is>
          <t>עמית סיילס</t>
        </is>
      </c>
      <c r="C26" s="60" t="inlineStr">
        <is>
          <t>תורנות שבת</t>
        </is>
      </c>
      <c r="D26" s="59" t="inlineStr">
        <is>
          <t>בית מדרש · ארוחת ערב וטיש</t>
        </is>
      </c>
      <c r="E26" s="60" t="n">
        <v>2</v>
      </c>
    </row>
    <row r="27">
      <c r="A27" s="58" t="n">
        <v>46269</v>
      </c>
      <c r="B27" s="59" t="inlineStr">
        <is>
          <t>שחר קרן</t>
        </is>
      </c>
      <c r="C27" s="60" t="inlineStr">
        <is>
          <t>תורנות שבת</t>
        </is>
      </c>
      <c r="D27" s="59" t="inlineStr">
        <is>
          <t>בית מדרש · ארוחת ערב וטיש</t>
        </is>
      </c>
      <c r="E27" s="60" t="n">
        <v>2</v>
      </c>
    </row>
    <row r="28">
      <c r="A28" s="58" t="n">
        <v>46269</v>
      </c>
      <c r="B28" s="59" t="inlineStr">
        <is>
          <t>אלון דיין</t>
        </is>
      </c>
      <c r="C28" s="60" t="inlineStr">
        <is>
          <t>תורנות שבת</t>
        </is>
      </c>
      <c r="D28" s="59" t="inlineStr">
        <is>
          <t>בית מדרש · צהריים בשבת</t>
        </is>
      </c>
      <c r="E28" s="60" t="n">
        <v>2</v>
      </c>
    </row>
    <row r="29">
      <c r="A29" s="58" t="n">
        <v>46269</v>
      </c>
      <c r="B29" s="59" t="inlineStr">
        <is>
          <t>יעל קהת</t>
        </is>
      </c>
      <c r="C29" s="60" t="inlineStr">
        <is>
          <t>תורנות שבת</t>
        </is>
      </c>
      <c r="D29" s="59" t="inlineStr">
        <is>
          <t>בית מדרש · צהריים בשבת</t>
        </is>
      </c>
      <c r="E29" s="60" t="n">
        <v>2</v>
      </c>
    </row>
    <row r="30">
      <c r="A30" s="58" t="n">
        <v>46269</v>
      </c>
      <c r="B30" s="59" t="inlineStr">
        <is>
          <t>נגה שוהם</t>
        </is>
      </c>
      <c r="C30" s="60" t="inlineStr">
        <is>
          <t>תורנות שבת</t>
        </is>
      </c>
      <c r="D30" s="59" t="inlineStr">
        <is>
          <t>בית מדרש · צהריים בשבת</t>
        </is>
      </c>
      <c r="E30" s="60" t="n">
        <v>2</v>
      </c>
    </row>
    <row r="31">
      <c r="A31" s="58" t="n">
        <v>46269</v>
      </c>
      <c r="B31" s="59" t="inlineStr">
        <is>
          <t>עפרי גזיאל</t>
        </is>
      </c>
      <c r="C31" s="60" t="inlineStr">
        <is>
          <t>תורנות שבת</t>
        </is>
      </c>
      <c r="D31" s="59" t="inlineStr">
        <is>
          <t>בית מדרש · צהריים בשבת</t>
        </is>
      </c>
      <c r="E31" s="60" t="n">
        <v>2</v>
      </c>
    </row>
    <row r="32">
      <c r="A32" s="58" t="n">
        <v>46269</v>
      </c>
      <c r="B32" s="59" t="inlineStr">
        <is>
          <t>קובי סמייסון</t>
        </is>
      </c>
      <c r="C32" s="60" t="inlineStr">
        <is>
          <t>תורנות שבת</t>
        </is>
      </c>
      <c r="D32" s="59" t="inlineStr">
        <is>
          <t>בית מדרש · צהריים בשבת</t>
        </is>
      </c>
      <c r="E32" s="60" t="n">
        <v>2</v>
      </c>
    </row>
    <row r="33">
      <c r="A33" s="58" t="n">
        <v>46269</v>
      </c>
      <c r="B33" s="59" t="inlineStr">
        <is>
          <t>אחיה נחמני</t>
        </is>
      </c>
      <c r="C33" s="60" t="inlineStr">
        <is>
          <t>תורנות שבת</t>
        </is>
      </c>
      <c r="D33" s="59" t="inlineStr">
        <is>
          <t>בית מדרש · קידוש</t>
        </is>
      </c>
      <c r="E33" s="60" t="n">
        <v>1</v>
      </c>
    </row>
    <row r="34">
      <c r="A34" s="58" t="n">
        <v>46269</v>
      </c>
      <c r="B34" s="59" t="inlineStr">
        <is>
          <t>יעל ברחד</t>
        </is>
      </c>
      <c r="C34" s="60" t="inlineStr">
        <is>
          <t>תורנות שבת</t>
        </is>
      </c>
      <c r="D34" s="59" t="inlineStr">
        <is>
          <t>בית מדרש · קידוש</t>
        </is>
      </c>
      <c r="E34" s="60" t="n">
        <v>1</v>
      </c>
    </row>
    <row r="35">
      <c r="A35" s="58" t="n">
        <v>46269</v>
      </c>
      <c r="B35" s="59" t="inlineStr">
        <is>
          <t>ליאור שימרלינג</t>
        </is>
      </c>
      <c r="C35" s="60" t="inlineStr">
        <is>
          <t>תורנות שבת</t>
        </is>
      </c>
      <c r="D35" s="59" t="inlineStr">
        <is>
          <t>בית מדרש · קידוש</t>
        </is>
      </c>
      <c r="E35" s="60" t="n">
        <v>1</v>
      </c>
    </row>
    <row r="36">
      <c r="A36" s="58" t="n">
        <v>46269</v>
      </c>
      <c r="B36" s="59" t="inlineStr">
        <is>
          <t>מעיין יוספי</t>
        </is>
      </c>
      <c r="C36" s="60" t="inlineStr">
        <is>
          <t>תורנות שבת</t>
        </is>
      </c>
      <c r="D36" s="59" t="inlineStr">
        <is>
          <t>בית מדרש · קידוש</t>
        </is>
      </c>
      <c r="E36" s="60" t="n">
        <v>1</v>
      </c>
    </row>
    <row r="37">
      <c r="A37" s="58" t="n">
        <v>46269</v>
      </c>
      <c r="B37" s="59" t="inlineStr">
        <is>
          <t>נעמי פונקלשטיין</t>
        </is>
      </c>
      <c r="C37" s="60" t="inlineStr">
        <is>
          <t>תורנות שבת</t>
        </is>
      </c>
      <c r="D37" s="59" t="inlineStr">
        <is>
          <t>בית מדרש · קידוש</t>
        </is>
      </c>
      <c r="E37" s="60" t="n">
        <v>1</v>
      </c>
    </row>
    <row r="38">
      <c r="A38" s="58" t="n">
        <v>46283</v>
      </c>
      <c r="B38" s="59" t="inlineStr">
        <is>
          <t>איתי גוסטינר</t>
        </is>
      </c>
      <c r="C38" s="60" t="inlineStr">
        <is>
          <t>הכנות שישי</t>
        </is>
      </c>
      <c r="D38" s="59" t="inlineStr">
        <is>
          <t>ארוחת צהריים שישי</t>
        </is>
      </c>
      <c r="E38" s="60" t="n">
        <v>3</v>
      </c>
    </row>
    <row r="39">
      <c r="A39" s="58" t="n">
        <v>46283</v>
      </c>
      <c r="B39" s="59" t="inlineStr">
        <is>
          <t>נבו בלוך</t>
        </is>
      </c>
      <c r="C39" s="60" t="inlineStr">
        <is>
          <t>הכנות שישי</t>
        </is>
      </c>
      <c r="D39" s="59" t="inlineStr">
        <is>
          <t>ארוחת צהריים שישי</t>
        </is>
      </c>
      <c r="E39" s="60" t="n">
        <v>3</v>
      </c>
    </row>
    <row r="40">
      <c r="A40" s="58" t="n">
        <v>46283</v>
      </c>
      <c r="B40" s="59" t="inlineStr">
        <is>
          <t>ניצן שטיין</t>
        </is>
      </c>
      <c r="C40" s="60" t="inlineStr">
        <is>
          <t>הכנות שישי</t>
        </is>
      </c>
      <c r="D40" s="59" t="inlineStr">
        <is>
          <t>בראוניז ללא גלוטן</t>
        </is>
      </c>
      <c r="E40" s="60" t="n">
        <v>3</v>
      </c>
    </row>
    <row r="41">
      <c r="A41" s="58" t="n">
        <v>46283</v>
      </c>
      <c r="B41" s="59" t="inlineStr">
        <is>
          <t>שי- לי וולגמוט</t>
        </is>
      </c>
      <c r="C41" s="60" t="inlineStr">
        <is>
          <t>הכנות שישי</t>
        </is>
      </c>
      <c r="D41" s="59" t="inlineStr">
        <is>
          <t>בראוניז ללא גלוטן</t>
        </is>
      </c>
      <c r="E41" s="60" t="n">
        <v>3</v>
      </c>
    </row>
    <row r="42">
      <c r="A42" s="58" t="n">
        <v>46283</v>
      </c>
      <c r="B42" s="59" t="inlineStr">
        <is>
          <t>איתמר אסנהיים</t>
        </is>
      </c>
      <c r="C42" s="60" t="inlineStr">
        <is>
          <t>הכנות שישי</t>
        </is>
      </c>
      <c r="D42" s="59" t="inlineStr">
        <is>
          <t>חלות</t>
        </is>
      </c>
      <c r="E42" s="60" t="n">
        <v>3</v>
      </c>
    </row>
    <row r="43">
      <c r="A43" s="58" t="n">
        <v>46283</v>
      </c>
      <c r="B43" s="59" t="inlineStr">
        <is>
          <t>אנה עזריאל</t>
        </is>
      </c>
      <c r="C43" s="60" t="inlineStr">
        <is>
          <t>הכנות שישי</t>
        </is>
      </c>
      <c r="D43" s="59" t="inlineStr">
        <is>
          <t>חלות</t>
        </is>
      </c>
      <c r="E43" s="60" t="n">
        <v>3</v>
      </c>
    </row>
    <row r="44">
      <c r="A44" s="58" t="n">
        <v>46283</v>
      </c>
      <c r="B44" s="59" t="inlineStr">
        <is>
          <t>ארבל פרנקו</t>
        </is>
      </c>
      <c r="C44" s="60" t="inlineStr">
        <is>
          <t>הכנות שישי</t>
        </is>
      </c>
      <c r="D44" s="59" t="inlineStr">
        <is>
          <t>חלות</t>
        </is>
      </c>
      <c r="E44" s="60" t="n">
        <v>3</v>
      </c>
    </row>
    <row r="45">
      <c r="A45" s="58" t="n">
        <v>46283</v>
      </c>
      <c r="B45" s="59" t="inlineStr">
        <is>
          <t>טליה קור</t>
        </is>
      </c>
      <c r="C45" s="60" t="inlineStr">
        <is>
          <t>הכנות שישי</t>
        </is>
      </c>
      <c r="D45" s="59" t="inlineStr">
        <is>
          <t>חלות</t>
        </is>
      </c>
      <c r="E45" s="60" t="n">
        <v>3</v>
      </c>
    </row>
    <row r="46">
      <c r="A46" s="58" t="n">
        <v>46283</v>
      </c>
      <c r="B46" s="59" t="inlineStr">
        <is>
          <t>רועי צבי סרי</t>
        </is>
      </c>
      <c r="C46" s="60" t="inlineStr">
        <is>
          <t>הכנות שישי</t>
        </is>
      </c>
      <c r="D46" s="59" t="inlineStr">
        <is>
          <t>חלות</t>
        </is>
      </c>
      <c r="E46" s="60" t="n">
        <v>3</v>
      </c>
    </row>
    <row r="47">
      <c r="A47" s="58" t="n">
        <v>46283</v>
      </c>
      <c r="B47" s="59" t="inlineStr">
        <is>
          <t>יעל קהת</t>
        </is>
      </c>
      <c r="C47" s="60" t="inlineStr">
        <is>
          <t>הכנות שישי</t>
        </is>
      </c>
      <c r="D47" s="59" t="inlineStr">
        <is>
          <t>מטבוחה</t>
        </is>
      </c>
      <c r="E47" s="60" t="n">
        <v>3</v>
      </c>
    </row>
    <row r="48">
      <c r="A48" s="58" t="n">
        <v>46283</v>
      </c>
      <c r="B48" s="59" t="inlineStr">
        <is>
          <t>נגה חוה כהן</t>
        </is>
      </c>
      <c r="C48" s="60" t="inlineStr">
        <is>
          <t>הכנות שישי</t>
        </is>
      </c>
      <c r="D48" s="59" t="inlineStr">
        <is>
          <t>מטבוחה</t>
        </is>
      </c>
      <c r="E48" s="60" t="n">
        <v>3</v>
      </c>
    </row>
    <row r="49">
      <c r="A49" s="58" t="n">
        <v>46283</v>
      </c>
      <c r="B49" s="59" t="inlineStr">
        <is>
          <t>שליו שישו</t>
        </is>
      </c>
      <c r="C49" s="60" t="inlineStr">
        <is>
          <t>הכנות שישי</t>
        </is>
      </c>
      <c r="D49" s="59" t="inlineStr">
        <is>
          <t>מטבוחה</t>
        </is>
      </c>
      <c r="E49" s="60" t="n">
        <v>3</v>
      </c>
    </row>
    <row r="50">
      <c r="A50" s="58" t="n">
        <v>46283</v>
      </c>
      <c r="B50" s="59" t="inlineStr">
        <is>
          <t>של״ו רובינשטיין</t>
        </is>
      </c>
      <c r="C50" s="60" t="inlineStr">
        <is>
          <t>הכנות שישי</t>
        </is>
      </c>
      <c r="D50" s="59" t="inlineStr">
        <is>
          <t>מטבוחה</t>
        </is>
      </c>
      <c r="E50" s="60" t="n">
        <v>3</v>
      </c>
    </row>
    <row r="51">
      <c r="A51" s="58" t="n">
        <v>46283</v>
      </c>
      <c r="B51" s="59" t="inlineStr">
        <is>
          <t>יובל יצחק</t>
        </is>
      </c>
      <c r="C51" s="60" t="inlineStr">
        <is>
          <t>הכנות שישי</t>
        </is>
      </c>
      <c r="D51" s="59" t="inlineStr">
        <is>
          <t>סלט חצילים</t>
        </is>
      </c>
      <c r="E51" s="60" t="n">
        <v>3</v>
      </c>
    </row>
    <row r="52">
      <c r="A52" s="58" t="n">
        <v>46283</v>
      </c>
      <c r="B52" s="59" t="inlineStr">
        <is>
          <t>שחר מרקוביץ' גליק</t>
        </is>
      </c>
      <c r="C52" s="60" t="inlineStr">
        <is>
          <t>הכנות שישי</t>
        </is>
      </c>
      <c r="D52" s="59" t="inlineStr">
        <is>
          <t>סלט חצילים</t>
        </is>
      </c>
      <c r="E52" s="60" t="n">
        <v>3</v>
      </c>
    </row>
    <row r="53">
      <c r="A53" s="58" t="n">
        <v>46283</v>
      </c>
      <c r="B53" s="59" t="inlineStr">
        <is>
          <t>איתן כהן</t>
        </is>
      </c>
      <c r="C53" s="60" t="inlineStr">
        <is>
          <t>הכנות שישי</t>
        </is>
      </c>
      <c r="D53" s="59" t="inlineStr">
        <is>
          <t>עוגות שמרים</t>
        </is>
      </c>
      <c r="E53" s="60" t="n">
        <v>3</v>
      </c>
    </row>
    <row r="54">
      <c r="A54" s="58" t="n">
        <v>46283</v>
      </c>
      <c r="B54" s="59" t="inlineStr">
        <is>
          <t>הילה עזרא</t>
        </is>
      </c>
      <c r="C54" s="60" t="inlineStr">
        <is>
          <t>הכנות שישי</t>
        </is>
      </c>
      <c r="D54" s="59" t="inlineStr">
        <is>
          <t>עוגות שמרים</t>
        </is>
      </c>
      <c r="E54" s="60" t="n">
        <v>3</v>
      </c>
    </row>
    <row r="55">
      <c r="A55" s="58" t="n">
        <v>46283</v>
      </c>
      <c r="B55" s="59" t="inlineStr">
        <is>
          <t>חיים שמאי</t>
        </is>
      </c>
      <c r="C55" s="60" t="inlineStr">
        <is>
          <t>הכנות שישי</t>
        </is>
      </c>
      <c r="D55" s="59" t="inlineStr">
        <is>
          <t>עוגות שמרים</t>
        </is>
      </c>
      <c r="E55" s="60" t="n">
        <v>3</v>
      </c>
    </row>
    <row r="56">
      <c r="A56" s="58" t="n">
        <v>46283</v>
      </c>
      <c r="B56" s="59" t="inlineStr">
        <is>
          <t>ירדן בן שחר</t>
        </is>
      </c>
      <c r="C56" s="60" t="inlineStr">
        <is>
          <t>הכנות שישי</t>
        </is>
      </c>
      <c r="D56" s="59" t="inlineStr">
        <is>
          <t>עוגות שמרים</t>
        </is>
      </c>
      <c r="E56" s="60" t="n">
        <v>3</v>
      </c>
    </row>
    <row r="57">
      <c r="A57" s="58" t="n">
        <v>46283</v>
      </c>
      <c r="B57" s="59" t="inlineStr">
        <is>
          <t>הילי אלפסי</t>
        </is>
      </c>
      <c r="C57" s="60" t="inlineStr">
        <is>
          <t>הכנות שישי</t>
        </is>
      </c>
      <c r="D57" s="59" t="inlineStr">
        <is>
          <t>עוגיות שוקולד צ'יפס</t>
        </is>
      </c>
      <c r="E57" s="60" t="n">
        <v>3</v>
      </c>
    </row>
    <row r="58">
      <c r="A58" s="58" t="n">
        <v>46283</v>
      </c>
      <c r="B58" s="59" t="inlineStr">
        <is>
          <t>יהב לוי</t>
        </is>
      </c>
      <c r="C58" s="60" t="inlineStr">
        <is>
          <t>הכנות שישי</t>
        </is>
      </c>
      <c r="D58" s="59" t="inlineStr">
        <is>
          <t>עוגיות שוקולד צ'יפס</t>
        </is>
      </c>
      <c r="E58" s="60" t="n">
        <v>3</v>
      </c>
    </row>
    <row r="59">
      <c r="A59" s="58" t="n">
        <v>46283</v>
      </c>
      <c r="B59" s="59" t="inlineStr">
        <is>
          <t>הילה לביא</t>
        </is>
      </c>
      <c r="C59" s="60" t="inlineStr">
        <is>
          <t>הכנות שישי</t>
        </is>
      </c>
      <c r="D59" s="59" t="inlineStr">
        <is>
          <t>עוגת דבש</t>
        </is>
      </c>
      <c r="E59" s="60" t="n">
        <v>3</v>
      </c>
    </row>
    <row r="60">
      <c r="A60" s="58" t="n">
        <v>46283</v>
      </c>
      <c r="B60" s="59" t="inlineStr">
        <is>
          <t>משה אוברשטיין</t>
        </is>
      </c>
      <c r="C60" s="60" t="inlineStr">
        <is>
          <t>הכנות שישי</t>
        </is>
      </c>
      <c r="D60" s="59" t="inlineStr">
        <is>
          <t>עוגת דבש</t>
        </is>
      </c>
      <c r="E60" s="60" t="n">
        <v>3</v>
      </c>
    </row>
    <row r="61">
      <c r="A61" s="58" t="n">
        <v>46283</v>
      </c>
      <c r="B61" s="59" t="inlineStr">
        <is>
          <t>אורי אסף</t>
        </is>
      </c>
      <c r="C61" s="60" t="inlineStr">
        <is>
          <t>תורנות שבת</t>
        </is>
      </c>
      <c r="D61" s="59" t="inlineStr">
        <is>
          <t>ארוחת ערב</t>
        </is>
      </c>
      <c r="E61" s="60" t="n">
        <v>2</v>
      </c>
    </row>
    <row r="62">
      <c r="A62" s="58" t="n">
        <v>46283</v>
      </c>
      <c r="B62" s="59" t="inlineStr">
        <is>
          <t>איתן וינסטון</t>
        </is>
      </c>
      <c r="C62" s="60" t="inlineStr">
        <is>
          <t>תורנות שבת</t>
        </is>
      </c>
      <c r="D62" s="59" t="inlineStr">
        <is>
          <t>ארוחת ערב</t>
        </is>
      </c>
      <c r="E62" s="60" t="n">
        <v>2</v>
      </c>
    </row>
    <row r="63">
      <c r="A63" s="58" t="n">
        <v>46283</v>
      </c>
      <c r="B63" s="59" t="inlineStr">
        <is>
          <t>אלה גוטליב</t>
        </is>
      </c>
      <c r="C63" s="60" t="inlineStr">
        <is>
          <t>תורנות שבת</t>
        </is>
      </c>
      <c r="D63" s="59" t="inlineStr">
        <is>
          <t>ארוחת ערב</t>
        </is>
      </c>
      <c r="E63" s="60" t="n">
        <v>2</v>
      </c>
    </row>
    <row r="64">
      <c r="A64" s="58" t="n">
        <v>46283</v>
      </c>
      <c r="B64" s="59" t="inlineStr">
        <is>
          <t>זואי כהן</t>
        </is>
      </c>
      <c r="C64" s="60" t="inlineStr">
        <is>
          <t>תורנות שבת</t>
        </is>
      </c>
      <c r="D64" s="59" t="inlineStr">
        <is>
          <t>ארוחת ערב</t>
        </is>
      </c>
      <c r="E64" s="60" t="n">
        <v>2</v>
      </c>
    </row>
    <row r="65">
      <c r="A65" s="58" t="n">
        <v>46283</v>
      </c>
      <c r="B65" s="59" t="inlineStr">
        <is>
          <t>חיים שמאי</t>
        </is>
      </c>
      <c r="C65" s="60" t="inlineStr">
        <is>
          <t>תורנות שבת</t>
        </is>
      </c>
      <c r="D65" s="59" t="inlineStr">
        <is>
          <t>ארוחת ערב</t>
        </is>
      </c>
      <c r="E65" s="60" t="n">
        <v>2</v>
      </c>
    </row>
    <row r="66">
      <c r="A66" s="58" t="n">
        <v>46283</v>
      </c>
      <c r="B66" s="59" t="inlineStr">
        <is>
          <t>יונתן לירז</t>
        </is>
      </c>
      <c r="C66" s="60" t="inlineStr">
        <is>
          <t>תורנות שבת</t>
        </is>
      </c>
      <c r="D66" s="59" t="inlineStr">
        <is>
          <t>ארוחת ערב</t>
        </is>
      </c>
      <c r="E66" s="60" t="n">
        <v>2</v>
      </c>
    </row>
    <row r="67">
      <c r="A67" s="58" t="n">
        <v>46283</v>
      </c>
      <c r="B67" s="59" t="inlineStr">
        <is>
          <t>עמית שי אברהם</t>
        </is>
      </c>
      <c r="C67" s="60" t="inlineStr">
        <is>
          <t>תורנות שבת</t>
        </is>
      </c>
      <c r="D67" s="59" t="inlineStr">
        <is>
          <t>ארוחת ערב</t>
        </is>
      </c>
      <c r="E67" s="60" t="n">
        <v>2</v>
      </c>
    </row>
    <row r="68">
      <c r="A68" s="58" t="n">
        <v>46283</v>
      </c>
      <c r="B68" s="59" t="inlineStr">
        <is>
          <t>שירה ספונוב</t>
        </is>
      </c>
      <c r="C68" s="60" t="inlineStr">
        <is>
          <t>תורנות שבת</t>
        </is>
      </c>
      <c r="D68" s="59" t="inlineStr">
        <is>
          <t>ארוחת ערב</t>
        </is>
      </c>
      <c r="E68" s="60" t="n">
        <v>2</v>
      </c>
    </row>
    <row r="69">
      <c r="A69" s="58" t="n">
        <v>46283</v>
      </c>
      <c r="B69" s="59" t="inlineStr">
        <is>
          <t>איתמר אסנהיים</t>
        </is>
      </c>
      <c r="C69" s="60" t="inlineStr">
        <is>
          <t>תורנות שבת</t>
        </is>
      </c>
      <c r="D69" s="59" t="inlineStr">
        <is>
          <t>ארוחת צהריים שבת</t>
        </is>
      </c>
      <c r="E69" s="60" t="n">
        <v>2</v>
      </c>
    </row>
    <row r="70">
      <c r="A70" s="58" t="n">
        <v>46283</v>
      </c>
      <c r="B70" s="59" t="inlineStr">
        <is>
          <t>נגה שוהם</t>
        </is>
      </c>
      <c r="C70" s="60" t="inlineStr">
        <is>
          <t>תורנות שבת</t>
        </is>
      </c>
      <c r="D70" s="59" t="inlineStr">
        <is>
          <t>ארוחת צהריים שבת</t>
        </is>
      </c>
      <c r="E70" s="60" t="n">
        <v>2</v>
      </c>
    </row>
    <row r="71">
      <c r="A71" s="58" t="n">
        <v>46283</v>
      </c>
      <c r="B71" s="59" t="inlineStr">
        <is>
          <t>נדב טוקר</t>
        </is>
      </c>
      <c r="C71" s="60" t="inlineStr">
        <is>
          <t>תורנות שבת</t>
        </is>
      </c>
      <c r="D71" s="59" t="inlineStr">
        <is>
          <t>ארוחת צהריים שבת</t>
        </is>
      </c>
      <c r="E71" s="60" t="n">
        <v>2</v>
      </c>
    </row>
    <row r="72">
      <c r="A72" s="58" t="n">
        <v>46283</v>
      </c>
      <c r="B72" s="59" t="inlineStr">
        <is>
          <t>נעמי פונקלשטיין</t>
        </is>
      </c>
      <c r="C72" s="60" t="inlineStr">
        <is>
          <t>תורנות שבת</t>
        </is>
      </c>
      <c r="D72" s="59" t="inlineStr">
        <is>
          <t>ארוחת צהריים שבת</t>
        </is>
      </c>
      <c r="E72" s="60" t="n">
        <v>2</v>
      </c>
    </row>
    <row r="73">
      <c r="A73" s="58" t="n">
        <v>46283</v>
      </c>
      <c r="B73" s="59" t="inlineStr">
        <is>
          <t>עפרי גזיאל</t>
        </is>
      </c>
      <c r="C73" s="60" t="inlineStr">
        <is>
          <t>תורנות שבת</t>
        </is>
      </c>
      <c r="D73" s="59" t="inlineStr">
        <is>
          <t>ארוחת צהריים שבת</t>
        </is>
      </c>
      <c r="E73" s="60" t="n">
        <v>2</v>
      </c>
    </row>
    <row r="74">
      <c r="A74" s="58" t="n">
        <v>46283</v>
      </c>
      <c r="B74" s="59" t="inlineStr">
        <is>
          <t>אחיה נחמני</t>
        </is>
      </c>
      <c r="C74" s="60" t="inlineStr">
        <is>
          <t>תורנות שבת</t>
        </is>
      </c>
      <c r="D74" s="59" t="inlineStr">
        <is>
          <t>טיש</t>
        </is>
      </c>
      <c r="E74" s="60" t="n">
        <v>1</v>
      </c>
    </row>
    <row r="75">
      <c r="A75" s="58" t="n">
        <v>46283</v>
      </c>
      <c r="B75" s="59" t="inlineStr">
        <is>
          <t>הדר עמדי</t>
        </is>
      </c>
      <c r="C75" s="60" t="inlineStr">
        <is>
          <t>תורנות שבת</t>
        </is>
      </c>
      <c r="D75" s="59" t="inlineStr">
        <is>
          <t>טיש</t>
        </is>
      </c>
      <c r="E75" s="60" t="n">
        <v>1</v>
      </c>
    </row>
    <row r="76">
      <c r="A76" s="58" t="n">
        <v>46283</v>
      </c>
      <c r="B76" s="59" t="inlineStr">
        <is>
          <t>מעיין יוספי</t>
        </is>
      </c>
      <c r="C76" s="60" t="inlineStr">
        <is>
          <t>תורנות שבת</t>
        </is>
      </c>
      <c r="D76" s="59" t="inlineStr">
        <is>
          <t>טיש</t>
        </is>
      </c>
      <c r="E76" s="60" t="n">
        <v>1</v>
      </c>
    </row>
    <row r="77">
      <c r="A77" s="58" t="n">
        <v>46283</v>
      </c>
      <c r="B77" s="59" t="inlineStr">
        <is>
          <t>מעיין רחל דינר</t>
        </is>
      </c>
      <c r="C77" s="60" t="inlineStr">
        <is>
          <t>תורנות שבת</t>
        </is>
      </c>
      <c r="D77" s="59" t="inlineStr">
        <is>
          <t>טיש</t>
        </is>
      </c>
      <c r="E77" s="60" t="n">
        <v>1</v>
      </c>
    </row>
    <row r="78">
      <c r="A78" s="58" t="n">
        <v>46283</v>
      </c>
      <c r="B78" s="59" t="inlineStr">
        <is>
          <t>רוני כהן</t>
        </is>
      </c>
      <c r="C78" s="60" t="inlineStr">
        <is>
          <t>תורנות שבת</t>
        </is>
      </c>
      <c r="D78" s="59" t="inlineStr">
        <is>
          <t>טיש</t>
        </is>
      </c>
      <c r="E78" s="60" t="n">
        <v>1</v>
      </c>
    </row>
    <row r="79">
      <c r="A79" s="58" t="n">
        <v>46283</v>
      </c>
      <c r="B79" s="59" t="inlineStr">
        <is>
          <t>אריאלה מרכוס</t>
        </is>
      </c>
      <c r="C79" s="60" t="inlineStr">
        <is>
          <t>תורנות שבת</t>
        </is>
      </c>
      <c r="D79" s="59" t="inlineStr">
        <is>
          <t>קידוש</t>
        </is>
      </c>
      <c r="E79" s="60" t="n">
        <v>1</v>
      </c>
    </row>
    <row r="80">
      <c r="A80" s="58" t="n">
        <v>46283</v>
      </c>
      <c r="B80" s="59" t="inlineStr">
        <is>
          <t>דנה שם טוב</t>
        </is>
      </c>
      <c r="C80" s="60" t="inlineStr">
        <is>
          <t>תורנות שבת</t>
        </is>
      </c>
      <c r="D80" s="59" t="inlineStr">
        <is>
          <t>קידוש</t>
        </is>
      </c>
      <c r="E80" s="60" t="n">
        <v>1</v>
      </c>
    </row>
    <row r="81">
      <c r="A81" s="58" t="n">
        <v>46283</v>
      </c>
      <c r="B81" s="59" t="inlineStr">
        <is>
          <t>יעל ברחד</t>
        </is>
      </c>
      <c r="C81" s="60" t="inlineStr">
        <is>
          <t>תורנות שבת</t>
        </is>
      </c>
      <c r="D81" s="59" t="inlineStr">
        <is>
          <t>קידוש</t>
        </is>
      </c>
      <c r="E81" s="60" t="n">
        <v>1</v>
      </c>
    </row>
    <row r="82">
      <c r="A82" s="58" t="n">
        <v>46283</v>
      </c>
      <c r="B82" s="59" t="inlineStr">
        <is>
          <t>ליאור שימרלינג</t>
        </is>
      </c>
      <c r="C82" s="60" t="inlineStr">
        <is>
          <t>תורנות שבת</t>
        </is>
      </c>
      <c r="D82" s="59" t="inlineStr">
        <is>
          <t>קידוש</t>
        </is>
      </c>
      <c r="E82" s="60" t="n">
        <v>1</v>
      </c>
    </row>
    <row r="83">
      <c r="A83" s="58" t="n">
        <v>46283</v>
      </c>
      <c r="B83" s="59" t="inlineStr">
        <is>
          <t>עמרי קולטון</t>
        </is>
      </c>
      <c r="C83" s="60" t="inlineStr">
        <is>
          <t>תורנות שבת</t>
        </is>
      </c>
      <c r="D83" s="59" t="inlineStr">
        <is>
          <t>קידוש</t>
        </is>
      </c>
      <c r="E83" s="60" t="n">
        <v>1</v>
      </c>
    </row>
    <row r="84">
      <c r="A84" s="58" t="n">
        <v>46283</v>
      </c>
      <c r="B84" s="59" t="inlineStr">
        <is>
          <t>אורי טילינגר</t>
        </is>
      </c>
      <c r="C84" s="60" t="inlineStr">
        <is>
          <t>תורנות שישי</t>
        </is>
      </c>
      <c r="D84" s="59" t="inlineStr">
        <is>
          <t>בית מדרש</t>
        </is>
      </c>
      <c r="E84" s="60" t="n">
        <v>3</v>
      </c>
    </row>
    <row r="85">
      <c r="A85" s="58" t="n">
        <v>46283</v>
      </c>
      <c r="B85" s="59" t="inlineStr">
        <is>
          <t>איתי בן יהודה</t>
        </is>
      </c>
      <c r="C85" s="60" t="inlineStr">
        <is>
          <t>תורנות שישי</t>
        </is>
      </c>
      <c r="D85" s="59" t="inlineStr">
        <is>
          <t>בית מדרש</t>
        </is>
      </c>
      <c r="E85" s="60" t="n">
        <v>3</v>
      </c>
    </row>
    <row r="86">
      <c r="A86" s="58" t="n">
        <v>46283</v>
      </c>
      <c r="B86" s="59" t="inlineStr">
        <is>
          <t>איתי בן מנחם</t>
        </is>
      </c>
      <c r="C86" s="60" t="inlineStr">
        <is>
          <t>תורנות שישי</t>
        </is>
      </c>
      <c r="D86" s="59" t="inlineStr">
        <is>
          <t>בית מדרש</t>
        </is>
      </c>
      <c r="E86" s="60" t="n">
        <v>3</v>
      </c>
    </row>
    <row r="87">
      <c r="A87" s="58" t="n">
        <v>46283</v>
      </c>
      <c r="B87" s="59" t="inlineStr">
        <is>
          <t>איתי רוס</t>
        </is>
      </c>
      <c r="C87" s="60" t="inlineStr">
        <is>
          <t>תורנות שישי</t>
        </is>
      </c>
      <c r="D87" s="59" t="inlineStr">
        <is>
          <t>בית מדרש</t>
        </is>
      </c>
      <c r="E87" s="60" t="n">
        <v>3</v>
      </c>
    </row>
    <row r="88">
      <c r="A88" s="58" t="n">
        <v>46283</v>
      </c>
      <c r="B88" s="59" t="inlineStr">
        <is>
          <t>איתן וינסטון</t>
        </is>
      </c>
      <c r="C88" s="60" t="inlineStr">
        <is>
          <t>תורנות שישי</t>
        </is>
      </c>
      <c r="D88" s="59" t="inlineStr">
        <is>
          <t>בית מדרש</t>
        </is>
      </c>
      <c r="E88" s="60" t="n">
        <v>3</v>
      </c>
    </row>
    <row r="89">
      <c r="A89" s="58" t="n">
        <v>46283</v>
      </c>
      <c r="B89" s="59" t="inlineStr">
        <is>
          <t>אלה מאיר</t>
        </is>
      </c>
      <c r="C89" s="60" t="inlineStr">
        <is>
          <t>תורנות שישי</t>
        </is>
      </c>
      <c r="D89" s="59" t="inlineStr">
        <is>
          <t>בית מדרש</t>
        </is>
      </c>
      <c r="E89" s="60" t="n">
        <v>3</v>
      </c>
    </row>
    <row r="90">
      <c r="A90" s="58" t="n">
        <v>46283</v>
      </c>
      <c r="B90" s="59" t="inlineStr">
        <is>
          <t>נועם ישראל קומפאס</t>
        </is>
      </c>
      <c r="C90" s="60" t="inlineStr">
        <is>
          <t>תורנות שישי</t>
        </is>
      </c>
      <c r="D90" s="59" t="inlineStr">
        <is>
          <t>בית מדרש</t>
        </is>
      </c>
      <c r="E90" s="60" t="n">
        <v>3</v>
      </c>
    </row>
    <row r="91">
      <c r="A91" s="58" t="n">
        <v>46283</v>
      </c>
      <c r="B91" s="59" t="inlineStr">
        <is>
          <t>סהר שירון</t>
        </is>
      </c>
      <c r="C91" s="60" t="inlineStr">
        <is>
          <t>תורנות שישי</t>
        </is>
      </c>
      <c r="D91" s="59" t="inlineStr">
        <is>
          <t>בית מדרש</t>
        </is>
      </c>
      <c r="E91" s="60" t="n">
        <v>3</v>
      </c>
    </row>
    <row r="92">
      <c r="A92" s="58" t="n">
        <v>46283</v>
      </c>
      <c r="B92" s="59" t="inlineStr">
        <is>
          <t>עומר יוסף גנון</t>
        </is>
      </c>
      <c r="C92" s="60" t="inlineStr">
        <is>
          <t>תורנות שישי</t>
        </is>
      </c>
      <c r="D92" s="59" t="inlineStr">
        <is>
          <t>בית מדרש</t>
        </is>
      </c>
      <c r="E92" s="60" t="n">
        <v>3</v>
      </c>
    </row>
    <row r="93">
      <c r="A93" s="58" t="n">
        <v>46283</v>
      </c>
      <c r="B93" s="59" t="inlineStr">
        <is>
          <t>עופר בביוף</t>
        </is>
      </c>
      <c r="C93" s="60" t="inlineStr">
        <is>
          <t>תורנות שישי</t>
        </is>
      </c>
      <c r="D93" s="59" t="inlineStr">
        <is>
          <t>בית מדרש</t>
        </is>
      </c>
      <c r="E93" s="60" t="n">
        <v>3</v>
      </c>
    </row>
    <row r="94">
      <c r="A94" s="58" t="n">
        <v>46283</v>
      </c>
      <c r="B94" s="59" t="inlineStr">
        <is>
          <t>עשהאל ירושלמי</t>
        </is>
      </c>
      <c r="C94" s="60" t="inlineStr">
        <is>
          <t>תורנות שישי</t>
        </is>
      </c>
      <c r="D94" s="59" t="inlineStr">
        <is>
          <t>בית מדרש</t>
        </is>
      </c>
      <c r="E94" s="60" t="n">
        <v>3</v>
      </c>
    </row>
    <row r="95">
      <c r="A95" s="58" t="n">
        <v>46283</v>
      </c>
      <c r="B95" s="59" t="inlineStr">
        <is>
          <t>פרת פולס</t>
        </is>
      </c>
      <c r="C95" s="60" t="inlineStr">
        <is>
          <t>תורנות שישי</t>
        </is>
      </c>
      <c r="D95" s="59" t="inlineStr">
        <is>
          <t>בית מדרש</t>
        </is>
      </c>
      <c r="E95" s="60" t="n">
        <v>3</v>
      </c>
    </row>
    <row r="96">
      <c r="A96" s="58" t="n">
        <v>46283</v>
      </c>
      <c r="B96" s="59" t="inlineStr">
        <is>
          <t>רותם דרור</t>
        </is>
      </c>
      <c r="C96" s="60" t="inlineStr">
        <is>
          <t>תורנות שישי</t>
        </is>
      </c>
      <c r="D96" s="59" t="inlineStr">
        <is>
          <t>בית מדרש</t>
        </is>
      </c>
      <c r="E96" s="60" t="n">
        <v>3</v>
      </c>
    </row>
    <row r="97">
      <c r="A97" s="58" t="n">
        <v>46283</v>
      </c>
      <c r="B97" s="59" t="inlineStr">
        <is>
          <t>שירה אדלה לוזון</t>
        </is>
      </c>
      <c r="C97" s="60" t="inlineStr">
        <is>
          <t>תורנות שישי</t>
        </is>
      </c>
      <c r="D97" s="59" t="inlineStr">
        <is>
          <t>בית מדרש</t>
        </is>
      </c>
      <c r="E97" s="60" t="n">
        <v>3</v>
      </c>
    </row>
    <row r="98">
      <c r="A98" s="58" t="n">
        <v>46283</v>
      </c>
      <c r="B98" s="59" t="inlineStr">
        <is>
          <t>תמר פרידמן</t>
        </is>
      </c>
      <c r="C98" s="60" t="inlineStr">
        <is>
          <t>תורנות שישי</t>
        </is>
      </c>
      <c r="D98" s="59" t="inlineStr">
        <is>
          <t>בית מדרש</t>
        </is>
      </c>
      <c r="E98" s="60" t="n">
        <v>3</v>
      </c>
    </row>
    <row r="99">
      <c r="A99" s="58" t="n">
        <v>46283</v>
      </c>
      <c r="B99" s="59" t="inlineStr">
        <is>
          <t>תמר פרימור</t>
        </is>
      </c>
      <c r="C99" s="60" t="inlineStr">
        <is>
          <t>תורנות שישי</t>
        </is>
      </c>
      <c r="D99" s="59" t="inlineStr">
        <is>
          <t>בית מדרש</t>
        </is>
      </c>
      <c r="E99" s="60" t="n">
        <v>3</v>
      </c>
    </row>
    <row r="100">
      <c r="A100" s="58" t="n">
        <v>46311</v>
      </c>
      <c r="B100" s="59" t="inlineStr">
        <is>
          <t>אחיה נחמני</t>
        </is>
      </c>
      <c r="C100" s="60" t="inlineStr">
        <is>
          <t>הכנות שישי</t>
        </is>
      </c>
      <c r="D100" s="59" t="inlineStr">
        <is>
          <t>ארוחת צהריים שישי</t>
        </is>
      </c>
      <c r="E100" s="60" t="n">
        <v>3</v>
      </c>
    </row>
    <row r="101">
      <c r="A101" s="58" t="n">
        <v>46311</v>
      </c>
      <c r="B101" s="59" t="inlineStr">
        <is>
          <t>עמית סיילס</t>
        </is>
      </c>
      <c r="C101" s="60" t="inlineStr">
        <is>
          <t>הכנות שישי</t>
        </is>
      </c>
      <c r="D101" s="59" t="inlineStr">
        <is>
          <t>ארוחת צהריים שישי</t>
        </is>
      </c>
      <c r="E101" s="60" t="n">
        <v>3</v>
      </c>
    </row>
    <row r="102">
      <c r="A102" s="58" t="n">
        <v>46311</v>
      </c>
      <c r="B102" s="59" t="inlineStr">
        <is>
          <t>עמית שי אברהם</t>
        </is>
      </c>
      <c r="C102" s="60" t="inlineStr">
        <is>
          <t>הכנות שישי</t>
        </is>
      </c>
      <c r="D102" s="59" t="inlineStr">
        <is>
          <t>ארוחת צהריים שישי</t>
        </is>
      </c>
      <c r="E102" s="60" t="n">
        <v>3</v>
      </c>
    </row>
    <row r="103">
      <c r="A103" s="58" t="n">
        <v>46311</v>
      </c>
      <c r="B103" s="59" t="inlineStr">
        <is>
          <t>של״ו רובינשטיין</t>
        </is>
      </c>
      <c r="C103" s="60" t="inlineStr">
        <is>
          <t>הכנות שישי</t>
        </is>
      </c>
      <c r="D103" s="59" t="inlineStr">
        <is>
          <t>ארוחת צהריים שישי</t>
        </is>
      </c>
      <c r="E103" s="60" t="n">
        <v>3</v>
      </c>
    </row>
    <row r="104">
      <c r="A104" s="58" t="n">
        <v>46311</v>
      </c>
      <c r="B104" s="59" t="inlineStr">
        <is>
          <t>הלל פינגולד</t>
        </is>
      </c>
      <c r="C104" s="60" t="inlineStr">
        <is>
          <t>הכנות שישי</t>
        </is>
      </c>
      <c r="D104" s="59" t="inlineStr">
        <is>
          <t>חלות</t>
        </is>
      </c>
      <c r="E104" s="60" t="n">
        <v>3</v>
      </c>
    </row>
    <row r="105">
      <c r="A105" s="58" t="n">
        <v>46311</v>
      </c>
      <c r="B105" s="59" t="inlineStr">
        <is>
          <t>ניצן גמלא</t>
        </is>
      </c>
      <c r="C105" s="60" t="inlineStr">
        <is>
          <t>הכנות שישי</t>
        </is>
      </c>
      <c r="D105" s="59" t="inlineStr">
        <is>
          <t>חלות</t>
        </is>
      </c>
      <c r="E105" s="60" t="n">
        <v>3</v>
      </c>
    </row>
    <row r="106">
      <c r="A106" s="58" t="n">
        <v>46311</v>
      </c>
      <c r="B106" s="59" t="inlineStr">
        <is>
          <t>רוני כהן</t>
        </is>
      </c>
      <c r="C106" s="60" t="inlineStr">
        <is>
          <t>הכנות שישי</t>
        </is>
      </c>
      <c r="D106" s="59" t="inlineStr">
        <is>
          <t>חלות</t>
        </is>
      </c>
      <c r="E106" s="60" t="n">
        <v>3</v>
      </c>
    </row>
    <row r="107">
      <c r="A107" s="58" t="n">
        <v>46311</v>
      </c>
      <c r="B107" s="59" t="inlineStr">
        <is>
          <t>אלה גוטליב</t>
        </is>
      </c>
      <c r="C107" s="60" t="inlineStr">
        <is>
          <t>הכנות שישי</t>
        </is>
      </c>
      <c r="D107" s="59" t="inlineStr">
        <is>
          <t>מטבוחה</t>
        </is>
      </c>
      <c r="E107" s="60" t="n">
        <v>3</v>
      </c>
    </row>
    <row r="108">
      <c r="A108" s="58" t="n">
        <v>46311</v>
      </c>
      <c r="B108" s="59" t="inlineStr">
        <is>
          <t>הדר עמדי</t>
        </is>
      </c>
      <c r="C108" s="60" t="inlineStr">
        <is>
          <t>הכנות שישי</t>
        </is>
      </c>
      <c r="D108" s="59" t="inlineStr">
        <is>
          <t>מטבוחה</t>
        </is>
      </c>
      <c r="E108" s="60" t="n">
        <v>3</v>
      </c>
    </row>
    <row r="109">
      <c r="A109" s="58" t="n">
        <v>46311</v>
      </c>
      <c r="B109" s="59" t="inlineStr">
        <is>
          <t>ליבי בוכריס</t>
        </is>
      </c>
      <c r="C109" s="60" t="inlineStr">
        <is>
          <t>הכנות שישי</t>
        </is>
      </c>
      <c r="D109" s="59" t="inlineStr">
        <is>
          <t>מטבוחה</t>
        </is>
      </c>
      <c r="E109" s="60" t="n">
        <v>3</v>
      </c>
    </row>
    <row r="110">
      <c r="A110" s="58" t="n">
        <v>46311</v>
      </c>
      <c r="B110" s="59" t="inlineStr">
        <is>
          <t>שחר קרן</t>
        </is>
      </c>
      <c r="C110" s="60" t="inlineStr">
        <is>
          <t>הכנות שישי</t>
        </is>
      </c>
      <c r="D110" s="59" t="inlineStr">
        <is>
          <t>מטבוחה</t>
        </is>
      </c>
      <c r="E110" s="60" t="n">
        <v>3</v>
      </c>
    </row>
    <row r="111">
      <c r="A111" s="58" t="n">
        <v>46311</v>
      </c>
      <c r="B111" s="59" t="inlineStr">
        <is>
          <t>מאיה פקטר</t>
        </is>
      </c>
      <c r="C111" s="60" t="inlineStr">
        <is>
          <t>הכנות שישי</t>
        </is>
      </c>
      <c r="D111" s="59" t="inlineStr">
        <is>
          <t>עוגיות שוקולד צ'יפס</t>
        </is>
      </c>
      <c r="E111" s="60" t="n">
        <v>3</v>
      </c>
    </row>
    <row r="112">
      <c r="A112" s="58" t="n">
        <v>46311</v>
      </c>
      <c r="B112" s="59" t="inlineStr">
        <is>
          <t>קובי סמייסון</t>
        </is>
      </c>
      <c r="C112" s="60" t="inlineStr">
        <is>
          <t>הכנות שישי</t>
        </is>
      </c>
      <c r="D112" s="59" t="inlineStr">
        <is>
          <t>עוגיות שוקולד צ'יפס</t>
        </is>
      </c>
      <c r="E112" s="60" t="n">
        <v>3</v>
      </c>
    </row>
    <row r="113">
      <c r="A113" s="58" t="n">
        <v>46311</v>
      </c>
      <c r="B113" s="59" t="inlineStr">
        <is>
          <t>בניה מעוז</t>
        </is>
      </c>
      <c r="C113" s="60" t="inlineStr">
        <is>
          <t>הכנות שישי</t>
        </is>
      </c>
      <c r="D113" s="59" t="inlineStr">
        <is>
          <t>עוגת שוקולד</t>
        </is>
      </c>
      <c r="E113" s="60" t="n">
        <v>3</v>
      </c>
    </row>
    <row r="114">
      <c r="A114" s="58" t="n">
        <v>46311</v>
      </c>
      <c r="B114" s="59" t="inlineStr">
        <is>
          <t>הילה לביא</t>
        </is>
      </c>
      <c r="C114" s="60" t="inlineStr">
        <is>
          <t>הכנות שישי</t>
        </is>
      </c>
      <c r="D114" s="59" t="inlineStr">
        <is>
          <t>עוגת שוקולד</t>
        </is>
      </c>
      <c r="E114" s="60" t="n">
        <v>3</v>
      </c>
    </row>
    <row r="115">
      <c r="A115" s="58" t="n">
        <v>46311</v>
      </c>
      <c r="B115" s="59" t="inlineStr">
        <is>
          <t>איתן כהן</t>
        </is>
      </c>
      <c r="C115" s="60" t="inlineStr">
        <is>
          <t>הכנות שישי</t>
        </is>
      </c>
      <c r="D115" s="59" t="inlineStr">
        <is>
          <t>עוגת שמרים</t>
        </is>
      </c>
      <c r="E115" s="60" t="n">
        <v>3</v>
      </c>
    </row>
    <row r="116">
      <c r="A116" s="58" t="n">
        <v>46311</v>
      </c>
      <c r="B116" s="59" t="inlineStr">
        <is>
          <t>אלרואי גרינברג</t>
        </is>
      </c>
      <c r="C116" s="60" t="inlineStr">
        <is>
          <t>הכנות שישי</t>
        </is>
      </c>
      <c r="D116" s="59" t="inlineStr">
        <is>
          <t>עוגת שמרים</t>
        </is>
      </c>
      <c r="E116" s="60" t="n">
        <v>3</v>
      </c>
    </row>
    <row r="117">
      <c r="A117" s="58" t="n">
        <v>46311</v>
      </c>
      <c r="B117" s="59" t="inlineStr">
        <is>
          <t>רגב שהם</t>
        </is>
      </c>
      <c r="C117" s="60" t="inlineStr">
        <is>
          <t>הכנות שישי</t>
        </is>
      </c>
      <c r="D117" s="59" t="inlineStr">
        <is>
          <t>עוגת שמרים</t>
        </is>
      </c>
      <c r="E117" s="60" t="n">
        <v>3</v>
      </c>
    </row>
    <row r="118">
      <c r="A118" s="58" t="n">
        <v>46311</v>
      </c>
      <c r="B118" s="59" t="inlineStr">
        <is>
          <t>אלה גוטליב</t>
        </is>
      </c>
      <c r="C118" s="60" t="inlineStr">
        <is>
          <t>תורנות מוצ"ש</t>
        </is>
      </c>
      <c r="D118" s="59" t="inlineStr">
        <is>
          <t>ארוחת ערב מוצ"ש</t>
        </is>
      </c>
      <c r="E118" s="60" t="n">
        <v>3</v>
      </c>
    </row>
    <row r="119">
      <c r="A119" s="58" t="n">
        <v>46311</v>
      </c>
      <c r="B119" s="59" t="inlineStr">
        <is>
          <t>ירדן בן שחר</t>
        </is>
      </c>
      <c r="C119" s="60" t="inlineStr">
        <is>
          <t>תורנות מוצ"ש</t>
        </is>
      </c>
      <c r="D119" s="59" t="inlineStr">
        <is>
          <t>ארוחת ערב מוצ"ש</t>
        </is>
      </c>
      <c r="E119" s="60" t="n">
        <v>3</v>
      </c>
    </row>
    <row r="120">
      <c r="A120" s="58" t="n">
        <v>46311</v>
      </c>
      <c r="B120" s="59" t="inlineStr">
        <is>
          <t>משה אוברשטיין</t>
        </is>
      </c>
      <c r="C120" s="60" t="inlineStr">
        <is>
          <t>תורנות מוצ"ש</t>
        </is>
      </c>
      <c r="D120" s="59" t="inlineStr">
        <is>
          <t>ארוחת ערב מוצ"ש</t>
        </is>
      </c>
      <c r="E120" s="60" t="n">
        <v>3</v>
      </c>
    </row>
    <row r="121">
      <c r="A121" s="58" t="n">
        <v>46311</v>
      </c>
      <c r="B121" s="59" t="inlineStr">
        <is>
          <t>שחר קרן</t>
        </is>
      </c>
      <c r="C121" s="60" t="inlineStr">
        <is>
          <t>תורנות מוצ"ש</t>
        </is>
      </c>
      <c r="D121" s="59" t="inlineStr">
        <is>
          <t>ארוחת ערב מוצ"ש</t>
        </is>
      </c>
      <c r="E121" s="60" t="n">
        <v>3</v>
      </c>
    </row>
    <row r="122">
      <c r="A122" s="58" t="n">
        <v>46311</v>
      </c>
      <c r="B122" s="59" t="inlineStr">
        <is>
          <t>תמר פרידמן</t>
        </is>
      </c>
      <c r="C122" s="60" t="inlineStr">
        <is>
          <t>תורנות מוצ"ש</t>
        </is>
      </c>
      <c r="D122" s="59" t="inlineStr">
        <is>
          <t>ארוחת ערב מוצ"ש</t>
        </is>
      </c>
      <c r="E122" s="60" t="n">
        <v>3</v>
      </c>
    </row>
    <row r="123">
      <c r="A123" s="58" t="n">
        <v>46311</v>
      </c>
      <c r="B123" s="59" t="inlineStr">
        <is>
          <t>אביה וייל</t>
        </is>
      </c>
      <c r="C123" s="60" t="inlineStr">
        <is>
          <t>תורנות מוצ"ש</t>
        </is>
      </c>
      <c r="D123" s="59" t="inlineStr">
        <is>
          <t>ניקיון בית המדרש במוצ"ש</t>
        </is>
      </c>
      <c r="E123" s="60" t="n">
        <v>2</v>
      </c>
    </row>
    <row r="124">
      <c r="A124" s="58" t="n">
        <v>46311</v>
      </c>
      <c r="B124" s="59" t="inlineStr">
        <is>
          <t>אוריה תעשה</t>
        </is>
      </c>
      <c r="C124" s="60" t="inlineStr">
        <is>
          <t>תורנות מוצ"ש</t>
        </is>
      </c>
      <c r="D124" s="59" t="inlineStr">
        <is>
          <t>ניקיון בית המדרש במוצ"ש</t>
        </is>
      </c>
      <c r="E124" s="60" t="n">
        <v>2</v>
      </c>
    </row>
    <row r="125">
      <c r="A125" s="58" t="n">
        <v>46311</v>
      </c>
      <c r="B125" s="59" t="inlineStr">
        <is>
          <t>ארבל פרנקו</t>
        </is>
      </c>
      <c r="C125" s="60" t="inlineStr">
        <is>
          <t>תורנות מוצ"ש</t>
        </is>
      </c>
      <c r="D125" s="59" t="inlineStr">
        <is>
          <t>ניקיון בית המדרש במוצ"ש</t>
        </is>
      </c>
      <c r="E125" s="60" t="n">
        <v>2</v>
      </c>
    </row>
    <row r="126">
      <c r="A126" s="58" t="n">
        <v>46311</v>
      </c>
      <c r="B126" s="59" t="inlineStr">
        <is>
          <t>חיים שמאי</t>
        </is>
      </c>
      <c r="C126" s="60" t="inlineStr">
        <is>
          <t>תורנות מוצ"ש</t>
        </is>
      </c>
      <c r="D126" s="59" t="inlineStr">
        <is>
          <t>ניקיון בית המדרש במוצ"ש</t>
        </is>
      </c>
      <c r="E126" s="60" t="n">
        <v>2</v>
      </c>
    </row>
    <row r="127">
      <c r="A127" s="58" t="n">
        <v>46311</v>
      </c>
      <c r="B127" s="59" t="inlineStr">
        <is>
          <t>יונתן לירז</t>
        </is>
      </c>
      <c r="C127" s="60" t="inlineStr">
        <is>
          <t>תורנות מוצ"ש</t>
        </is>
      </c>
      <c r="D127" s="59" t="inlineStr">
        <is>
          <t>ניקיון בית המדרש במוצ"ש</t>
        </is>
      </c>
      <c r="E127" s="60" t="n">
        <v>2</v>
      </c>
    </row>
    <row r="128">
      <c r="A128" s="58" t="n">
        <v>46311</v>
      </c>
      <c r="B128" s="59" t="inlineStr">
        <is>
          <t>יערה ריס</t>
        </is>
      </c>
      <c r="C128" s="60" t="inlineStr">
        <is>
          <t>תורנות מוצ"ש</t>
        </is>
      </c>
      <c r="D128" s="59" t="inlineStr">
        <is>
          <t>ניקיון בית המדרש במוצ"ש</t>
        </is>
      </c>
      <c r="E128" s="60" t="n">
        <v>2</v>
      </c>
    </row>
    <row r="129">
      <c r="A129" s="58" t="n">
        <v>46311</v>
      </c>
      <c r="B129" s="59" t="inlineStr">
        <is>
          <t>מעיין יוספי</t>
        </is>
      </c>
      <c r="C129" s="60" t="inlineStr">
        <is>
          <t>תורנות מוצ"ש</t>
        </is>
      </c>
      <c r="D129" s="59" t="inlineStr">
        <is>
          <t>ניקיון בית המדרש במוצ"ש</t>
        </is>
      </c>
      <c r="E129" s="60" t="n">
        <v>2</v>
      </c>
    </row>
    <row r="130">
      <c r="A130" s="58" t="n">
        <v>46311</v>
      </c>
      <c r="B130" s="59" t="inlineStr">
        <is>
          <t>מעיין רחל דינר</t>
        </is>
      </c>
      <c r="C130" s="60" t="inlineStr">
        <is>
          <t>תורנות מוצ"ש</t>
        </is>
      </c>
      <c r="D130" s="59" t="inlineStr">
        <is>
          <t>ניקיון בית המדרש במוצ"ש</t>
        </is>
      </c>
      <c r="E130" s="60" t="n">
        <v>2</v>
      </c>
    </row>
    <row r="131">
      <c r="A131" s="58" t="n">
        <v>46311</v>
      </c>
      <c r="B131" s="59" t="inlineStr">
        <is>
          <t>ניתאי שלום</t>
        </is>
      </c>
      <c r="C131" s="60" t="inlineStr">
        <is>
          <t>תורנות מוצ"ש</t>
        </is>
      </c>
      <c r="D131" s="59" t="inlineStr">
        <is>
          <t>ניקיון בית המדרש במוצ"ש</t>
        </is>
      </c>
      <c r="E131" s="60" t="n">
        <v>2</v>
      </c>
    </row>
    <row r="132">
      <c r="A132" s="58" t="n">
        <v>46311</v>
      </c>
      <c r="B132" s="59" t="inlineStr">
        <is>
          <t>שירה ספונוב</t>
        </is>
      </c>
      <c r="C132" s="60" t="inlineStr">
        <is>
          <t>תורנות מוצ"ש</t>
        </is>
      </c>
      <c r="D132" s="59" t="inlineStr">
        <is>
          <t>ניקיון בית המדרש במוצ"ש</t>
        </is>
      </c>
      <c r="E132" s="60" t="n">
        <v>2</v>
      </c>
    </row>
    <row r="133">
      <c r="A133" s="58" t="n">
        <v>46311</v>
      </c>
      <c r="B133" s="59" t="inlineStr">
        <is>
          <t>איתמר אסנהיים</t>
        </is>
      </c>
      <c r="C133" s="60" t="inlineStr">
        <is>
          <t>תורנות מוצ"ש</t>
        </is>
      </c>
      <c r="D133" s="59" t="inlineStr">
        <is>
          <t>ניקיון חדר האוכל במוצ"ש</t>
        </is>
      </c>
      <c r="E133" s="60" t="n">
        <v>3</v>
      </c>
    </row>
    <row r="134">
      <c r="A134" s="58" t="n">
        <v>46311</v>
      </c>
      <c r="B134" s="59" t="inlineStr">
        <is>
          <t>איתן וינסטון</t>
        </is>
      </c>
      <c r="C134" s="60" t="inlineStr">
        <is>
          <t>תורנות מוצ"ש</t>
        </is>
      </c>
      <c r="D134" s="59" t="inlineStr">
        <is>
          <t>ניקיון חדר האוכל במוצ"ש</t>
        </is>
      </c>
      <c r="E134" s="60" t="n">
        <v>3</v>
      </c>
    </row>
    <row r="135">
      <c r="A135" s="58" t="n">
        <v>46311</v>
      </c>
      <c r="B135" s="59" t="inlineStr">
        <is>
          <t>אלה מאיר</t>
        </is>
      </c>
      <c r="C135" s="60" t="inlineStr">
        <is>
          <t>תורנות מוצ"ש</t>
        </is>
      </c>
      <c r="D135" s="59" t="inlineStr">
        <is>
          <t>ניקיון חדר האוכל במוצ"ש</t>
        </is>
      </c>
      <c r="E135" s="60" t="n">
        <v>3</v>
      </c>
    </row>
    <row r="136">
      <c r="A136" s="58" t="n">
        <v>46311</v>
      </c>
      <c r="B136" s="59" t="inlineStr">
        <is>
          <t>יואב אוחנה</t>
        </is>
      </c>
      <c r="C136" s="60" t="inlineStr">
        <is>
          <t>תורנות מוצ"ש</t>
        </is>
      </c>
      <c r="D136" s="59" t="inlineStr">
        <is>
          <t>ניקיון חדר האוכל במוצ"ש</t>
        </is>
      </c>
      <c r="E136" s="60" t="n">
        <v>3</v>
      </c>
    </row>
    <row r="137">
      <c r="A137" s="58" t="n">
        <v>46311</v>
      </c>
      <c r="B137" s="59" t="inlineStr">
        <is>
          <t>יובל יצחק</t>
        </is>
      </c>
      <c r="C137" s="60" t="inlineStr">
        <is>
          <t>תורנות מוצ"ש</t>
        </is>
      </c>
      <c r="D137" s="59" t="inlineStr">
        <is>
          <t>ניקיון חדר האוכל במוצ"ש</t>
        </is>
      </c>
      <c r="E137" s="60" t="n">
        <v>3</v>
      </c>
    </row>
    <row r="138">
      <c r="A138" s="58" t="n">
        <v>46311</v>
      </c>
      <c r="B138" s="59" t="inlineStr">
        <is>
          <t>ינון לוי</t>
        </is>
      </c>
      <c r="C138" s="60" t="inlineStr">
        <is>
          <t>תורנות מוצ"ש</t>
        </is>
      </c>
      <c r="D138" s="59" t="inlineStr">
        <is>
          <t>ניקיון חדר האוכל במוצ"ש</t>
        </is>
      </c>
      <c r="E138" s="60" t="n">
        <v>3</v>
      </c>
    </row>
    <row r="139">
      <c r="A139" s="58" t="n">
        <v>46311</v>
      </c>
      <c r="B139" s="59" t="inlineStr">
        <is>
          <t>מאיה פקטר</t>
        </is>
      </c>
      <c r="C139" s="60" t="inlineStr">
        <is>
          <t>תורנות מוצ"ש</t>
        </is>
      </c>
      <c r="D139" s="59" t="inlineStr">
        <is>
          <t>ניקיון חדר האוכל במוצ"ש</t>
        </is>
      </c>
      <c r="E139" s="60" t="n">
        <v>3</v>
      </c>
    </row>
    <row r="140">
      <c r="A140" s="58" t="n">
        <v>46311</v>
      </c>
      <c r="B140" s="59" t="inlineStr">
        <is>
          <t>נדב טוקר</t>
        </is>
      </c>
      <c r="C140" s="60" t="inlineStr">
        <is>
          <t>תורנות מוצ"ש</t>
        </is>
      </c>
      <c r="D140" s="59" t="inlineStr">
        <is>
          <t>ניקיון חדר האוכל במוצ"ש</t>
        </is>
      </c>
      <c r="E140" s="60" t="n">
        <v>3</v>
      </c>
    </row>
    <row r="141">
      <c r="A141" s="58" t="n">
        <v>46311</v>
      </c>
      <c r="B141" s="59" t="inlineStr">
        <is>
          <t>עמית סיילס</t>
        </is>
      </c>
      <c r="C141" s="60" t="inlineStr">
        <is>
          <t>תורנות מוצ"ש</t>
        </is>
      </c>
      <c r="D141" s="59" t="inlineStr">
        <is>
          <t>ניקיון חדר האוכל במוצ"ש</t>
        </is>
      </c>
      <c r="E141" s="60" t="n">
        <v>3</v>
      </c>
    </row>
    <row r="142">
      <c r="A142" s="58" t="n">
        <v>46311</v>
      </c>
      <c r="B142" s="59" t="inlineStr">
        <is>
          <t>עמית שי אברהם</t>
        </is>
      </c>
      <c r="C142" s="60" t="inlineStr">
        <is>
          <t>תורנות מוצ"ש</t>
        </is>
      </c>
      <c r="D142" s="59" t="inlineStr">
        <is>
          <t>ניקיון חדר האוכל במוצ"ש</t>
        </is>
      </c>
      <c r="E142" s="60" t="n">
        <v>3</v>
      </c>
    </row>
    <row r="143">
      <c r="A143" s="58" t="n">
        <v>46311</v>
      </c>
      <c r="B143" s="59" t="inlineStr">
        <is>
          <t>רועי צבי סרי</t>
        </is>
      </c>
      <c r="C143" s="60" t="inlineStr">
        <is>
          <t>תורנות מוצ"ש</t>
        </is>
      </c>
      <c r="D143" s="59" t="inlineStr">
        <is>
          <t>ניקיון חדר האוכל במוצ"ש</t>
        </is>
      </c>
      <c r="E143" s="60" t="n">
        <v>3</v>
      </c>
    </row>
    <row r="144">
      <c r="A144" s="58" t="n">
        <v>46311</v>
      </c>
      <c r="B144" s="59" t="inlineStr">
        <is>
          <t>שילת פילפל</t>
        </is>
      </c>
      <c r="C144" s="60" t="inlineStr">
        <is>
          <t>תורנות מוצ"ש</t>
        </is>
      </c>
      <c r="D144" s="59" t="inlineStr">
        <is>
          <t>ניקיון חדר האוכל במוצ"ש</t>
        </is>
      </c>
      <c r="E144" s="60" t="n">
        <v>3</v>
      </c>
    </row>
    <row r="145">
      <c r="A145" s="58" t="n">
        <v>46311</v>
      </c>
      <c r="B145" s="59" t="inlineStr">
        <is>
          <t>יונתן לירז</t>
        </is>
      </c>
      <c r="C145" s="60" t="inlineStr">
        <is>
          <t>תורנות שבת</t>
        </is>
      </c>
      <c r="D145" s="59" t="inlineStr">
        <is>
          <t>ארוחת ערב</t>
        </is>
      </c>
      <c r="E145" s="60" t="n">
        <v>2</v>
      </c>
    </row>
    <row r="146">
      <c r="A146" s="58" t="n">
        <v>46311</v>
      </c>
      <c r="B146" s="59" t="inlineStr">
        <is>
          <t>מעיין יוספי</t>
        </is>
      </c>
      <c r="C146" s="60" t="inlineStr">
        <is>
          <t>תורנות שבת</t>
        </is>
      </c>
      <c r="D146" s="59" t="inlineStr">
        <is>
          <t>ארוחת ערב</t>
        </is>
      </c>
      <c r="E146" s="60" t="n">
        <v>2</v>
      </c>
    </row>
    <row r="147">
      <c r="A147" s="58" t="n">
        <v>46311</v>
      </c>
      <c r="B147" s="59" t="inlineStr">
        <is>
          <t>מעיין רחל דינר</t>
        </is>
      </c>
      <c r="C147" s="60" t="inlineStr">
        <is>
          <t>תורנות שבת</t>
        </is>
      </c>
      <c r="D147" s="59" t="inlineStr">
        <is>
          <t>ארוחת ערב</t>
        </is>
      </c>
      <c r="E147" s="60" t="n">
        <v>2</v>
      </c>
    </row>
    <row r="148">
      <c r="A148" s="58" t="n">
        <v>46311</v>
      </c>
      <c r="B148" s="59" t="inlineStr">
        <is>
          <t>ניתאי שלום</t>
        </is>
      </c>
      <c r="C148" s="60" t="inlineStr">
        <is>
          <t>תורנות שבת</t>
        </is>
      </c>
      <c r="D148" s="59" t="inlineStr">
        <is>
          <t>ארוחת ערב</t>
        </is>
      </c>
      <c r="E148" s="60" t="n">
        <v>2</v>
      </c>
    </row>
    <row r="149">
      <c r="A149" s="58" t="n">
        <v>46311</v>
      </c>
      <c r="B149" s="59" t="inlineStr">
        <is>
          <t>אלרואי גרינברג</t>
        </is>
      </c>
      <c r="C149" s="60" t="inlineStr">
        <is>
          <t>תורנות שבת</t>
        </is>
      </c>
      <c r="D149" s="59" t="inlineStr">
        <is>
          <t>ארוחת צהריים שבת</t>
        </is>
      </c>
      <c r="E149" s="60" t="n">
        <v>2</v>
      </c>
    </row>
    <row r="150">
      <c r="A150" s="58" t="n">
        <v>46311</v>
      </c>
      <c r="B150" s="59" t="inlineStr">
        <is>
          <t>בניה מעוז</t>
        </is>
      </c>
      <c r="C150" s="60" t="inlineStr">
        <is>
          <t>תורנות שבת</t>
        </is>
      </c>
      <c r="D150" s="59" t="inlineStr">
        <is>
          <t>ארוחת צהריים שבת</t>
        </is>
      </c>
      <c r="E150" s="60" t="n">
        <v>2</v>
      </c>
    </row>
    <row r="151">
      <c r="A151" s="58" t="n">
        <v>46311</v>
      </c>
      <c r="B151" s="59" t="inlineStr">
        <is>
          <t>רגב שהם</t>
        </is>
      </c>
      <c r="C151" s="60" t="inlineStr">
        <is>
          <t>תורנות שבת</t>
        </is>
      </c>
      <c r="D151" s="59" t="inlineStr">
        <is>
          <t>ארוחת צהריים שבת</t>
        </is>
      </c>
      <c r="E151" s="60" t="n">
        <v>2</v>
      </c>
    </row>
    <row r="152">
      <c r="A152" s="58" t="n">
        <v>46311</v>
      </c>
      <c r="B152" s="59" t="inlineStr">
        <is>
          <t>רוני כהן</t>
        </is>
      </c>
      <c r="C152" s="60" t="inlineStr">
        <is>
          <t>תורנות שבת</t>
        </is>
      </c>
      <c r="D152" s="59" t="inlineStr">
        <is>
          <t>ארוחת צהריים שבת</t>
        </is>
      </c>
      <c r="E152" s="60" t="n">
        <v>2</v>
      </c>
    </row>
    <row r="153">
      <c r="A153" s="58" t="n">
        <v>46311</v>
      </c>
      <c r="B153" s="59" t="inlineStr">
        <is>
          <t>אלה מאיר</t>
        </is>
      </c>
      <c r="C153" s="60" t="inlineStr">
        <is>
          <t>תורנות שבת</t>
        </is>
      </c>
      <c r="D153" s="59" t="inlineStr">
        <is>
          <t>גסטרונומים</t>
        </is>
      </c>
      <c r="E153" s="60" t="n">
        <v>2</v>
      </c>
    </row>
    <row r="154">
      <c r="A154" s="58" t="n">
        <v>46311</v>
      </c>
      <c r="B154" s="59" t="inlineStr">
        <is>
          <t>שילת פילפל</t>
        </is>
      </c>
      <c r="C154" s="60" t="inlineStr">
        <is>
          <t>תורנות שבת</t>
        </is>
      </c>
      <c r="D154" s="59" t="inlineStr">
        <is>
          <t>גסטרונומים</t>
        </is>
      </c>
      <c r="E154" s="60" t="n">
        <v>2</v>
      </c>
    </row>
    <row r="155">
      <c r="A155" s="58" t="n">
        <v>46311</v>
      </c>
      <c r="B155" s="59" t="inlineStr">
        <is>
          <t>אוריה תעשה</t>
        </is>
      </c>
      <c r="C155" s="60" t="inlineStr">
        <is>
          <t>תורנות שבת</t>
        </is>
      </c>
      <c r="D155" s="59" t="inlineStr">
        <is>
          <t>טיש</t>
        </is>
      </c>
      <c r="E155" s="60" t="n">
        <v>1</v>
      </c>
    </row>
    <row r="156">
      <c r="A156" s="58" t="n">
        <v>46311</v>
      </c>
      <c r="B156" s="59" t="inlineStr">
        <is>
          <t>ארבל פרנקו</t>
        </is>
      </c>
      <c r="C156" s="60" t="inlineStr">
        <is>
          <t>תורנות שבת</t>
        </is>
      </c>
      <c r="D156" s="59" t="inlineStr">
        <is>
          <t>טיש</t>
        </is>
      </c>
      <c r="E156" s="60" t="n">
        <v>1</v>
      </c>
    </row>
    <row r="157">
      <c r="A157" s="58" t="n">
        <v>46311</v>
      </c>
      <c r="B157" s="59" t="inlineStr">
        <is>
          <t>נדב טוקר</t>
        </is>
      </c>
      <c r="C157" s="60" t="inlineStr">
        <is>
          <t>תורנות שבת</t>
        </is>
      </c>
      <c r="D157" s="59" t="inlineStr">
        <is>
          <t>טיש</t>
        </is>
      </c>
      <c r="E157" s="60" t="n">
        <v>1</v>
      </c>
    </row>
    <row r="158">
      <c r="A158" s="58" t="n">
        <v>46311</v>
      </c>
      <c r="B158" s="59" t="inlineStr">
        <is>
          <t>אביה וייל</t>
        </is>
      </c>
      <c r="C158" s="60" t="inlineStr">
        <is>
          <t>תורנות שבת</t>
        </is>
      </c>
      <c r="D158" s="59" t="inlineStr">
        <is>
          <t>פינוי ארוחת ערב</t>
        </is>
      </c>
      <c r="E158" s="60" t="n">
        <v>2</v>
      </c>
    </row>
    <row r="159">
      <c r="A159" s="58" t="n">
        <v>46311</v>
      </c>
      <c r="B159" s="59" t="inlineStr">
        <is>
          <t>יואב אוחנה</t>
        </is>
      </c>
      <c r="C159" s="60" t="inlineStr">
        <is>
          <t>תורנות שבת</t>
        </is>
      </c>
      <c r="D159" s="59" t="inlineStr">
        <is>
          <t>פינוי ארוחת ערב</t>
        </is>
      </c>
      <c r="E159" s="60" t="n">
        <v>2</v>
      </c>
    </row>
    <row r="160">
      <c r="A160" s="58" t="n">
        <v>46311</v>
      </c>
      <c r="B160" s="59" t="inlineStr">
        <is>
          <t>יובל יצחק</t>
        </is>
      </c>
      <c r="C160" s="60" t="inlineStr">
        <is>
          <t>תורנות שבת</t>
        </is>
      </c>
      <c r="D160" s="59" t="inlineStr">
        <is>
          <t>פינוי ארוחת ערב</t>
        </is>
      </c>
      <c r="E160" s="60" t="n">
        <v>2</v>
      </c>
    </row>
    <row r="161">
      <c r="A161" s="58" t="n">
        <v>46311</v>
      </c>
      <c r="B161" s="59" t="inlineStr">
        <is>
          <t>ינון לוי</t>
        </is>
      </c>
      <c r="C161" s="60" t="inlineStr">
        <is>
          <t>תורנות שבת</t>
        </is>
      </c>
      <c r="D161" s="59" t="inlineStr">
        <is>
          <t>פינוי ארוחת ערב</t>
        </is>
      </c>
      <c r="E161" s="60" t="n">
        <v>2</v>
      </c>
    </row>
    <row r="162">
      <c r="A162" s="58" t="n">
        <v>46311</v>
      </c>
      <c r="B162" s="59" t="inlineStr">
        <is>
          <t>רועי צבי סרי</t>
        </is>
      </c>
      <c r="C162" s="60" t="inlineStr">
        <is>
          <t>תורנות שבת</t>
        </is>
      </c>
      <c r="D162" s="59" t="inlineStr">
        <is>
          <t>פינוי ארוחת ערב</t>
        </is>
      </c>
      <c r="E162" s="60" t="n">
        <v>2</v>
      </c>
    </row>
    <row r="163">
      <c r="A163" s="58" t="n">
        <v>46311</v>
      </c>
      <c r="B163" s="59" t="inlineStr">
        <is>
          <t>אחיה נחמני</t>
        </is>
      </c>
      <c r="C163" s="60" t="inlineStr">
        <is>
          <t>תורנות שבת</t>
        </is>
      </c>
      <c r="D163" s="59" t="inlineStr">
        <is>
          <t>פינוי ארוחת צהריים וסעודה שלישית</t>
        </is>
      </c>
      <c r="E163" s="60" t="n">
        <v>2</v>
      </c>
    </row>
    <row r="164">
      <c r="A164" s="58" t="n">
        <v>46311</v>
      </c>
      <c r="B164" s="59" t="inlineStr">
        <is>
          <t>הדר עמדי</t>
        </is>
      </c>
      <c r="C164" s="60" t="inlineStr">
        <is>
          <t>תורנות שבת</t>
        </is>
      </c>
      <c r="D164" s="59" t="inlineStr">
        <is>
          <t>פינוי ארוחת צהריים וסעודה שלישית</t>
        </is>
      </c>
      <c r="E164" s="60" t="n">
        <v>2</v>
      </c>
    </row>
    <row r="165">
      <c r="A165" s="58" t="n">
        <v>46311</v>
      </c>
      <c r="B165" s="59" t="inlineStr">
        <is>
          <t>זואי כהן</t>
        </is>
      </c>
      <c r="C165" s="60" t="inlineStr">
        <is>
          <t>תורנות שבת</t>
        </is>
      </c>
      <c r="D165" s="59" t="inlineStr">
        <is>
          <t>פינוי ארוחת צהריים וסעודה שלישית</t>
        </is>
      </c>
      <c r="E165" s="60" t="n">
        <v>2</v>
      </c>
    </row>
    <row r="166">
      <c r="A166" s="58" t="n">
        <v>46311</v>
      </c>
      <c r="B166" s="59" t="inlineStr">
        <is>
          <t>נגה שוהם</t>
        </is>
      </c>
      <c r="C166" s="60" t="inlineStr">
        <is>
          <t>תורנות שבת</t>
        </is>
      </c>
      <c r="D166" s="59" t="inlineStr">
        <is>
          <t>פינוי ארוחת צהריים וסעודה שלישית</t>
        </is>
      </c>
      <c r="E166" s="60" t="n">
        <v>2</v>
      </c>
    </row>
    <row r="167">
      <c r="A167" s="58" t="n">
        <v>46311</v>
      </c>
      <c r="B167" s="59" t="inlineStr">
        <is>
          <t>קובי סמייסון</t>
        </is>
      </c>
      <c r="C167" s="60" t="inlineStr">
        <is>
          <t>תורנות שבת</t>
        </is>
      </c>
      <c r="D167" s="59" t="inlineStr">
        <is>
          <t>פינוי ארוחת צהריים וסעודה שלישית</t>
        </is>
      </c>
      <c r="E167" s="60" t="n">
        <v>2</v>
      </c>
    </row>
    <row r="168">
      <c r="A168" s="58" t="n">
        <v>46311</v>
      </c>
      <c r="B168" s="59" t="inlineStr">
        <is>
          <t>הלל פינגולד</t>
        </is>
      </c>
      <c r="C168" s="60" t="inlineStr">
        <is>
          <t>תורנות שבת</t>
        </is>
      </c>
      <c r="D168" s="59" t="inlineStr">
        <is>
          <t>קידוש</t>
        </is>
      </c>
      <c r="E168" s="60" t="n">
        <v>1</v>
      </c>
    </row>
    <row r="169">
      <c r="A169" s="58" t="n">
        <v>46311</v>
      </c>
      <c r="B169" s="59" t="inlineStr">
        <is>
          <t>ליבי בוכריס</t>
        </is>
      </c>
      <c r="C169" s="60" t="inlineStr">
        <is>
          <t>תורנות שבת</t>
        </is>
      </c>
      <c r="D169" s="59" t="inlineStr">
        <is>
          <t>קידוש</t>
        </is>
      </c>
      <c r="E169" s="60" t="n">
        <v>1</v>
      </c>
    </row>
    <row r="170">
      <c r="A170" s="58" t="n">
        <v>46311</v>
      </c>
      <c r="B170" s="59" t="inlineStr">
        <is>
          <t>ניצן גמלא</t>
        </is>
      </c>
      <c r="C170" s="60" t="inlineStr">
        <is>
          <t>תורנות שבת</t>
        </is>
      </c>
      <c r="D170" s="59" t="inlineStr">
        <is>
          <t>קידוש</t>
        </is>
      </c>
      <c r="E170" s="60" t="n">
        <v>1</v>
      </c>
    </row>
    <row r="171">
      <c r="A171" s="58" t="n">
        <v>46311</v>
      </c>
      <c r="B171" s="59" t="inlineStr">
        <is>
          <t>הילי אלפסי</t>
        </is>
      </c>
      <c r="C171" s="60" t="inlineStr">
        <is>
          <t>תורנות שישי</t>
        </is>
      </c>
      <c r="D171" s="59" t="inlineStr">
        <is>
          <t>בית מדרש</t>
        </is>
      </c>
      <c r="E171" s="60" t="n">
        <v>3</v>
      </c>
    </row>
    <row r="172">
      <c r="A172" s="58" t="n">
        <v>46311</v>
      </c>
      <c r="B172" s="59" t="inlineStr">
        <is>
          <t>זואי כהן</t>
        </is>
      </c>
      <c r="C172" s="60" t="inlineStr">
        <is>
          <t>תורנות שישי</t>
        </is>
      </c>
      <c r="D172" s="59" t="inlineStr">
        <is>
          <t>בית מדרש</t>
        </is>
      </c>
      <c r="E172" s="60" t="n">
        <v>3</v>
      </c>
    </row>
    <row r="173">
      <c r="A173" s="58" t="n">
        <v>46311</v>
      </c>
      <c r="B173" s="59" t="inlineStr">
        <is>
          <t>טליה קור</t>
        </is>
      </c>
      <c r="C173" s="60" t="inlineStr">
        <is>
          <t>תורנות שישי</t>
        </is>
      </c>
      <c r="D173" s="59" t="inlineStr">
        <is>
          <t>בית מדרש</t>
        </is>
      </c>
      <c r="E173" s="60" t="n">
        <v>3</v>
      </c>
    </row>
    <row r="174">
      <c r="A174" s="58" t="n">
        <v>46311</v>
      </c>
      <c r="B174" s="59" t="inlineStr">
        <is>
          <t>יהב לוי</t>
        </is>
      </c>
      <c r="C174" s="60" t="inlineStr">
        <is>
          <t>תורנות שישי</t>
        </is>
      </c>
      <c r="D174" s="59" t="inlineStr">
        <is>
          <t>בית מדרש</t>
        </is>
      </c>
      <c r="E174" s="60" t="n">
        <v>3</v>
      </c>
    </row>
    <row r="175">
      <c r="A175" s="58" t="n">
        <v>46311</v>
      </c>
      <c r="B175" s="59" t="inlineStr">
        <is>
          <t>יערה ריס</t>
        </is>
      </c>
      <c r="C175" s="60" t="inlineStr">
        <is>
          <t>תורנות שישי</t>
        </is>
      </c>
      <c r="D175" s="59" t="inlineStr">
        <is>
          <t>בית מדרש</t>
        </is>
      </c>
      <c r="E175" s="60" t="n">
        <v>3</v>
      </c>
    </row>
    <row r="176">
      <c r="A176" s="58" t="n">
        <v>46311</v>
      </c>
      <c r="B176" s="59" t="inlineStr">
        <is>
          <t>כליל בלאוקופף</t>
        </is>
      </c>
      <c r="C176" s="60" t="inlineStr">
        <is>
          <t>תורנות שישי</t>
        </is>
      </c>
      <c r="D176" s="59" t="inlineStr">
        <is>
          <t>בית מדרש</t>
        </is>
      </c>
      <c r="E176" s="60" t="n">
        <v>3</v>
      </c>
    </row>
    <row r="177">
      <c r="A177" s="58" t="n">
        <v>46311</v>
      </c>
      <c r="B177" s="59" t="inlineStr">
        <is>
          <t>נבו בלוך</t>
        </is>
      </c>
      <c r="C177" s="60" t="inlineStr">
        <is>
          <t>תורנות שישי</t>
        </is>
      </c>
      <c r="D177" s="59" t="inlineStr">
        <is>
          <t>בית מדרש</t>
        </is>
      </c>
      <c r="E177" s="60" t="n">
        <v>3</v>
      </c>
    </row>
    <row r="178">
      <c r="A178" s="58" t="n">
        <v>46311</v>
      </c>
      <c r="B178" s="59" t="inlineStr">
        <is>
          <t>עופר בביוף</t>
        </is>
      </c>
      <c r="C178" s="60" t="inlineStr">
        <is>
          <t>תורנות שישי</t>
        </is>
      </c>
      <c r="D178" s="59" t="inlineStr">
        <is>
          <t>בית מדרש</t>
        </is>
      </c>
      <c r="E178" s="60" t="n">
        <v>3</v>
      </c>
    </row>
    <row r="179">
      <c r="A179" s="58" t="n">
        <v>46311</v>
      </c>
      <c r="B179" s="59" t="inlineStr">
        <is>
          <t>רוני פרנקל</t>
        </is>
      </c>
      <c r="C179" s="60" t="inlineStr">
        <is>
          <t>תורנות שישי</t>
        </is>
      </c>
      <c r="D179" s="59" t="inlineStr">
        <is>
          <t>בית מדרש</t>
        </is>
      </c>
      <c r="E179" s="60" t="n">
        <v>3</v>
      </c>
    </row>
    <row r="180">
      <c r="A180" s="58" t="n">
        <v>46311</v>
      </c>
      <c r="B180" s="59" t="inlineStr">
        <is>
          <t>שחר מרקוביץ' גליק</t>
        </is>
      </c>
      <c r="C180" s="60" t="inlineStr">
        <is>
          <t>תורנות שישי</t>
        </is>
      </c>
      <c r="D180" s="59" t="inlineStr">
        <is>
          <t>בית מדרש</t>
        </is>
      </c>
      <c r="E180" s="60" t="n">
        <v>3</v>
      </c>
    </row>
    <row r="181">
      <c r="A181" s="58" t="n">
        <v>46311</v>
      </c>
      <c r="B181" s="59" t="inlineStr">
        <is>
          <t>שירה ספונוב</t>
        </is>
      </c>
      <c r="C181" s="60" t="inlineStr">
        <is>
          <t>תורנות שישי</t>
        </is>
      </c>
      <c r="D181" s="59" t="inlineStr">
        <is>
          <t>בית מדרש</t>
        </is>
      </c>
      <c r="E181" s="60" t="n">
        <v>3</v>
      </c>
    </row>
    <row r="182">
      <c r="A182" s="58" t="n">
        <v>46311</v>
      </c>
      <c r="B182" s="59" t="inlineStr">
        <is>
          <t>תמר פרידמן</t>
        </is>
      </c>
      <c r="C182" s="60" t="inlineStr">
        <is>
          <t>תורנות שישי</t>
        </is>
      </c>
      <c r="D182" s="59" t="inlineStr">
        <is>
          <t>בית מדרש</t>
        </is>
      </c>
      <c r="E182" s="60" t="n">
        <v>3</v>
      </c>
    </row>
    <row r="183">
      <c r="A183" s="58" t="n">
        <v>46311</v>
      </c>
      <c r="B183" s="59" t="inlineStr">
        <is>
          <t>איתי בן מנחם</t>
        </is>
      </c>
      <c r="C183" s="60" t="inlineStr">
        <is>
          <t>תורנות שישי</t>
        </is>
      </c>
      <c r="D183" s="59" t="inlineStr">
        <is>
          <t>ניקיון חדר האוכל בשישי</t>
        </is>
      </c>
      <c r="E183" s="60" t="n">
        <v>3</v>
      </c>
    </row>
    <row r="184">
      <c r="A184" s="58" t="n">
        <v>46311</v>
      </c>
      <c r="B184" s="59" t="inlineStr">
        <is>
          <t>אנה עזריאל</t>
        </is>
      </c>
      <c r="C184" s="60" t="inlineStr">
        <is>
          <t>תורנות שישי</t>
        </is>
      </c>
      <c r="D184" s="59" t="inlineStr">
        <is>
          <t>ניקיון חדר האוכל בשישי</t>
        </is>
      </c>
      <c r="E184" s="60" t="n">
        <v>3</v>
      </c>
    </row>
    <row r="185">
      <c r="A185" s="58" t="n">
        <v>46311</v>
      </c>
      <c r="B185" s="59" t="inlineStr">
        <is>
          <t>ירדן בן שחר</t>
        </is>
      </c>
      <c r="C185" s="60" t="inlineStr">
        <is>
          <t>תורנות שישי</t>
        </is>
      </c>
      <c r="D185" s="59" t="inlineStr">
        <is>
          <t>ניקיון חדר האוכל בשישי</t>
        </is>
      </c>
      <c r="E185" s="60" t="n">
        <v>3</v>
      </c>
    </row>
    <row r="186">
      <c r="A186" s="58" t="n">
        <v>46311</v>
      </c>
      <c r="B186" s="59" t="inlineStr">
        <is>
          <t>משה אוברשטיין</t>
        </is>
      </c>
      <c r="C186" s="60" t="inlineStr">
        <is>
          <t>תורנות שישי</t>
        </is>
      </c>
      <c r="D186" s="59" t="inlineStr">
        <is>
          <t>ניקיון חדר האוכל בשישי</t>
        </is>
      </c>
      <c r="E186" s="60" t="n">
        <v>3</v>
      </c>
    </row>
    <row r="187">
      <c r="A187" s="58" t="n">
        <v>46311</v>
      </c>
      <c r="B187" s="59" t="inlineStr">
        <is>
          <t>נגה חוה כהן</t>
        </is>
      </c>
      <c r="C187" s="60" t="inlineStr">
        <is>
          <t>תורנות שישי</t>
        </is>
      </c>
      <c r="D187" s="59" t="inlineStr">
        <is>
          <t>ניקיון חדר האוכל בשישי</t>
        </is>
      </c>
      <c r="E187" s="60" t="n">
        <v>3</v>
      </c>
    </row>
    <row r="188">
      <c r="A188" s="58" t="n">
        <v>46311</v>
      </c>
      <c r="B188" s="59" t="inlineStr">
        <is>
          <t>נועם ישראל קומפאס</t>
        </is>
      </c>
      <c r="C188" s="60" t="inlineStr">
        <is>
          <t>תורנות שישי</t>
        </is>
      </c>
      <c r="D188" s="59" t="inlineStr">
        <is>
          <t>ניקיון חדר האוכל בשישי</t>
        </is>
      </c>
      <c r="E188" s="60" t="n">
        <v>3</v>
      </c>
    </row>
    <row r="189">
      <c r="A189" s="58" t="n">
        <v>46311</v>
      </c>
      <c r="B189" s="59" t="inlineStr">
        <is>
          <t>תמר פרימור</t>
        </is>
      </c>
      <c r="C189" s="60" t="inlineStr">
        <is>
          <t>תורנות שישי</t>
        </is>
      </c>
      <c r="D189" s="59" t="inlineStr">
        <is>
          <t>ניקיון חדר האוכל בשישי</t>
        </is>
      </c>
      <c r="E189" s="60" t="n">
        <v>3</v>
      </c>
    </row>
    <row r="190">
      <c r="A190" s="58" t="n">
        <v>46325</v>
      </c>
      <c r="B190" s="59" t="inlineStr">
        <is>
          <t>הילה עזרא</t>
        </is>
      </c>
      <c r="C190" s="60" t="inlineStr">
        <is>
          <t>הכנות שישי</t>
        </is>
      </c>
      <c r="D190" s="59" t="inlineStr">
        <is>
          <t>ארוחת צהריים שישי</t>
        </is>
      </c>
      <c r="E190" s="60" t="n">
        <v>3</v>
      </c>
    </row>
    <row r="191">
      <c r="A191" s="58" t="n">
        <v>46325</v>
      </c>
      <c r="B191" s="59" t="inlineStr">
        <is>
          <t>רוני פרנקל</t>
        </is>
      </c>
      <c r="C191" s="60" t="inlineStr">
        <is>
          <t>הכנות שישי</t>
        </is>
      </c>
      <c r="D191" s="59" t="inlineStr">
        <is>
          <t>ארוחת צהריים שישי</t>
        </is>
      </c>
      <c r="E191" s="60" t="n">
        <v>3</v>
      </c>
    </row>
    <row r="192">
      <c r="A192" s="58" t="n">
        <v>46325</v>
      </c>
      <c r="B192" s="59" t="inlineStr">
        <is>
          <t>רותם דרור</t>
        </is>
      </c>
      <c r="C192" s="60" t="inlineStr">
        <is>
          <t>הכנות שישי</t>
        </is>
      </c>
      <c r="D192" s="59" t="inlineStr">
        <is>
          <t>ארוחת צהריים שישי</t>
        </is>
      </c>
      <c r="E192" s="60" t="n">
        <v>3</v>
      </c>
    </row>
    <row r="193">
      <c r="A193" s="58" t="n">
        <v>46325</v>
      </c>
      <c r="B193" s="59" t="inlineStr">
        <is>
          <t>שחר מרקוביץ' גליק</t>
        </is>
      </c>
      <c r="C193" s="60" t="inlineStr">
        <is>
          <t>הכנות שישי</t>
        </is>
      </c>
      <c r="D193" s="59" t="inlineStr">
        <is>
          <t>ארוחת צהריים שישי</t>
        </is>
      </c>
      <c r="E193" s="60" t="n">
        <v>3</v>
      </c>
    </row>
    <row r="194">
      <c r="A194" s="58" t="n">
        <v>46325</v>
      </c>
      <c r="B194" s="59" t="inlineStr">
        <is>
          <t>אריאלה מרכוס</t>
        </is>
      </c>
      <c r="C194" s="60" t="inlineStr">
        <is>
          <t>הכנות שישי</t>
        </is>
      </c>
      <c r="D194" s="59" t="inlineStr">
        <is>
          <t>חלות</t>
        </is>
      </c>
      <c r="E194" s="60" t="n">
        <v>3</v>
      </c>
    </row>
    <row r="195">
      <c r="A195" s="58" t="n">
        <v>46325</v>
      </c>
      <c r="B195" s="59" t="inlineStr">
        <is>
          <t>ליעם גבע</t>
        </is>
      </c>
      <c r="C195" s="60" t="inlineStr">
        <is>
          <t>הכנות שישי</t>
        </is>
      </c>
      <c r="D195" s="59" t="inlineStr">
        <is>
          <t>חלות</t>
        </is>
      </c>
      <c r="E195" s="60" t="n">
        <v>3</v>
      </c>
    </row>
    <row r="196">
      <c r="A196" s="58" t="n">
        <v>46325</v>
      </c>
      <c r="B196" s="59" t="inlineStr">
        <is>
          <t>פנחס אליהו גלוסקין</t>
        </is>
      </c>
      <c r="C196" s="60" t="inlineStr">
        <is>
          <t>הכנות שישי</t>
        </is>
      </c>
      <c r="D196" s="59" t="inlineStr">
        <is>
          <t>חלות</t>
        </is>
      </c>
      <c r="E196" s="60" t="n">
        <v>3</v>
      </c>
    </row>
    <row r="197">
      <c r="A197" s="58" t="n">
        <v>46325</v>
      </c>
      <c r="B197" s="59" t="inlineStr">
        <is>
          <t>הילי אלפסי</t>
        </is>
      </c>
      <c r="C197" s="60" t="inlineStr">
        <is>
          <t>הכנות שישי</t>
        </is>
      </c>
      <c r="D197" s="59" t="inlineStr">
        <is>
          <t>מטבוחה</t>
        </is>
      </c>
      <c r="E197" s="60" t="n">
        <v>3</v>
      </c>
    </row>
    <row r="198">
      <c r="A198" s="58" t="n">
        <v>46325</v>
      </c>
      <c r="B198" s="59" t="inlineStr">
        <is>
          <t>טליה קור</t>
        </is>
      </c>
      <c r="C198" s="60" t="inlineStr">
        <is>
          <t>הכנות שישי</t>
        </is>
      </c>
      <c r="D198" s="59" t="inlineStr">
        <is>
          <t>מטבוחה</t>
        </is>
      </c>
      <c r="E198" s="60" t="n">
        <v>3</v>
      </c>
    </row>
    <row r="199">
      <c r="A199" s="58" t="n">
        <v>46325</v>
      </c>
      <c r="B199" s="59" t="inlineStr">
        <is>
          <t>נועם ישראל קומפאס</t>
        </is>
      </c>
      <c r="C199" s="60" t="inlineStr">
        <is>
          <t>הכנות שישי</t>
        </is>
      </c>
      <c r="D199" s="59" t="inlineStr">
        <is>
          <t>מטבוחה</t>
        </is>
      </c>
      <c r="E199" s="60" t="n">
        <v>3</v>
      </c>
    </row>
    <row r="200">
      <c r="A200" s="58" t="n">
        <v>46325</v>
      </c>
      <c r="B200" s="59" t="inlineStr">
        <is>
          <t>של״ו רובינשטיין</t>
        </is>
      </c>
      <c r="C200" s="60" t="inlineStr">
        <is>
          <t>הכנות שישי</t>
        </is>
      </c>
      <c r="D200" s="59" t="inlineStr">
        <is>
          <t>מטבוחה</t>
        </is>
      </c>
      <c r="E200" s="60" t="n">
        <v>3</v>
      </c>
    </row>
    <row r="201">
      <c r="A201" s="58" t="n">
        <v>46325</v>
      </c>
      <c r="B201" s="59" t="inlineStr">
        <is>
          <t>הדר עמדי</t>
        </is>
      </c>
      <c r="C201" s="60" t="inlineStr">
        <is>
          <t>הכנות שישי</t>
        </is>
      </c>
      <c r="D201" s="59" t="inlineStr">
        <is>
          <t>עוגיות שוקולד צ'יפס</t>
        </is>
      </c>
      <c r="E201" s="60" t="n">
        <v>3</v>
      </c>
    </row>
    <row r="202">
      <c r="A202" s="58" t="n">
        <v>46325</v>
      </c>
      <c r="B202" s="59" t="inlineStr">
        <is>
          <t>שי- לי וולגמוט</t>
        </is>
      </c>
      <c r="C202" s="60" t="inlineStr">
        <is>
          <t>הכנות שישי</t>
        </is>
      </c>
      <c r="D202" s="59" t="inlineStr">
        <is>
          <t>עוגיות שוקולד צ'יפס</t>
        </is>
      </c>
      <c r="E202" s="60" t="n">
        <v>3</v>
      </c>
    </row>
    <row r="203">
      <c r="A203" s="58" t="n">
        <v>46325</v>
      </c>
      <c r="B203" s="59" t="inlineStr">
        <is>
          <t>יותם ספיר</t>
        </is>
      </c>
      <c r="C203" s="60" t="inlineStr">
        <is>
          <t>הכנות שישי</t>
        </is>
      </c>
      <c r="D203" s="59" t="inlineStr">
        <is>
          <t>עוגת שוקולד</t>
        </is>
      </c>
      <c r="E203" s="60" t="n">
        <v>3</v>
      </c>
    </row>
    <row r="204">
      <c r="A204" s="58" t="n">
        <v>46325</v>
      </c>
      <c r="B204" s="59" t="inlineStr">
        <is>
          <t>ניצן גמלא</t>
        </is>
      </c>
      <c r="C204" s="60" t="inlineStr">
        <is>
          <t>הכנות שישי</t>
        </is>
      </c>
      <c r="D204" s="59" t="inlineStr">
        <is>
          <t>עוגת שוקולד</t>
        </is>
      </c>
      <c r="E204" s="60" t="n">
        <v>3</v>
      </c>
    </row>
    <row r="205">
      <c r="A205" s="58" t="n">
        <v>46325</v>
      </c>
      <c r="B205" s="59" t="inlineStr">
        <is>
          <t>הלל פינגולד</t>
        </is>
      </c>
      <c r="C205" s="60" t="inlineStr">
        <is>
          <t>הכנות שישי</t>
        </is>
      </c>
      <c r="D205" s="59" t="inlineStr">
        <is>
          <t>עוגת שמרים</t>
        </is>
      </c>
      <c r="E205" s="60" t="n">
        <v>3</v>
      </c>
    </row>
    <row r="206">
      <c r="A206" s="58" t="n">
        <v>46325</v>
      </c>
      <c r="B206" s="59" t="inlineStr">
        <is>
          <t>ליבי בוכריס</t>
        </is>
      </c>
      <c r="C206" s="60" t="inlineStr">
        <is>
          <t>הכנות שישי</t>
        </is>
      </c>
      <c r="D206" s="59" t="inlineStr">
        <is>
          <t>עוגת שמרים</t>
        </is>
      </c>
      <c r="E206" s="60" t="n">
        <v>3</v>
      </c>
    </row>
    <row r="207">
      <c r="A207" s="58" t="n">
        <v>46325</v>
      </c>
      <c r="B207" s="59" t="inlineStr">
        <is>
          <t>מעיין רחל דינר</t>
        </is>
      </c>
      <c r="C207" s="60" t="inlineStr">
        <is>
          <t>הכנות שישי</t>
        </is>
      </c>
      <c r="D207" s="59" t="inlineStr">
        <is>
          <t>עוגת שמרים</t>
        </is>
      </c>
      <c r="E207" s="60" t="n">
        <v>3</v>
      </c>
    </row>
    <row r="208">
      <c r="A208" s="58" t="n">
        <v>46325</v>
      </c>
      <c r="B208" s="59" t="inlineStr">
        <is>
          <t>איתמר אסנהיים</t>
        </is>
      </c>
      <c r="C208" s="60" t="inlineStr">
        <is>
          <t>תורנות מוצ"ש</t>
        </is>
      </c>
      <c r="D208" s="59" t="inlineStr">
        <is>
          <t>ארוחת ערב מוצ"ש</t>
        </is>
      </c>
      <c r="E208" s="60" t="n">
        <v>3</v>
      </c>
    </row>
    <row r="209">
      <c r="A209" s="58" t="n">
        <v>46325</v>
      </c>
      <c r="B209" s="59" t="inlineStr">
        <is>
          <t>אלה מאיר</t>
        </is>
      </c>
      <c r="C209" s="60" t="inlineStr">
        <is>
          <t>תורנות מוצ"ש</t>
        </is>
      </c>
      <c r="D209" s="59" t="inlineStr">
        <is>
          <t>ארוחת ערב מוצ"ש</t>
        </is>
      </c>
      <c r="E209" s="60" t="n">
        <v>3</v>
      </c>
    </row>
    <row r="210">
      <c r="A210" s="58" t="n">
        <v>46325</v>
      </c>
      <c r="B210" s="59" t="inlineStr">
        <is>
          <t>ינון לוי</t>
        </is>
      </c>
      <c r="C210" s="60" t="inlineStr">
        <is>
          <t>תורנות מוצ"ש</t>
        </is>
      </c>
      <c r="D210" s="59" t="inlineStr">
        <is>
          <t>ארוחת ערב מוצ"ש</t>
        </is>
      </c>
      <c r="E210" s="60" t="n">
        <v>3</v>
      </c>
    </row>
    <row r="211">
      <c r="A211" s="58" t="n">
        <v>46325</v>
      </c>
      <c r="B211" s="59" t="inlineStr">
        <is>
          <t>ירדן בן שחר</t>
        </is>
      </c>
      <c r="C211" s="60" t="inlineStr">
        <is>
          <t>תורנות מוצ"ש</t>
        </is>
      </c>
      <c r="D211" s="59" t="inlineStr">
        <is>
          <t>ארוחת ערב מוצ"ש</t>
        </is>
      </c>
      <c r="E211" s="60" t="n">
        <v>3</v>
      </c>
    </row>
    <row r="212">
      <c r="A212" s="58" t="n">
        <v>46325</v>
      </c>
      <c r="B212" s="59" t="inlineStr">
        <is>
          <t>עמית שי אברהם</t>
        </is>
      </c>
      <c r="C212" s="60" t="inlineStr">
        <is>
          <t>תורנות מוצ"ש</t>
        </is>
      </c>
      <c r="D212" s="59" t="inlineStr">
        <is>
          <t>ארוחת ערב מוצ"ש</t>
        </is>
      </c>
      <c r="E212" s="60" t="n">
        <v>3</v>
      </c>
    </row>
    <row r="213">
      <c r="A213" s="58" t="n">
        <v>46325</v>
      </c>
      <c r="B213" s="59" t="inlineStr">
        <is>
          <t>אחיה נחמני</t>
        </is>
      </c>
      <c r="C213" s="60" t="inlineStr">
        <is>
          <t>תורנות מוצ"ש</t>
        </is>
      </c>
      <c r="D213" s="59" t="inlineStr">
        <is>
          <t>ניקיון בית המדרש במוצ"ש</t>
        </is>
      </c>
      <c r="E213" s="60" t="n">
        <v>2</v>
      </c>
    </row>
    <row r="214">
      <c r="A214" s="58" t="n">
        <v>46325</v>
      </c>
      <c r="B214" s="59" t="inlineStr">
        <is>
          <t>הדר עמדי</t>
        </is>
      </c>
      <c r="C214" s="60" t="inlineStr">
        <is>
          <t>תורנות מוצ"ש</t>
        </is>
      </c>
      <c r="D214" s="59" t="inlineStr">
        <is>
          <t>ניקיון בית המדרש במוצ"ש</t>
        </is>
      </c>
      <c r="E214" s="60" t="n">
        <v>2</v>
      </c>
    </row>
    <row r="215">
      <c r="A215" s="58" t="n">
        <v>46325</v>
      </c>
      <c r="B215" s="59" t="inlineStr">
        <is>
          <t>חיים שמאי</t>
        </is>
      </c>
      <c r="C215" s="60" t="inlineStr">
        <is>
          <t>תורנות מוצ"ש</t>
        </is>
      </c>
      <c r="D215" s="59" t="inlineStr">
        <is>
          <t>ניקיון בית המדרש במוצ"ש</t>
        </is>
      </c>
      <c r="E215" s="60" t="n">
        <v>2</v>
      </c>
    </row>
    <row r="216">
      <c r="A216" s="58" t="n">
        <v>46325</v>
      </c>
      <c r="B216" s="59" t="inlineStr">
        <is>
          <t>יובל יצחק</t>
        </is>
      </c>
      <c r="C216" s="60" t="inlineStr">
        <is>
          <t>תורנות מוצ"ש</t>
        </is>
      </c>
      <c r="D216" s="59" t="inlineStr">
        <is>
          <t>ניקיון בית המדרש במוצ"ש</t>
        </is>
      </c>
      <c r="E216" s="60" t="n">
        <v>2</v>
      </c>
    </row>
    <row r="217">
      <c r="A217" s="58" t="n">
        <v>46325</v>
      </c>
      <c r="B217" s="59" t="inlineStr">
        <is>
          <t>יונתן לירז</t>
        </is>
      </c>
      <c r="C217" s="60" t="inlineStr">
        <is>
          <t>תורנות מוצ"ש</t>
        </is>
      </c>
      <c r="D217" s="59" t="inlineStr">
        <is>
          <t>ניקיון בית המדרש במוצ"ש</t>
        </is>
      </c>
      <c r="E217" s="60" t="n">
        <v>2</v>
      </c>
    </row>
    <row r="218">
      <c r="A218" s="58" t="n">
        <v>46325</v>
      </c>
      <c r="B218" s="59" t="inlineStr">
        <is>
          <t>יערה ריס</t>
        </is>
      </c>
      <c r="C218" s="60" t="inlineStr">
        <is>
          <t>תורנות מוצ"ש</t>
        </is>
      </c>
      <c r="D218" s="59" t="inlineStr">
        <is>
          <t>ניקיון בית המדרש במוצ"ש</t>
        </is>
      </c>
      <c r="E218" s="60" t="n">
        <v>2</v>
      </c>
    </row>
    <row r="219">
      <c r="A219" s="58" t="n">
        <v>46325</v>
      </c>
      <c r="B219" s="59" t="inlineStr">
        <is>
          <t>סהר שירון</t>
        </is>
      </c>
      <c r="C219" s="60" t="inlineStr">
        <is>
          <t>תורנות מוצ"ש</t>
        </is>
      </c>
      <c r="D219" s="59" t="inlineStr">
        <is>
          <t>ניקיון בית המדרש במוצ"ש</t>
        </is>
      </c>
      <c r="E219" s="60" t="n">
        <v>2</v>
      </c>
    </row>
    <row r="220">
      <c r="A220" s="58" t="n">
        <v>46325</v>
      </c>
      <c r="B220" s="59" t="inlineStr">
        <is>
          <t>רוני פרנקל</t>
        </is>
      </c>
      <c r="C220" s="60" t="inlineStr">
        <is>
          <t>תורנות מוצ"ש</t>
        </is>
      </c>
      <c r="D220" s="59" t="inlineStr">
        <is>
          <t>ניקיון בית המדרש במוצ"ש</t>
        </is>
      </c>
      <c r="E220" s="60" t="n">
        <v>2</v>
      </c>
    </row>
    <row r="221">
      <c r="A221" s="58" t="n">
        <v>46325</v>
      </c>
      <c r="B221" s="59" t="inlineStr">
        <is>
          <t>שחר מרקוביץ' גליק</t>
        </is>
      </c>
      <c r="C221" s="60" t="inlineStr">
        <is>
          <t>תורנות מוצ"ש</t>
        </is>
      </c>
      <c r="D221" s="59" t="inlineStr">
        <is>
          <t>ניקיון בית המדרש במוצ"ש</t>
        </is>
      </c>
      <c r="E221" s="60" t="n">
        <v>2</v>
      </c>
    </row>
    <row r="222">
      <c r="A222" s="58" t="n">
        <v>46325</v>
      </c>
      <c r="B222" s="59" t="inlineStr">
        <is>
          <t>תמר פרידמן</t>
        </is>
      </c>
      <c r="C222" s="60" t="inlineStr">
        <is>
          <t>תורנות מוצ"ש</t>
        </is>
      </c>
      <c r="D222" s="59" t="inlineStr">
        <is>
          <t>ניקיון בית המדרש במוצ"ש</t>
        </is>
      </c>
      <c r="E222" s="60" t="n">
        <v>2</v>
      </c>
    </row>
    <row r="223">
      <c r="A223" s="58" t="n">
        <v>46325</v>
      </c>
      <c r="B223" s="59" t="inlineStr">
        <is>
          <t>אביה וייל</t>
        </is>
      </c>
      <c r="C223" s="60" t="inlineStr">
        <is>
          <t>תורנות מוצ"ש</t>
        </is>
      </c>
      <c r="D223" s="59" t="inlineStr">
        <is>
          <t>ניקיון חדר האוכל במוצ"ש</t>
        </is>
      </c>
      <c r="E223" s="60" t="n">
        <v>3</v>
      </c>
    </row>
    <row r="224">
      <c r="A224" s="58" t="n">
        <v>46325</v>
      </c>
      <c r="B224" s="59" t="inlineStr">
        <is>
          <t>אלה גוטליב</t>
        </is>
      </c>
      <c r="C224" s="60" t="inlineStr">
        <is>
          <t>תורנות מוצ"ש</t>
        </is>
      </c>
      <c r="D224" s="59" t="inlineStr">
        <is>
          <t>ניקיון חדר האוכל במוצ"ש</t>
        </is>
      </c>
      <c r="E224" s="60" t="n">
        <v>3</v>
      </c>
    </row>
    <row r="225">
      <c r="A225" s="58" t="n">
        <v>46325</v>
      </c>
      <c r="B225" s="59" t="inlineStr">
        <is>
          <t>זואי כהן</t>
        </is>
      </c>
      <c r="C225" s="60" t="inlineStr">
        <is>
          <t>תורנות מוצ"ש</t>
        </is>
      </c>
      <c r="D225" s="59" t="inlineStr">
        <is>
          <t>ניקיון חדר האוכל במוצ"ש</t>
        </is>
      </c>
      <c r="E225" s="60" t="n">
        <v>3</v>
      </c>
    </row>
    <row r="226">
      <c r="A226" s="58" t="n">
        <v>46325</v>
      </c>
      <c r="B226" s="59" t="inlineStr">
        <is>
          <t>יואב אוחנה</t>
        </is>
      </c>
      <c r="C226" s="60" t="inlineStr">
        <is>
          <t>תורנות מוצ"ש</t>
        </is>
      </c>
      <c r="D226" s="59" t="inlineStr">
        <is>
          <t>ניקיון חדר האוכל במוצ"ש</t>
        </is>
      </c>
      <c r="E226" s="60" t="n">
        <v>3</v>
      </c>
    </row>
    <row r="227">
      <c r="A227" s="58" t="n">
        <v>46325</v>
      </c>
      <c r="B227" s="59" t="inlineStr">
        <is>
          <t>מאיה פקטר</t>
        </is>
      </c>
      <c r="C227" s="60" t="inlineStr">
        <is>
          <t>תורנות מוצ"ש</t>
        </is>
      </c>
      <c r="D227" s="59" t="inlineStr">
        <is>
          <t>ניקיון חדר האוכל במוצ"ש</t>
        </is>
      </c>
      <c r="E227" s="60" t="n">
        <v>3</v>
      </c>
    </row>
    <row r="228">
      <c r="A228" s="58" t="n">
        <v>46325</v>
      </c>
      <c r="B228" s="59" t="inlineStr">
        <is>
          <t>משה אוברשטיין</t>
        </is>
      </c>
      <c r="C228" s="60" t="inlineStr">
        <is>
          <t>תורנות מוצ"ש</t>
        </is>
      </c>
      <c r="D228" s="59" t="inlineStr">
        <is>
          <t>ניקיון חדר האוכל במוצ"ש</t>
        </is>
      </c>
      <c r="E228" s="60" t="n">
        <v>3</v>
      </c>
    </row>
    <row r="229">
      <c r="A229" s="58" t="n">
        <v>46325</v>
      </c>
      <c r="B229" s="59" t="inlineStr">
        <is>
          <t>עמית סיילס</t>
        </is>
      </c>
      <c r="C229" s="60" t="inlineStr">
        <is>
          <t>תורנות מוצ"ש</t>
        </is>
      </c>
      <c r="D229" s="59" t="inlineStr">
        <is>
          <t>ניקיון חדר האוכל במוצ"ש</t>
        </is>
      </c>
      <c r="E229" s="60" t="n">
        <v>3</v>
      </c>
    </row>
    <row r="230">
      <c r="A230" s="58" t="n">
        <v>46325</v>
      </c>
      <c r="B230" s="59" t="inlineStr">
        <is>
          <t>שחר קרן</t>
        </is>
      </c>
      <c r="C230" s="60" t="inlineStr">
        <is>
          <t>תורנות מוצ"ש</t>
        </is>
      </c>
      <c r="D230" s="59" t="inlineStr">
        <is>
          <t>ניקיון חדר האוכל במוצ"ש</t>
        </is>
      </c>
      <c r="E230" s="60" t="n">
        <v>3</v>
      </c>
    </row>
    <row r="231">
      <c r="A231" s="58" t="n">
        <v>46325</v>
      </c>
      <c r="B231" s="59" t="inlineStr">
        <is>
          <t>שילת פילפל</t>
        </is>
      </c>
      <c r="C231" s="60" t="inlineStr">
        <is>
          <t>תורנות מוצ"ש</t>
        </is>
      </c>
      <c r="D231" s="59" t="inlineStr">
        <is>
          <t>ניקיון חדר האוכל במוצ"ש</t>
        </is>
      </c>
      <c r="E231" s="60" t="n">
        <v>3</v>
      </c>
    </row>
    <row r="232">
      <c r="A232" s="58" t="n">
        <v>46325</v>
      </c>
      <c r="B232" s="59" t="inlineStr">
        <is>
          <t>שירה ספונוב</t>
        </is>
      </c>
      <c r="C232" s="60" t="inlineStr">
        <is>
          <t>תורנות מוצ"ש</t>
        </is>
      </c>
      <c r="D232" s="59" t="inlineStr">
        <is>
          <t>ניקיון חדר האוכל במוצ"ש</t>
        </is>
      </c>
      <c r="E232" s="60" t="n">
        <v>3</v>
      </c>
    </row>
    <row r="233">
      <c r="A233" s="58" t="n">
        <v>46325</v>
      </c>
      <c r="B233" s="59" t="inlineStr">
        <is>
          <t>יואב אוחנה</t>
        </is>
      </c>
      <c r="C233" s="60" t="inlineStr">
        <is>
          <t>תורנות שבת</t>
        </is>
      </c>
      <c r="D233" s="59" t="inlineStr">
        <is>
          <t>ארוחת ערב</t>
        </is>
      </c>
      <c r="E233" s="60" t="n">
        <v>2</v>
      </c>
    </row>
    <row r="234">
      <c r="A234" s="58" t="n">
        <v>46325</v>
      </c>
      <c r="B234" s="59" t="inlineStr">
        <is>
          <t>יובל יצחק</t>
        </is>
      </c>
      <c r="C234" s="60" t="inlineStr">
        <is>
          <t>תורנות שבת</t>
        </is>
      </c>
      <c r="D234" s="59" t="inlineStr">
        <is>
          <t>ארוחת ערב</t>
        </is>
      </c>
      <c r="E234" s="60" t="n">
        <v>2</v>
      </c>
    </row>
    <row r="235">
      <c r="A235" s="58" t="n">
        <v>46325</v>
      </c>
      <c r="B235" s="59" t="inlineStr">
        <is>
          <t>יונתן לירז</t>
        </is>
      </c>
      <c r="C235" s="60" t="inlineStr">
        <is>
          <t>תורנות שבת</t>
        </is>
      </c>
      <c r="D235" s="59" t="inlineStr">
        <is>
          <t>ארוחת ערב</t>
        </is>
      </c>
      <c r="E235" s="60" t="n">
        <v>2</v>
      </c>
    </row>
    <row r="236">
      <c r="A236" s="58" t="n">
        <v>46325</v>
      </c>
      <c r="B236" s="59" t="inlineStr">
        <is>
          <t>רוני כהן</t>
        </is>
      </c>
      <c r="C236" s="60" t="inlineStr">
        <is>
          <t>תורנות שבת</t>
        </is>
      </c>
      <c r="D236" s="59" t="inlineStr">
        <is>
          <t>ארוחת ערב</t>
        </is>
      </c>
      <c r="E236" s="60" t="n">
        <v>2</v>
      </c>
    </row>
    <row r="237">
      <c r="A237" s="58" t="n">
        <v>46325</v>
      </c>
      <c r="B237" s="59" t="inlineStr">
        <is>
          <t>הלל פינגולד</t>
        </is>
      </c>
      <c r="C237" s="60" t="inlineStr">
        <is>
          <t>תורנות שבת</t>
        </is>
      </c>
      <c r="D237" s="59" t="inlineStr">
        <is>
          <t>ארוחת צהריים שבת</t>
        </is>
      </c>
      <c r="E237" s="60" t="n">
        <v>2</v>
      </c>
    </row>
    <row r="238">
      <c r="A238" s="58" t="n">
        <v>46325</v>
      </c>
      <c r="B238" s="59" t="inlineStr">
        <is>
          <t>יותם ספיר</t>
        </is>
      </c>
      <c r="C238" s="60" t="inlineStr">
        <is>
          <t>תורנות שבת</t>
        </is>
      </c>
      <c r="D238" s="59" t="inlineStr">
        <is>
          <t>ארוחת צהריים שבת</t>
        </is>
      </c>
      <c r="E238" s="60" t="n">
        <v>2</v>
      </c>
    </row>
    <row r="239">
      <c r="A239" s="58" t="n">
        <v>46325</v>
      </c>
      <c r="B239" s="59" t="inlineStr">
        <is>
          <t>ליבי בוכריס</t>
        </is>
      </c>
      <c r="C239" s="60" t="inlineStr">
        <is>
          <t>תורנות שבת</t>
        </is>
      </c>
      <c r="D239" s="59" t="inlineStr">
        <is>
          <t>ארוחת צהריים שבת</t>
        </is>
      </c>
      <c r="E239" s="60" t="n">
        <v>2</v>
      </c>
    </row>
    <row r="240">
      <c r="A240" s="58" t="n">
        <v>46325</v>
      </c>
      <c r="B240" s="59" t="inlineStr">
        <is>
          <t>ניצן גמלא</t>
        </is>
      </c>
      <c r="C240" s="60" t="inlineStr">
        <is>
          <t>תורנות שבת</t>
        </is>
      </c>
      <c r="D240" s="59" t="inlineStr">
        <is>
          <t>ארוחת צהריים שבת</t>
        </is>
      </c>
      <c r="E240" s="60" t="n">
        <v>2</v>
      </c>
    </row>
    <row r="241">
      <c r="A241" s="58" t="n">
        <v>46325</v>
      </c>
      <c r="B241" s="59" t="inlineStr">
        <is>
          <t>ניתאי שלום</t>
        </is>
      </c>
      <c r="C241" s="60" t="inlineStr">
        <is>
          <t>תורנות שבת</t>
        </is>
      </c>
      <c r="D241" s="59" t="inlineStr">
        <is>
          <t>גסטרונומים</t>
        </is>
      </c>
      <c r="E241" s="60" t="n">
        <v>2</v>
      </c>
    </row>
    <row r="242">
      <c r="A242" s="58" t="n">
        <v>46325</v>
      </c>
      <c r="B242" s="59" t="inlineStr">
        <is>
          <t>שי- לי וולגמוט</t>
        </is>
      </c>
      <c r="C242" s="60" t="inlineStr">
        <is>
          <t>תורנות שבת</t>
        </is>
      </c>
      <c r="D242" s="59" t="inlineStr">
        <is>
          <t>גסטרונומים</t>
        </is>
      </c>
      <c r="E242" s="60" t="n">
        <v>2</v>
      </c>
    </row>
    <row r="243">
      <c r="A243" s="58" t="n">
        <v>46325</v>
      </c>
      <c r="B243" s="59" t="inlineStr">
        <is>
          <t>טליה קור</t>
        </is>
      </c>
      <c r="C243" s="60" t="inlineStr">
        <is>
          <t>תורנות שבת</t>
        </is>
      </c>
      <c r="D243" s="59" t="inlineStr">
        <is>
          <t>טיש</t>
        </is>
      </c>
      <c r="E243" s="60" t="n">
        <v>1</v>
      </c>
    </row>
    <row r="244">
      <c r="A244" s="58" t="n">
        <v>46325</v>
      </c>
      <c r="B244" s="59" t="inlineStr">
        <is>
          <t>עופר בביוף</t>
        </is>
      </c>
      <c r="C244" s="60" t="inlineStr">
        <is>
          <t>תורנות שבת</t>
        </is>
      </c>
      <c r="D244" s="59" t="inlineStr">
        <is>
          <t>טיש</t>
        </is>
      </c>
      <c r="E244" s="60" t="n">
        <v>1</v>
      </c>
    </row>
    <row r="245">
      <c r="A245" s="58" t="n">
        <v>46325</v>
      </c>
      <c r="B245" s="59" t="inlineStr">
        <is>
          <t>תמר פרידמן</t>
        </is>
      </c>
      <c r="C245" s="60" t="inlineStr">
        <is>
          <t>תורנות שבת</t>
        </is>
      </c>
      <c r="D245" s="59" t="inlineStr">
        <is>
          <t>טיש</t>
        </is>
      </c>
      <c r="E245" s="60" t="n">
        <v>1</v>
      </c>
    </row>
    <row r="246">
      <c r="A246" s="58" t="n">
        <v>46325</v>
      </c>
      <c r="B246" s="59" t="inlineStr">
        <is>
          <t>אוריה תעשה</t>
        </is>
      </c>
      <c r="C246" s="60" t="inlineStr">
        <is>
          <t>תורנות שבת</t>
        </is>
      </c>
      <c r="D246" s="59" t="inlineStr">
        <is>
          <t>פינוי ארוחת ערב</t>
        </is>
      </c>
      <c r="E246" s="60" t="n">
        <v>2</v>
      </c>
    </row>
    <row r="247">
      <c r="A247" s="58" t="n">
        <v>46325</v>
      </c>
      <c r="B247" s="59" t="inlineStr">
        <is>
          <t>ארבל פרנקו</t>
        </is>
      </c>
      <c r="C247" s="60" t="inlineStr">
        <is>
          <t>תורנות שבת</t>
        </is>
      </c>
      <c r="D247" s="59" t="inlineStr">
        <is>
          <t>פינוי ארוחת ערב</t>
        </is>
      </c>
      <c r="E247" s="60" t="n">
        <v>2</v>
      </c>
    </row>
    <row r="248">
      <c r="A248" s="58" t="n">
        <v>46325</v>
      </c>
      <c r="B248" s="59" t="inlineStr">
        <is>
          <t>כליל בלאוקופף</t>
        </is>
      </c>
      <c r="C248" s="60" t="inlineStr">
        <is>
          <t>תורנות שבת</t>
        </is>
      </c>
      <c r="D248" s="59" t="inlineStr">
        <is>
          <t>פינוי ארוחת ערב</t>
        </is>
      </c>
      <c r="E248" s="60" t="n">
        <v>2</v>
      </c>
    </row>
    <row r="249">
      <c r="A249" s="58" t="n">
        <v>46325</v>
      </c>
      <c r="B249" s="59" t="inlineStr">
        <is>
          <t>משה אוברשטיין</t>
        </is>
      </c>
      <c r="C249" s="60" t="inlineStr">
        <is>
          <t>תורנות שבת</t>
        </is>
      </c>
      <c r="D249" s="59" t="inlineStr">
        <is>
          <t>פינוי ארוחת ערב</t>
        </is>
      </c>
      <c r="E249" s="60" t="n">
        <v>2</v>
      </c>
    </row>
    <row r="250">
      <c r="A250" s="58" t="n">
        <v>46325</v>
      </c>
      <c r="B250" s="59" t="inlineStr">
        <is>
          <t>נבו בלוך</t>
        </is>
      </c>
      <c r="C250" s="60" t="inlineStr">
        <is>
          <t>תורנות שבת</t>
        </is>
      </c>
      <c r="D250" s="59" t="inlineStr">
        <is>
          <t>פינוי ארוחת ערב</t>
        </is>
      </c>
      <c r="E250" s="60" t="n">
        <v>2</v>
      </c>
    </row>
    <row r="251">
      <c r="A251" s="58" t="n">
        <v>46325</v>
      </c>
      <c r="B251" s="59" t="inlineStr">
        <is>
          <t>רותם דרור</t>
        </is>
      </c>
      <c r="C251" s="60" t="inlineStr">
        <is>
          <t>תורנות שבת</t>
        </is>
      </c>
      <c r="D251" s="59" t="inlineStr">
        <is>
          <t>פינוי ארוחת ערב</t>
        </is>
      </c>
      <c r="E251" s="60" t="n">
        <v>2</v>
      </c>
    </row>
    <row r="252">
      <c r="A252" s="58" t="n">
        <v>46325</v>
      </c>
      <c r="B252" s="59" t="inlineStr">
        <is>
          <t>של״ו רובינשטיין</t>
        </is>
      </c>
      <c r="C252" s="60" t="inlineStr">
        <is>
          <t>תורנות שבת</t>
        </is>
      </c>
      <c r="D252" s="59" t="inlineStr">
        <is>
          <t>פינוי ארוחת ערב</t>
        </is>
      </c>
      <c r="E252" s="60" t="n">
        <v>2</v>
      </c>
    </row>
    <row r="253">
      <c r="A253" s="58" t="n">
        <v>46325</v>
      </c>
      <c r="B253" s="59" t="inlineStr">
        <is>
          <t>הילה עזרא</t>
        </is>
      </c>
      <c r="C253" s="60" t="inlineStr">
        <is>
          <t>תורנות שבת</t>
        </is>
      </c>
      <c r="D253" s="59" t="inlineStr">
        <is>
          <t>פינוי ארוחת צהריים וסעודה שלישית</t>
        </is>
      </c>
      <c r="E253" s="60" t="n">
        <v>2</v>
      </c>
    </row>
    <row r="254">
      <c r="A254" s="58" t="n">
        <v>46325</v>
      </c>
      <c r="B254" s="59" t="inlineStr">
        <is>
          <t>הילי אלפסי</t>
        </is>
      </c>
      <c r="C254" s="60" t="inlineStr">
        <is>
          <t>תורנות שבת</t>
        </is>
      </c>
      <c r="D254" s="59" t="inlineStr">
        <is>
          <t>פינוי ארוחת צהריים וסעודה שלישית</t>
        </is>
      </c>
      <c r="E254" s="60" t="n">
        <v>2</v>
      </c>
    </row>
    <row r="255">
      <c r="A255" s="58" t="n">
        <v>46325</v>
      </c>
      <c r="B255" s="59" t="inlineStr">
        <is>
          <t>מעיין רחל דינר</t>
        </is>
      </c>
      <c r="C255" s="60" t="inlineStr">
        <is>
          <t>תורנות שבת</t>
        </is>
      </c>
      <c r="D255" s="59" t="inlineStr">
        <is>
          <t>פינוי ארוחת צהריים וסעודה שלישית</t>
        </is>
      </c>
      <c r="E255" s="60" t="n">
        <v>2</v>
      </c>
    </row>
    <row r="256">
      <c r="A256" s="58" t="n">
        <v>46325</v>
      </c>
      <c r="B256" s="59" t="inlineStr">
        <is>
          <t>נגה שוהם</t>
        </is>
      </c>
      <c r="C256" s="60" t="inlineStr">
        <is>
          <t>תורנות שבת</t>
        </is>
      </c>
      <c r="D256" s="59" t="inlineStr">
        <is>
          <t>פינוי ארוחת צהריים וסעודה שלישית</t>
        </is>
      </c>
      <c r="E256" s="60" t="n">
        <v>2</v>
      </c>
    </row>
    <row r="257">
      <c r="A257" s="58" t="n">
        <v>46325</v>
      </c>
      <c r="B257" s="59" t="inlineStr">
        <is>
          <t>נועם ישראל קומפאס</t>
        </is>
      </c>
      <c r="C257" s="60" t="inlineStr">
        <is>
          <t>תורנות שבת</t>
        </is>
      </c>
      <c r="D257" s="59" t="inlineStr">
        <is>
          <t>פינוי ארוחת צהריים וסעודה שלישית</t>
        </is>
      </c>
      <c r="E257" s="60" t="n">
        <v>2</v>
      </c>
    </row>
    <row r="258">
      <c r="A258" s="58" t="n">
        <v>46325</v>
      </c>
      <c r="B258" s="59" t="inlineStr">
        <is>
          <t>אריאלה מרכוס</t>
        </is>
      </c>
      <c r="C258" s="60" t="inlineStr">
        <is>
          <t>תורנות שבת</t>
        </is>
      </c>
      <c r="D258" s="59" t="inlineStr">
        <is>
          <t>קידוש</t>
        </is>
      </c>
      <c r="E258" s="60" t="n">
        <v>1</v>
      </c>
    </row>
    <row r="259">
      <c r="A259" s="58" t="n">
        <v>46325</v>
      </c>
      <c r="B259" s="59" t="inlineStr">
        <is>
          <t>ליעם גבע</t>
        </is>
      </c>
      <c r="C259" s="60" t="inlineStr">
        <is>
          <t>תורנות שבת</t>
        </is>
      </c>
      <c r="D259" s="59" t="inlineStr">
        <is>
          <t>קידוש</t>
        </is>
      </c>
      <c r="E259" s="60" t="n">
        <v>1</v>
      </c>
    </row>
    <row r="260">
      <c r="A260" s="58" t="n">
        <v>46325</v>
      </c>
      <c r="B260" s="59" t="inlineStr">
        <is>
          <t>פנחס אליהו גלוסקין</t>
        </is>
      </c>
      <c r="C260" s="60" t="inlineStr">
        <is>
          <t>תורנות שבת</t>
        </is>
      </c>
      <c r="D260" s="59" t="inlineStr">
        <is>
          <t>קידוש</t>
        </is>
      </c>
      <c r="E260" s="60" t="n">
        <v>1</v>
      </c>
    </row>
    <row r="261">
      <c r="A261" s="58" t="n">
        <v>46325</v>
      </c>
      <c r="B261" s="59" t="inlineStr">
        <is>
          <t>אביה וייל</t>
        </is>
      </c>
      <c r="C261" s="60" t="inlineStr">
        <is>
          <t>תורנות שישי</t>
        </is>
      </c>
      <c r="D261" s="59" t="inlineStr">
        <is>
          <t>בית מדרש</t>
        </is>
      </c>
      <c r="E261" s="60" t="n">
        <v>3</v>
      </c>
    </row>
    <row r="262">
      <c r="A262" s="58" t="n">
        <v>46325</v>
      </c>
      <c r="B262" s="59" t="inlineStr">
        <is>
          <t>אוריה תעשה</t>
        </is>
      </c>
      <c r="C262" s="60" t="inlineStr">
        <is>
          <t>תורנות שישי</t>
        </is>
      </c>
      <c r="D262" s="59" t="inlineStr">
        <is>
          <t>בית מדרש</t>
        </is>
      </c>
      <c r="E262" s="60" t="n">
        <v>3</v>
      </c>
    </row>
    <row r="263">
      <c r="A263" s="58" t="n">
        <v>46325</v>
      </c>
      <c r="B263" s="59" t="inlineStr">
        <is>
          <t>אחיה נחמני</t>
        </is>
      </c>
      <c r="C263" s="60" t="inlineStr">
        <is>
          <t>תורנות שישי</t>
        </is>
      </c>
      <c r="D263" s="59" t="inlineStr">
        <is>
          <t>בית מדרש</t>
        </is>
      </c>
      <c r="E263" s="60" t="n">
        <v>3</v>
      </c>
    </row>
    <row r="264">
      <c r="A264" s="58" t="n">
        <v>46325</v>
      </c>
      <c r="B264" s="59" t="inlineStr">
        <is>
          <t>ארבל פרנקו</t>
        </is>
      </c>
      <c r="C264" s="60" t="inlineStr">
        <is>
          <t>תורנות שישי</t>
        </is>
      </c>
      <c r="D264" s="59" t="inlineStr">
        <is>
          <t>בית מדרש</t>
        </is>
      </c>
      <c r="E264" s="60" t="n">
        <v>3</v>
      </c>
    </row>
    <row r="265">
      <c r="A265" s="58" t="n">
        <v>46325</v>
      </c>
      <c r="B265" s="59" t="inlineStr">
        <is>
          <t>חיים שמאי</t>
        </is>
      </c>
      <c r="C265" s="60" t="inlineStr">
        <is>
          <t>תורנות שישי</t>
        </is>
      </c>
      <c r="D265" s="59" t="inlineStr">
        <is>
          <t>בית מדרש</t>
        </is>
      </c>
      <c r="E265" s="60" t="n">
        <v>3</v>
      </c>
    </row>
    <row r="266">
      <c r="A266" s="58" t="n">
        <v>46325</v>
      </c>
      <c r="B266" s="59" t="inlineStr">
        <is>
          <t>כליל בלאוקופף</t>
        </is>
      </c>
      <c r="C266" s="60" t="inlineStr">
        <is>
          <t>תורנות שישי</t>
        </is>
      </c>
      <c r="D266" s="59" t="inlineStr">
        <is>
          <t>בית מדרש</t>
        </is>
      </c>
      <c r="E266" s="60" t="n">
        <v>3</v>
      </c>
    </row>
    <row r="267">
      <c r="A267" s="58" t="n">
        <v>46325</v>
      </c>
      <c r="B267" s="59" t="inlineStr">
        <is>
          <t>נבו בלוך</t>
        </is>
      </c>
      <c r="C267" s="60" t="inlineStr">
        <is>
          <t>תורנות שישי</t>
        </is>
      </c>
      <c r="D267" s="59" t="inlineStr">
        <is>
          <t>בית מדרש</t>
        </is>
      </c>
      <c r="E267" s="60" t="n">
        <v>3</v>
      </c>
    </row>
    <row r="268">
      <c r="A268" s="58" t="n">
        <v>46325</v>
      </c>
      <c r="B268" s="59" t="inlineStr">
        <is>
          <t>נגה שוהם</t>
        </is>
      </c>
      <c r="C268" s="60" t="inlineStr">
        <is>
          <t>תורנות שישי</t>
        </is>
      </c>
      <c r="D268" s="59" t="inlineStr">
        <is>
          <t>בית מדרש</t>
        </is>
      </c>
      <c r="E268" s="60" t="n">
        <v>3</v>
      </c>
    </row>
    <row r="269">
      <c r="A269" s="58" t="n">
        <v>46325</v>
      </c>
      <c r="B269" s="59" t="inlineStr">
        <is>
          <t>ניתאי שלום</t>
        </is>
      </c>
      <c r="C269" s="60" t="inlineStr">
        <is>
          <t>תורנות שישי</t>
        </is>
      </c>
      <c r="D269" s="59" t="inlineStr">
        <is>
          <t>בית מדרש</t>
        </is>
      </c>
      <c r="E269" s="60" t="n">
        <v>3</v>
      </c>
    </row>
    <row r="270">
      <c r="A270" s="58" t="n">
        <v>46325</v>
      </c>
      <c r="B270" s="59" t="inlineStr">
        <is>
          <t>סהר שירון</t>
        </is>
      </c>
      <c r="C270" s="60" t="inlineStr">
        <is>
          <t>תורנות שישי</t>
        </is>
      </c>
      <c r="D270" s="59" t="inlineStr">
        <is>
          <t>בית מדרש</t>
        </is>
      </c>
      <c r="E270" s="60" t="n">
        <v>3</v>
      </c>
    </row>
    <row r="271">
      <c r="A271" s="58" t="n">
        <v>46325</v>
      </c>
      <c r="B271" s="59" t="inlineStr">
        <is>
          <t>עופר בביוף</t>
        </is>
      </c>
      <c r="C271" s="60" t="inlineStr">
        <is>
          <t>תורנות שישי</t>
        </is>
      </c>
      <c r="D271" s="59" t="inlineStr">
        <is>
          <t>בית מדרש</t>
        </is>
      </c>
      <c r="E271" s="60" t="n">
        <v>3</v>
      </c>
    </row>
    <row r="272">
      <c r="A272" s="58" t="n">
        <v>46325</v>
      </c>
      <c r="B272" s="59" t="inlineStr">
        <is>
          <t>שירה ספונוב</t>
        </is>
      </c>
      <c r="C272" s="60" t="inlineStr">
        <is>
          <t>תורנות שישי</t>
        </is>
      </c>
      <c r="D272" s="59" t="inlineStr">
        <is>
          <t>בית מדרש</t>
        </is>
      </c>
      <c r="E272" s="60" t="n">
        <v>3</v>
      </c>
    </row>
    <row r="273">
      <c r="A273" s="58" t="n">
        <v>46325</v>
      </c>
      <c r="B273" s="59" t="inlineStr">
        <is>
          <t>איתמר אסנהיים</t>
        </is>
      </c>
      <c r="C273" s="60" t="inlineStr">
        <is>
          <t>תורנות שישי</t>
        </is>
      </c>
      <c r="D273" s="59" t="inlineStr">
        <is>
          <t>ניקיון חדר האוכל בשישי</t>
        </is>
      </c>
      <c r="E273" s="60" t="n">
        <v>3</v>
      </c>
    </row>
    <row r="274">
      <c r="A274" s="58" t="n">
        <v>46325</v>
      </c>
      <c r="B274" s="59" t="inlineStr">
        <is>
          <t>אלה גוטליב</t>
        </is>
      </c>
      <c r="C274" s="60" t="inlineStr">
        <is>
          <t>תורנות שישי</t>
        </is>
      </c>
      <c r="D274" s="59" t="inlineStr">
        <is>
          <t>ניקיון חדר האוכל בשישי</t>
        </is>
      </c>
      <c r="E274" s="60" t="n">
        <v>3</v>
      </c>
    </row>
    <row r="275">
      <c r="A275" s="58" t="n">
        <v>46325</v>
      </c>
      <c r="B275" s="59" t="inlineStr">
        <is>
          <t>אלה מאיר</t>
        </is>
      </c>
      <c r="C275" s="60" t="inlineStr">
        <is>
          <t>תורנות שישי</t>
        </is>
      </c>
      <c r="D275" s="59" t="inlineStr">
        <is>
          <t>ניקיון חדר האוכל בשישי</t>
        </is>
      </c>
      <c r="E275" s="60" t="n">
        <v>3</v>
      </c>
    </row>
    <row r="276">
      <c r="A276" s="58" t="n">
        <v>46325</v>
      </c>
      <c r="B276" s="59" t="inlineStr">
        <is>
          <t>זואי כהן</t>
        </is>
      </c>
      <c r="C276" s="60" t="inlineStr">
        <is>
          <t>תורנות שישי</t>
        </is>
      </c>
      <c r="D276" s="59" t="inlineStr">
        <is>
          <t>ניקיון חדר האוכל בשישי</t>
        </is>
      </c>
      <c r="E276" s="60" t="n">
        <v>3</v>
      </c>
    </row>
    <row r="277">
      <c r="A277" s="58" t="n">
        <v>46325</v>
      </c>
      <c r="B277" s="59" t="inlineStr">
        <is>
          <t>ינון לוי</t>
        </is>
      </c>
      <c r="C277" s="60" t="inlineStr">
        <is>
          <t>תורנות שישי</t>
        </is>
      </c>
      <c r="D277" s="59" t="inlineStr">
        <is>
          <t>ניקיון חדר האוכל בשישי</t>
        </is>
      </c>
      <c r="E277" s="60" t="n">
        <v>3</v>
      </c>
    </row>
    <row r="278">
      <c r="A278" s="58" t="n">
        <v>46325</v>
      </c>
      <c r="B278" s="59" t="inlineStr">
        <is>
          <t>יערה ריס</t>
        </is>
      </c>
      <c r="C278" s="60" t="inlineStr">
        <is>
          <t>תורנות שישי</t>
        </is>
      </c>
      <c r="D278" s="59" t="inlineStr">
        <is>
          <t>ניקיון חדר האוכל בשישי</t>
        </is>
      </c>
      <c r="E278" s="60" t="n">
        <v>3</v>
      </c>
    </row>
    <row r="279">
      <c r="A279" s="58" t="n">
        <v>46325</v>
      </c>
      <c r="B279" s="59" t="inlineStr">
        <is>
          <t>ירדן בן שחר</t>
        </is>
      </c>
      <c r="C279" s="60" t="inlineStr">
        <is>
          <t>תורנות שישי</t>
        </is>
      </c>
      <c r="D279" s="59" t="inlineStr">
        <is>
          <t>ניקיון חדר האוכל בשישי</t>
        </is>
      </c>
      <c r="E279" s="60" t="n">
        <v>3</v>
      </c>
    </row>
    <row r="280">
      <c r="A280" s="58" t="n">
        <v>46325</v>
      </c>
      <c r="B280" s="59" t="inlineStr">
        <is>
          <t>מאיה פקטר</t>
        </is>
      </c>
      <c r="C280" s="60" t="inlineStr">
        <is>
          <t>תורנות שישי</t>
        </is>
      </c>
      <c r="D280" s="59" t="inlineStr">
        <is>
          <t>ניקיון חדר האוכל בשישי</t>
        </is>
      </c>
      <c r="E280" s="60" t="n">
        <v>3</v>
      </c>
    </row>
    <row r="281">
      <c r="A281" s="58" t="n">
        <v>46325</v>
      </c>
      <c r="B281" s="59" t="inlineStr">
        <is>
          <t>עמית סיילס</t>
        </is>
      </c>
      <c r="C281" s="60" t="inlineStr">
        <is>
          <t>תורנות שישי</t>
        </is>
      </c>
      <c r="D281" s="59" t="inlineStr">
        <is>
          <t>ניקיון חדר האוכל בשישי</t>
        </is>
      </c>
      <c r="E281" s="60" t="n">
        <v>3</v>
      </c>
    </row>
    <row r="282">
      <c r="A282" s="58" t="n">
        <v>46325</v>
      </c>
      <c r="B282" s="59" t="inlineStr">
        <is>
          <t>עמית שי אברהם</t>
        </is>
      </c>
      <c r="C282" s="60" t="inlineStr">
        <is>
          <t>תורנות שישי</t>
        </is>
      </c>
      <c r="D282" s="59" t="inlineStr">
        <is>
          <t>ניקיון חדר האוכל בשישי</t>
        </is>
      </c>
      <c r="E282" s="60" t="n">
        <v>3</v>
      </c>
    </row>
    <row r="283">
      <c r="A283" s="58" t="n">
        <v>46325</v>
      </c>
      <c r="B283" s="59" t="inlineStr">
        <is>
          <t>שחר קרן</t>
        </is>
      </c>
      <c r="C283" s="60" t="inlineStr">
        <is>
          <t>תורנות שישי</t>
        </is>
      </c>
      <c r="D283" s="59" t="inlineStr">
        <is>
          <t>ניקיון חדר האוכל בשישי</t>
        </is>
      </c>
      <c r="E283" s="60" t="n">
        <v>3</v>
      </c>
    </row>
    <row r="284">
      <c r="A284" s="58" t="n">
        <v>46325</v>
      </c>
      <c r="B284" s="59" t="inlineStr">
        <is>
          <t>שילת פילפל</t>
        </is>
      </c>
      <c r="C284" s="60" t="inlineStr">
        <is>
          <t>תורנות שישי</t>
        </is>
      </c>
      <c r="D284" s="59" t="inlineStr">
        <is>
          <t>ניקיון חדר האוכל בשישי</t>
        </is>
      </c>
      <c r="E284" s="60"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53" t="inlineStr">
        <is>
          <t>מאפים</t>
        </is>
      </c>
      <c r="B3" s="47" t="inlineStr">
        <is>
          <t>חלות</t>
        </is>
      </c>
      <c r="C3" s="53" t="inlineStr">
        <is>
          <t>10 ק"ג קמח</t>
        </is>
      </c>
      <c r="D3" s="21" t="inlineStr">
        <is>
          <t>10 ק"ג קמח, 1 קילוגרם סוכר, 200 גרם שמרים יבשים,  1.2 ליטר שמן</t>
        </is>
      </c>
      <c r="E3" s="21" t="inlineStr">
        <is>
          <t>בצק:
שמים בקערה
2.5 כוסות מים
½ כוס סוכר
2 כפות שמרים
מחכים 10 דקות עד שהשמרים מתחילים לעבוד ואז מוסיפים
קילו קמח
½ כוס שמן
1.5 כפות מלח
לשים 10 דקות ומתפיחים
הפעלת השמרים:
1. שמים בקערה את המים, הסוכר והשמרים, ומחכים 10 דקות עד שהשמרים מתחילים לעבוד.
2. לישה: מוסיפים את הקמח, השמן והמלח, ולשים היטב במשך 10 דקות עד לקבלת בצק אחיד ורך.
3. התפחה ראשונה: מכסים את הקערה במגבת ומתפיחים כ-שעה במקום חמים, עד שהבצק מכפיל את נפחו.
4. עיצוב הרצועות:
מוציאים את האוויר מהבצק ומחלקים לכדורים שווים.
מרדדים כל כדור בעזרת מערוך לעלה שטוח.
מגלגלים את העלה ההדוק מקצה לקצה ליצירת גליל/נחש.
מגלגלים את הגליל מעט על משטח העבודה עם כפות הידיים כדי להאריך אותו לרצועה אחידה (התהליך הזה מעניק לחלה מרקם ענני ומחולק יפה מבפנים).
5. קליעה והתפחה שנייה: קולעים את הרצועות לחלות, מניחים על תבנית מרופדת בנייר אפייה, מכסים במגבת ומתפיחים עוד 30–40 דקות.
6. אפייה: מברישים את החלות בעדינות בביצה טרופה, מפזרים שומשום או קצח, ואופים בתנור שחומם מראש ל-180 מעלות במשך 25–30 דקות, עד שהחלות שזופות ויפות מלמעלה ובתחתית.
7. צינון: מוציאים לרשת צינון. לכיסוי קל במגבת מיד כשהן יוצאות מהתנור לשמירה על רכות מקסימלית.</t>
        </is>
      </c>
      <c r="F3" s="21" t="inlineStr">
        <is>
          <t>שתי התפחות — להתחיל מוקדם</t>
        </is>
      </c>
    </row>
    <row r="4" ht="120" customHeight="1">
      <c r="A4" s="53" t="inlineStr">
        <is>
          <t>עוגות</t>
        </is>
      </c>
      <c r="B4" s="47" t="inlineStr">
        <is>
          <t>עוגות שמרים (קינמון ושוקולד)</t>
        </is>
      </c>
      <c r="C4" s="53"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53" t="inlineStr">
        <is>
          <t>בישול</t>
        </is>
      </c>
      <c r="B5" s="47" t="inlineStr">
        <is>
          <t>מטבוחה</t>
        </is>
      </c>
      <c r="C5" s="53" t="inlineStr">
        <is>
          <t>100 עגבניות</t>
        </is>
      </c>
      <c r="D5" s="21" t="inlineStr">
        <is>
          <t>100 עגבניות אדומות בשלות (כ-13–16 ק"ג)
4 כוסות שמן עדיף זית(כ-1 ליטר)
פלפלים אדומים (כ-3–4 ק"ג)
6 פלפלים ירוקים חריפים (כ-500–600 גרם, לפי הטעם)
22 שיני שום (כ-2 ראשי שום / כ-100 גרם)
קילו עגבניות שרי (לא חובה)</t>
        </is>
      </c>
      <c r="E5" s="21" t="inlineStr">
        <is>
          <t>חותכים את העגבניות לקוביות. אם רוצים, קולפים את העגבניות לפני.
מחממים את שמן הזית בסיר בגודל בינוני.
מוסיפים את הפלפלים (החריף והאדום) ומטגנים אותם מעל להבה גבוהה, תוך כדי ערבוב, בערך 3 דקות או עד שהתרככו.
מוסיפים את השום ומטגנים את השיניים כדקה תוך ערבוב מתמיד – אנחנו רוצים לרכך את השיניים אבל לא להשחים אותן. זהירות לא לשרוף
מוסיפים את עגבניות השרי חתוכות לרבעים וממשיכים לטגן, משהו כמו דקה נוספת, עד שהעגבניות התרככו והמיצים שלהן ממלאים את הסיר.
מוסיפים את קוביות העגבניות ומעט מים. מתבלים במעט מלח.
מביאים לרתיחה ומבשלים מעל להבה בינונית נמוכה, תוך ערבוב מדי פעם, משהו כמו שעה ורבע-וחצי (בלי לכסות) או עד שהעגבניות התרככו והתפרקו לחלוטין, כל הטעמים התמזגו והרוטב הצמטצם לבערך שליש מהכמות שהייתה בו כשהעגבניות רק הגיעו לרתיחה.
טועמים ומוסיפים מלח ופפריקה לפי הטעם.</t>
        </is>
      </c>
      <c r="F5" s="21" t="inlineStr">
        <is>
          <t>בישול ארוך — כ-4 שעות בסך הכל</t>
        </is>
      </c>
    </row>
    <row r="6" ht="120" customHeight="1">
      <c r="A6" s="53" t="inlineStr">
        <is>
          <t>עוגות</t>
        </is>
      </c>
      <c r="B6" s="47" t="inlineStr">
        <is>
          <t>עוגת דבש</t>
        </is>
      </c>
      <c r="C6" s="53"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53" t="inlineStr">
        <is>
          <t>עוגות</t>
        </is>
      </c>
      <c r="B7" s="47" t="inlineStr">
        <is>
          <t>עוגיות שוקולד צ'יפס</t>
        </is>
      </c>
      <c r="C7" s="53" t="inlineStr">
        <is>
          <t>80 עוגיות</t>
        </is>
      </c>
      <c r="D7" s="21" t="inlineStr">
        <is>
          <t>1.2 ק"ג קמח
שקית אבקת אפייה
3/4 כפית סודה לשתייה
675 גרם חמאה קרה
540 גרם סוכר חום כהה
300 גרם סוכר לבן
6 ביצים
3 כפיות תמצית וניל
990 גרם שוקולד צ'יפס</t>
        </is>
      </c>
      <c r="E7" s="21" t="inlineStr">
        <is>
          <t>בקערת המיקסר עם וו גיטרה מערבלים את קוביות החמאה עם הסוכרים עד לקבלת תערובת אחידה. מוסיפים את הביצים, בכל פעם ביצה אחת, ומערבלים היטב עד להטמעה. ומוסיפים גם את תמצית/מחית הוניל ומערבלים שוב.
לקערה נפרדת מנפים את הקמח, אבקת אפייה וסודה לשתייה. מוסיפים את המלח ומערבבים היטב.
מוסיפים את תערובת הקמח לקערת המיקסר ומערבלים רק עד שהקמח נטמע. במידת הצורך נעזרים במרית כדי לוודא שהתערובת אחידה. מוסיפים את השוקולד ומערבלים רק עד לפיזור אחיד.
יוצרים מהבצק כדורים. מניחים במרווחים גדולם במיוחד על גבי תבנית אפייה מרופדת בנייר אפייה ולא משטחים אותם. מחממים את התנור ל – 175 מעלות. אופים כ – 17 דקות ועד שהעוגיות שחומות מעט בחלקן העליון. מוציאים ומצננים מעט. העוגיות מזכירות במיוחד את העוגיות הניו יורקיות כשהן עדין חמות, אבל מצוינות גם לאחר צינון מוחלט.</t>
        </is>
      </c>
      <c r="F7" s="21" t="n"/>
    </row>
    <row r="8" ht="120" customHeight="1">
      <c r="A8" s="53" t="inlineStr">
        <is>
          <t>עוגות</t>
        </is>
      </c>
      <c r="B8" s="47" t="inlineStr">
        <is>
          <t>בראוניז ללא גלוטן</t>
        </is>
      </c>
      <c r="C8" s="53" t="inlineStr">
        <is>
          <t>כ-600 גרם שוקולד</t>
        </is>
      </c>
      <c r="D8" s="21" t="inlineStr">
        <is>
          <t>600 גרם שוקולד מריר
0.66 ליטר שמן (2.75 כוסות / 660 מ"ל)
¾3 כוסות סוכר
3 חבילות אינסטנט פודינג שוקולד או וניל לל״ג
15 ביצים שלמות</t>
        </is>
      </c>
      <c r="E8" s="21" t="inlineStr">
        <is>
          <t>1. מחממים תנור ל־170 מעלות, חום עליון ותחתון.
2. ממיסים את השוקולד המריר בפולסים קצרים במיקרוגל או מעל בן מארי. מניחים לו להתקרר מעט.
3. בקערה גדולה טורפים את הביצים והסוכר עד שהתערובת אחידה.
4. מוסיפים את השמן בהדרגה תוך כדי ערבוב.
5. מוסיפים את השוקולד המומס ומערבבים.
6. מוסיפים את אבקת הפודינג ומערבבים עד שאין גושים.
7. מחלקים לתבניות משומנות ומרופדות בנייר אפייה. ממלאים כל תבנית עד לגובה של כ־3 ס״מ.
8. אופים כ־20–30 דקות, בהתאם לגודל התבנית ולעומק הבלילה.
איך יודעים שמוכן? קיסם צריך לצאת עם פירורים לחים, אך לא עם בלילה נוזלית.
טיפים להצלחה
* אל תאפי יתר על המידה, כדי שהבראוניז לא יתייבשו.
* הניחי לעוגה להתקרר לחלוטין לפני החיתוך.
* אם את מוסיפה קמח שקדים או תערובת ללא גלוטן, צריך להתאים את הכמות למרקם הבלילה. אין צורך להוסיף את שניהם.</t>
        </is>
      </c>
      <c r="F8" s="21" t="inlineStr">
        <is>
          <t>ללא גלוטן — לוודא שכל המצרכים מסומנים</t>
        </is>
      </c>
    </row>
    <row r="9" ht="120" customHeight="1">
      <c r="A9" s="53" t="inlineStr">
        <is>
          <t>סלטים</t>
        </is>
      </c>
      <c r="B9" s="47" t="inlineStr">
        <is>
          <t>סלט חצילים קלויים</t>
        </is>
      </c>
      <c r="C9" s="53"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53" t="inlineStr">
        <is>
          <t>סלטים</t>
        </is>
      </c>
      <c r="B10" s="47" t="inlineStr">
        <is>
          <t>סלט כרוב מרענן</t>
        </is>
      </c>
      <c r="C10" s="53"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53" t="inlineStr">
        <is>
          <t>סלטים</t>
        </is>
      </c>
      <c r="B11" s="47" t="inlineStr">
        <is>
          <t>סלט טחינה ביתית</t>
        </is>
      </c>
      <c r="C11" s="53"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53" t="n"/>
      <c r="B12" s="47" t="inlineStr">
        <is>
          <t>עוגת שוקולד</t>
        </is>
      </c>
      <c r="C12" s="53" t="inlineStr">
        <is>
          <t>12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53" t="n"/>
      <c r="B13" s="47" t="inlineStr">
        <is>
          <t>עוגת שמרים</t>
        </is>
      </c>
      <c r="C13" s="53"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53" t="n"/>
      <c r="B14" s="47" t="inlineStr">
        <is>
          <t>סלט חצילים</t>
        </is>
      </c>
      <c r="C14" s="53"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53" t="inlineStr">
        <is>
          <t>ארוחת צהריים שישי</t>
        </is>
      </c>
      <c r="B15" s="47" t="inlineStr">
        <is>
          <t>שקשוקה ולחם</t>
        </is>
      </c>
      <c r="C15" s="53"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53" t="inlineStr">
        <is>
          <t>בישול</t>
        </is>
      </c>
      <c r="B16" s="47" t="inlineStr">
        <is>
          <t>פסטה ברוטב עגבניות</t>
        </is>
      </c>
      <c r="C16" s="53"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53" t="n"/>
      <c r="B17" s="47" t="n"/>
      <c r="C17" s="53" t="n"/>
      <c r="D17" s="21" t="n"/>
      <c r="E17" s="21" t="n"/>
      <c r="F17" s="21" t="n"/>
    </row>
    <row r="18">
      <c r="A18" s="53" t="n"/>
      <c r="B18" s="47" t="n"/>
      <c r="C18" s="53" t="n"/>
      <c r="D18" s="21" t="n"/>
      <c r="E18" s="21" t="n"/>
      <c r="F18" s="21" t="n"/>
    </row>
    <row r="19">
      <c r="A19" s="53" t="n"/>
      <c r="B19" s="47" t="n"/>
      <c r="C19" s="53" t="n"/>
      <c r="D19" s="21" t="n"/>
      <c r="E19" s="21" t="n"/>
      <c r="F19" s="21" t="n"/>
    </row>
    <row r="20">
      <c r="A20" s="53" t="n"/>
      <c r="B20" s="47" t="n"/>
      <c r="C20" s="53" t="n"/>
      <c r="D20" s="21" t="n"/>
      <c r="E20" s="21" t="n"/>
      <c r="F20" s="21" t="n"/>
    </row>
    <row r="21">
      <c r="A21" s="53" t="n"/>
      <c r="B21" s="47" t="n"/>
      <c r="C21" s="53" t="n"/>
      <c r="D21" s="21" t="n"/>
      <c r="E21" s="21" t="n"/>
      <c r="F21" s="21" t="n"/>
    </row>
    <row r="22">
      <c r="A22" s="53" t="n"/>
      <c r="B22" s="47" t="n"/>
      <c r="C22" s="53" t="n"/>
      <c r="D22" s="21" t="n"/>
      <c r="E22" s="21" t="n"/>
      <c r="F22" s="21" t="n"/>
    </row>
    <row r="23">
      <c r="A23" s="53" t="n"/>
      <c r="B23" s="47" t="n"/>
      <c r="C23" s="53" t="n"/>
      <c r="D23" s="21" t="n"/>
      <c r="E23" s="21" t="n"/>
      <c r="F23" s="21" t="n"/>
    </row>
    <row r="24">
      <c r="A24" s="53" t="n"/>
      <c r="B24" s="47" t="n"/>
      <c r="C24" s="53" t="n"/>
      <c r="D24" s="21" t="n"/>
      <c r="E24" s="21" t="n"/>
      <c r="F24" s="21" t="n"/>
    </row>
    <row r="25">
      <c r="A25" s="53" t="n"/>
      <c r="B25" s="47" t="n"/>
      <c r="C25" s="53" t="n"/>
      <c r="D25" s="21" t="n"/>
      <c r="E25" s="21" t="n"/>
      <c r="F25" s="21" t="n"/>
    </row>
    <row r="26">
      <c r="A26" s="53" t="n"/>
      <c r="B26" s="47" t="n"/>
      <c r="C26" s="53" t="n"/>
      <c r="D26" s="21" t="n"/>
      <c r="E26" s="21" t="n"/>
      <c r="F26" s="21" t="n"/>
    </row>
    <row r="27">
      <c r="A27" s="53" t="n"/>
      <c r="B27" s="47" t="n"/>
      <c r="C27" s="53" t="n"/>
      <c r="D27" s="21" t="n"/>
      <c r="E27" s="21" t="n"/>
      <c r="F27" s="21" t="n"/>
    </row>
    <row r="28">
      <c r="A28" s="53" t="n"/>
      <c r="B28" s="47" t="n"/>
      <c r="C28" s="53" t="n"/>
      <c r="D28" s="21" t="n"/>
      <c r="E28" s="21" t="n"/>
      <c r="F28" s="21" t="n"/>
    </row>
    <row r="29">
      <c r="A29" s="53" t="n"/>
      <c r="B29" s="47" t="n"/>
      <c r="C29" s="53" t="n"/>
      <c r="D29" s="21" t="n"/>
      <c r="E29" s="21" t="n"/>
      <c r="F29" s="21" t="n"/>
    </row>
    <row r="30">
      <c r="A30" s="53" t="n"/>
      <c r="B30" s="47" t="n"/>
      <c r="C30" s="53" t="n"/>
      <c r="D30" s="21" t="n"/>
      <c r="E30" s="21" t="n"/>
      <c r="F30" s="21" t="n"/>
    </row>
    <row r="31">
      <c r="A31" s="53" t="n"/>
      <c r="B31" s="47" t="n"/>
      <c r="C31" s="53" t="n"/>
      <c r="D31" s="21" t="n"/>
      <c r="E31" s="21" t="n"/>
      <c r="F31" s="21" t="n"/>
    </row>
    <row r="32">
      <c r="A32" s="53" t="n"/>
      <c r="B32" s="47" t="n"/>
      <c r="C32" s="53" t="n"/>
      <c r="D32" s="21" t="n"/>
      <c r="E32" s="21" t="n"/>
      <c r="F32" s="21" t="n"/>
    </row>
    <row r="33">
      <c r="A33" s="53" t="n"/>
      <c r="B33" s="47" t="n"/>
      <c r="C33" s="53" t="n"/>
      <c r="D33" s="21" t="n"/>
      <c r="E33" s="21" t="n"/>
      <c r="F33" s="21" t="n"/>
    </row>
    <row r="34">
      <c r="A34" s="53" t="n"/>
      <c r="B34" s="47" t="n"/>
      <c r="C34" s="53" t="n"/>
      <c r="D34" s="21" t="n"/>
      <c r="E34" s="21" t="n"/>
      <c r="F34" s="21" t="n"/>
    </row>
    <row r="35">
      <c r="A35" s="53" t="n"/>
      <c r="B35" s="47" t="n"/>
      <c r="C35" s="53" t="n"/>
      <c r="D35" s="21" t="n"/>
      <c r="E35" s="21" t="n"/>
      <c r="F35" s="21" t="n"/>
    </row>
    <row r="36">
      <c r="A36" s="53" t="n"/>
      <c r="B36" s="47" t="n"/>
      <c r="C36" s="53" t="n"/>
      <c r="D36" s="21" t="n"/>
      <c r="E36" s="21" t="n"/>
      <c r="F36" s="21" t="n"/>
    </row>
    <row r="37">
      <c r="A37" s="53" t="n"/>
      <c r="B37" s="47" t="n"/>
      <c r="C37" s="53" t="n"/>
      <c r="D37" s="21" t="n"/>
      <c r="E37" s="21" t="n"/>
      <c r="F37" s="21" t="n"/>
    </row>
    <row r="38">
      <c r="A38" s="53" t="n"/>
      <c r="B38" s="47" t="n"/>
      <c r="C38" s="53" t="n"/>
      <c r="D38" s="21" t="n"/>
      <c r="E38" s="21" t="n"/>
      <c r="F38" s="21" t="n"/>
    </row>
    <row r="39">
      <c r="A39" s="53" t="n"/>
      <c r="B39" s="47" t="n"/>
      <c r="C39" s="53" t="n"/>
      <c r="D39" s="21" t="n"/>
      <c r="E39" s="21" t="n"/>
      <c r="F39" s="21" t="n"/>
    </row>
    <row r="40">
      <c r="A40" s="53" t="n"/>
      <c r="B40" s="47" t="n"/>
      <c r="C40" s="53" t="n"/>
      <c r="D40" s="21" t="n"/>
      <c r="E40" s="21" t="n"/>
      <c r="F40" s="21" t="n"/>
    </row>
    <row r="41">
      <c r="A41" s="53" t="n"/>
      <c r="B41" s="47" t="n"/>
      <c r="C41" s="53" t="n"/>
      <c r="D41" s="21" t="n"/>
      <c r="E41" s="21" t="n"/>
      <c r="F41" s="21" t="n"/>
    </row>
    <row r="42">
      <c r="A42" s="53" t="n"/>
      <c r="B42" s="47" t="n"/>
      <c r="C42" s="53" t="n"/>
      <c r="D42" s="21" t="n"/>
      <c r="E42" s="21" t="n"/>
      <c r="F42" s="21" t="n"/>
    </row>
    <row r="43">
      <c r="A43" s="53" t="n"/>
      <c r="B43" s="47" t="n"/>
      <c r="C43" s="53" t="n"/>
      <c r="D43" s="21" t="n"/>
      <c r="E43" s="21" t="n"/>
      <c r="F43" s="21" t="n"/>
    </row>
    <row r="44">
      <c r="A44" s="53" t="n"/>
      <c r="B44" s="47" t="n"/>
      <c r="C44" s="53" t="n"/>
      <c r="D44" s="21" t="n"/>
      <c r="E44" s="21" t="n"/>
      <c r="F44" s="21" t="n"/>
    </row>
    <row r="45">
      <c r="A45" s="53" t="n"/>
      <c r="B45" s="47" t="n"/>
      <c r="C45" s="53" t="n"/>
      <c r="D45" s="21" t="n"/>
      <c r="E45" s="21" t="n"/>
      <c r="F45" s="21" t="n"/>
    </row>
    <row r="46">
      <c r="A46" s="53" t="n"/>
      <c r="B46" s="47" t="n"/>
      <c r="C46" s="53" t="n"/>
      <c r="D46" s="21" t="n"/>
      <c r="E46" s="21" t="n"/>
      <c r="F46" s="21" t="n"/>
    </row>
    <row r="47">
      <c r="A47" s="53" t="n"/>
      <c r="B47" s="47" t="n"/>
      <c r="C47" s="53" t="n"/>
      <c r="D47" s="21" t="n"/>
      <c r="E47" s="21" t="n"/>
      <c r="F47" s="21" t="n"/>
    </row>
    <row r="48">
      <c r="A48" s="53" t="n"/>
      <c r="B48" s="47" t="n"/>
      <c r="C48" s="53" t="n"/>
      <c r="D48" s="21" t="n"/>
      <c r="E48" s="21" t="n"/>
      <c r="F48" s="21" t="n"/>
    </row>
    <row r="49">
      <c r="A49" s="53" t="n"/>
      <c r="B49" s="47" t="n"/>
      <c r="C49" s="53" t="n"/>
      <c r="D49" s="21" t="n"/>
      <c r="E49" s="21" t="n"/>
      <c r="F49" s="21" t="n"/>
    </row>
    <row r="50">
      <c r="A50" s="53" t="n"/>
      <c r="B50" s="47" t="n"/>
      <c r="C50" s="53" t="n"/>
      <c r="D50" s="21" t="n"/>
      <c r="E50" s="21" t="n"/>
      <c r="F50" s="21" t="n"/>
    </row>
    <row r="51">
      <c r="A51" s="53" t="n"/>
      <c r="B51" s="47" t="n"/>
      <c r="C51" s="53" t="n"/>
      <c r="D51" s="21" t="n"/>
      <c r="E51" s="21" t="n"/>
      <c r="F51" s="21" t="n"/>
    </row>
    <row r="52">
      <c r="A52" s="53" t="n"/>
      <c r="B52" s="47" t="n"/>
      <c r="C52" s="53" t="n"/>
      <c r="D52" s="21" t="n"/>
      <c r="E52" s="21" t="n"/>
      <c r="F52" s="21" t="n"/>
    </row>
    <row r="53">
      <c r="A53" s="53" t="n"/>
      <c r="B53" s="47" t="n"/>
      <c r="C53" s="53" t="n"/>
      <c r="D53" s="21" t="n"/>
      <c r="E53" s="21" t="n"/>
      <c r="F53" s="21" t="n"/>
    </row>
    <row r="54">
      <c r="A54" s="53" t="n"/>
      <c r="B54" s="47" t="n"/>
      <c r="C54" s="53" t="n"/>
      <c r="D54" s="21" t="n"/>
      <c r="E54" s="21" t="n"/>
      <c r="F54" s="21" t="n"/>
    </row>
    <row r="55">
      <c r="A55" s="53" t="n"/>
      <c r="B55" s="47" t="n"/>
      <c r="C55" s="53" t="n"/>
      <c r="D55" s="21" t="n"/>
      <c r="E55" s="21" t="n"/>
      <c r="F55" s="21" t="n"/>
    </row>
    <row r="56">
      <c r="A56" s="53" t="n"/>
      <c r="B56" s="47" t="n"/>
      <c r="C56" s="53" t="n"/>
      <c r="D56" s="21" t="n"/>
      <c r="E56" s="21" t="n"/>
      <c r="F56" s="21" t="n"/>
    </row>
    <row r="57">
      <c r="A57" s="53" t="n"/>
      <c r="B57" s="47" t="n"/>
      <c r="C57" s="53" t="n"/>
      <c r="D57" s="21" t="n"/>
      <c r="E57" s="21" t="n"/>
      <c r="F57" s="21" t="n"/>
    </row>
    <row r="58">
      <c r="A58" s="53" t="n"/>
      <c r="B58" s="47" t="n"/>
      <c r="C58" s="53" t="n"/>
      <c r="D58" s="21" t="n"/>
      <c r="E58" s="21" t="n"/>
      <c r="F58" s="21" t="n"/>
    </row>
    <row r="59">
      <c r="A59" s="53" t="n"/>
      <c r="B59" s="47" t="n"/>
      <c r="C59" s="53" t="n"/>
      <c r="D59" s="21" t="n"/>
      <c r="E59" s="21" t="n"/>
      <c r="F59" s="21" t="n"/>
    </row>
    <row r="60">
      <c r="A60" s="53" t="n"/>
      <c r="B60" s="47" t="n"/>
      <c r="C60" s="53" t="n"/>
      <c r="D60" s="21" t="n"/>
      <c r="E60" s="21" t="n"/>
      <c r="F60" s="21" t="n"/>
    </row>
    <row r="61">
      <c r="A61" s="53" t="n"/>
      <c r="B61" s="47" t="n"/>
      <c r="C61" s="53" t="n"/>
      <c r="D61" s="21" t="n"/>
      <c r="E61" s="21" t="n"/>
      <c r="F61" s="21" t="n"/>
    </row>
    <row r="62">
      <c r="A62" s="53" t="n"/>
      <c r="B62" s="47" t="n"/>
      <c r="C62" s="53" t="n"/>
      <c r="D62" s="21" t="n"/>
      <c r="E62" s="21" t="n"/>
      <c r="F62" s="21" t="n"/>
    </row>
    <row r="63">
      <c r="A63" s="53" t="n"/>
      <c r="B63" s="47" t="n"/>
      <c r="C63" s="53" t="n"/>
      <c r="D63" s="21" t="n"/>
      <c r="E63" s="21" t="n"/>
      <c r="F63" s="21" t="n"/>
    </row>
    <row r="64">
      <c r="A64" s="53" t="n"/>
      <c r="B64" s="47" t="n"/>
      <c r="C64" s="53" t="n"/>
      <c r="D64" s="21" t="n"/>
      <c r="E64" s="21" t="n"/>
      <c r="F64" s="21" t="n"/>
    </row>
    <row r="65">
      <c r="A65" s="53" t="n"/>
      <c r="B65" s="47" t="n"/>
      <c r="C65" s="53" t="n"/>
      <c r="D65" s="21" t="n"/>
      <c r="E65" s="21" t="n"/>
      <c r="F65" s="21" t="n"/>
    </row>
    <row r="66">
      <c r="A66" s="53" t="n"/>
      <c r="B66" s="47" t="n"/>
      <c r="C66" s="53" t="n"/>
      <c r="D66" s="21" t="n"/>
      <c r="E66" s="21" t="n"/>
      <c r="F66" s="21" t="n"/>
    </row>
    <row r="67">
      <c r="A67" s="53" t="n"/>
      <c r="B67" s="47" t="n"/>
      <c r="C67" s="53" t="n"/>
      <c r="D67" s="21" t="n"/>
      <c r="E67" s="21" t="n"/>
      <c r="F67" s="21" t="n"/>
    </row>
    <row r="68">
      <c r="A68" s="53" t="n"/>
      <c r="B68" s="47" t="n"/>
      <c r="C68" s="53" t="n"/>
      <c r="D68" s="21" t="n"/>
      <c r="E68" s="21" t="n"/>
      <c r="F68" s="21" t="n"/>
    </row>
    <row r="69">
      <c r="A69" s="53" t="n"/>
      <c r="B69" s="47" t="n"/>
      <c r="C69" s="53" t="n"/>
      <c r="D69" s="21" t="n"/>
      <c r="E69" s="21" t="n"/>
      <c r="F69" s="21" t="n"/>
    </row>
    <row r="70">
      <c r="A70" s="53" t="n"/>
      <c r="B70" s="47" t="n"/>
      <c r="C70" s="53" t="n"/>
      <c r="D70" s="21" t="n"/>
      <c r="E70" s="21" t="n"/>
      <c r="F70" s="21" t="n"/>
    </row>
    <row r="71">
      <c r="A71" s="53" t="n"/>
      <c r="B71" s="47" t="n"/>
      <c r="C71" s="53" t="n"/>
      <c r="D71" s="21" t="n"/>
      <c r="E71" s="21" t="n"/>
      <c r="F71" s="21" t="n"/>
    </row>
    <row r="72">
      <c r="A72" s="53" t="n"/>
      <c r="B72" s="47" t="n"/>
      <c r="C72" s="53" t="n"/>
      <c r="D72" s="21" t="n"/>
      <c r="E72" s="21" t="n"/>
      <c r="F72" s="21" t="n"/>
    </row>
    <row r="73">
      <c r="A73" s="53" t="n"/>
      <c r="B73" s="47" t="n"/>
      <c r="C73" s="53" t="n"/>
      <c r="D73" s="21" t="n"/>
      <c r="E73" s="21" t="n"/>
      <c r="F73" s="21" t="n"/>
    </row>
    <row r="74">
      <c r="A74" s="53" t="n"/>
      <c r="B74" s="47" t="n"/>
      <c r="C74" s="53" t="n"/>
      <c r="D74" s="21" t="n"/>
      <c r="E74" s="21" t="n"/>
      <c r="F74" s="21" t="n"/>
    </row>
    <row r="75">
      <c r="A75" s="53" t="n"/>
      <c r="B75" s="47" t="n"/>
      <c r="C75" s="53" t="n"/>
      <c r="D75" s="21" t="n"/>
      <c r="E75" s="21" t="n"/>
      <c r="F75" s="21" t="n"/>
    </row>
    <row r="76">
      <c r="A76" s="53" t="n"/>
      <c r="B76" s="47" t="n"/>
      <c r="C76" s="53" t="n"/>
      <c r="D76" s="21" t="n"/>
      <c r="E76" s="21" t="n"/>
      <c r="F76" s="21" t="n"/>
    </row>
    <row r="77">
      <c r="A77" s="53" t="n"/>
      <c r="B77" s="47" t="n"/>
      <c r="C77" s="53" t="n"/>
      <c r="D77" s="21" t="n"/>
      <c r="E77" s="21" t="n"/>
      <c r="F77" s="21" t="n"/>
    </row>
    <row r="78">
      <c r="A78" s="53" t="n"/>
      <c r="B78" s="47" t="n"/>
      <c r="C78" s="53" t="n"/>
      <c r="D78" s="21" t="n"/>
      <c r="E78" s="21" t="n"/>
      <c r="F78" s="21" t="n"/>
    </row>
    <row r="79">
      <c r="A79" s="53" t="n"/>
      <c r="B79" s="47" t="n"/>
      <c r="C79" s="53" t="n"/>
      <c r="D79" s="21" t="n"/>
      <c r="E79" s="21" t="n"/>
      <c r="F79" s="21" t="n"/>
    </row>
    <row r="80">
      <c r="A80" s="53" t="n"/>
      <c r="B80" s="47" t="n"/>
      <c r="C80" s="53" t="n"/>
      <c r="D80" s="21" t="n"/>
      <c r="E80" s="21" t="n"/>
      <c r="F80" s="21" t="n"/>
    </row>
    <row r="81">
      <c r="A81" s="53" t="n"/>
      <c r="B81" s="47" t="n"/>
      <c r="C81" s="53" t="n"/>
      <c r="D81" s="21" t="n"/>
      <c r="E81" s="21" t="n"/>
      <c r="F81" s="21" t="n"/>
    </row>
    <row r="82">
      <c r="A82" s="53" t="n"/>
      <c r="B82" s="47" t="n"/>
      <c r="C82" s="53"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53" t="inlineStr">
        <is>
          <t>ארוחת ערב</t>
        </is>
      </c>
      <c r="B3" s="48" t="inlineStr">
        <is>
          <t>כרעיים בגריל</t>
        </is>
      </c>
      <c r="C3" s="53" t="n"/>
      <c r="D3" s="21" t="n"/>
    </row>
    <row r="4">
      <c r="A4" s="53" t="inlineStr">
        <is>
          <t>ארוחת ערב</t>
        </is>
      </c>
      <c r="B4" s="48" t="inlineStr">
        <is>
          <t>קוסקוס</t>
        </is>
      </c>
      <c r="C4" s="53" t="n"/>
      <c r="D4" s="21" t="n"/>
    </row>
    <row r="5">
      <c r="A5" s="53" t="inlineStr">
        <is>
          <t>ארוחת ערב</t>
        </is>
      </c>
      <c r="B5" s="48" t="inlineStr">
        <is>
          <t>לקט קוסקוס</t>
        </is>
      </c>
      <c r="C5" s="53" t="n"/>
      <c r="D5" s="21" t="n"/>
    </row>
    <row r="6">
      <c r="A6" s="53" t="inlineStr">
        <is>
          <t>ארוחת ערב</t>
        </is>
      </c>
      <c r="B6" s="48" t="inlineStr">
        <is>
          <t>פלאפל ממולא (טבעוני)</t>
        </is>
      </c>
      <c r="C6" s="53" t="n"/>
      <c r="D6" s="21" t="n"/>
    </row>
    <row r="7">
      <c r="A7" s="53" t="inlineStr">
        <is>
          <t>ארוחת צהריים</t>
        </is>
      </c>
      <c r="B7" s="48" t="inlineStr">
        <is>
          <t>כתף בקר בציר ירקות שורש</t>
        </is>
      </c>
      <c r="C7" s="53" t="n"/>
      <c r="D7" s="21" t="n"/>
    </row>
    <row r="8">
      <c r="A8" s="53" t="inlineStr">
        <is>
          <t>ארוחת צהריים</t>
        </is>
      </c>
      <c r="B8" s="48" t="inlineStr">
        <is>
          <t>אורז לבן</t>
        </is>
      </c>
      <c r="C8" s="53" t="n"/>
      <c r="D8" s="21" t="n"/>
    </row>
    <row r="9">
      <c r="A9" s="53" t="inlineStr">
        <is>
          <t>ארוחת צהריים</t>
        </is>
      </c>
      <c r="B9" s="48" t="inlineStr">
        <is>
          <t>שעועית ירוקה מוקפצת</t>
        </is>
      </c>
      <c r="C9" s="53" t="n"/>
      <c r="D9" s="21" t="n"/>
    </row>
    <row r="10">
      <c r="A10" s="53" t="inlineStr">
        <is>
          <t>ארוחת צהריים</t>
        </is>
      </c>
      <c r="B10" s="48" t="inlineStr">
        <is>
          <t>תפו"א ובטטה</t>
        </is>
      </c>
      <c r="C10" s="53" t="n"/>
      <c r="D10" s="21" t="n"/>
    </row>
    <row r="11">
      <c r="A11" s="53" t="inlineStr">
        <is>
          <t>ארוחת צהריים</t>
        </is>
      </c>
      <c r="B11" s="48" t="inlineStr">
        <is>
          <t>מוקפץ (טבעוני)</t>
        </is>
      </c>
      <c r="C11" s="53" t="n"/>
      <c r="D11" s="21" t="n"/>
    </row>
    <row r="12">
      <c r="A12" s="53" t="inlineStr">
        <is>
          <t>סלטים</t>
        </is>
      </c>
      <c r="B12" s="48" t="inlineStr">
        <is>
          <t>סלק מבושל</t>
        </is>
      </c>
      <c r="C12" s="53" t="n"/>
      <c r="D12" s="21" t="n"/>
    </row>
    <row r="13">
      <c r="A13" s="53" t="inlineStr">
        <is>
          <t>סלטים</t>
        </is>
      </c>
      <c r="B13" s="48" t="inlineStr">
        <is>
          <t>כרוב בתחמיץ</t>
        </is>
      </c>
      <c r="C13" s="53" t="n"/>
      <c r="D13" s="21" t="n"/>
    </row>
    <row r="14">
      <c r="A14" s="53" t="inlineStr">
        <is>
          <t>סלטים</t>
        </is>
      </c>
      <c r="B14" s="48" t="inlineStr">
        <is>
          <t>בטטה צ'ילי</t>
        </is>
      </c>
      <c r="C14" s="53" t="n"/>
      <c r="D14" s="21" t="n"/>
    </row>
    <row r="15">
      <c r="A15" s="53" t="inlineStr">
        <is>
          <t>סלטים</t>
        </is>
      </c>
      <c r="B15" s="48" t="inlineStr">
        <is>
          <t>ירקות מוחמצים</t>
        </is>
      </c>
      <c r="C15" s="53" t="n"/>
      <c r="D15" s="21" t="n"/>
    </row>
    <row r="16">
      <c r="A16" s="53" t="inlineStr">
        <is>
          <t>סלטים</t>
        </is>
      </c>
      <c r="B16" s="48" t="inlineStr">
        <is>
          <t>חומוס</t>
        </is>
      </c>
      <c r="C16" s="53" t="n"/>
      <c r="D16" s="21" t="n"/>
    </row>
    <row r="17">
      <c r="A17" s="53" t="inlineStr">
        <is>
          <t>סלטים לערב</t>
        </is>
      </c>
      <c r="B17" s="48" t="inlineStr">
        <is>
          <t>סלט כרוב מרענן</t>
        </is>
      </c>
      <c r="C17" s="53" t="n"/>
      <c r="D17" s="21" t="n"/>
    </row>
    <row r="18">
      <c r="A18" s="53" t="inlineStr">
        <is>
          <t>סלטים לערב</t>
        </is>
      </c>
      <c r="B18" s="48" t="inlineStr">
        <is>
          <t>סלט טחינה ביתית</t>
        </is>
      </c>
      <c r="C18" s="53" t="n"/>
      <c r="D18" s="21" t="n"/>
    </row>
    <row r="19">
      <c r="A19" s="53" t="inlineStr">
        <is>
          <t>סלטים לצהריים</t>
        </is>
      </c>
      <c r="B19" s="48" t="inlineStr">
        <is>
          <t>סלט כרוב מרענן</t>
        </is>
      </c>
      <c r="C19" s="53" t="n"/>
      <c r="D19" s="21" t="n"/>
    </row>
    <row r="20">
      <c r="A20" s="53" t="inlineStr">
        <is>
          <t>סלטים לצהריים</t>
        </is>
      </c>
      <c r="B20" s="48" t="inlineStr">
        <is>
          <t>סלט טחינה ביתית</t>
        </is>
      </c>
      <c r="C20" s="53" t="n"/>
      <c r="D20" s="21" t="n"/>
    </row>
    <row r="21">
      <c r="A21" s="53" t="inlineStr">
        <is>
          <t>מההכנות לערב</t>
        </is>
      </c>
      <c r="B21" s="48" t="inlineStr">
        <is>
          <t>חצי מהמטבוחה, חצי מהסלט חצילים וחצי מהחלות</t>
        </is>
      </c>
      <c r="C21" s="53" t="n"/>
      <c r="D21" s="21" t="n"/>
    </row>
    <row r="22">
      <c r="A22" s="53" t="inlineStr">
        <is>
          <t>מההכנות לצהריים</t>
        </is>
      </c>
      <c r="B22" s="48" t="inlineStr">
        <is>
          <t>חצי מהמטבוחה, חצי מהסלט חצילים וחצי מהחלות</t>
        </is>
      </c>
      <c r="C22" s="53" t="n"/>
      <c r="D22" s="21" t="n"/>
    </row>
    <row r="23">
      <c r="A23" s="53" t="inlineStr">
        <is>
          <t>טיש</t>
        </is>
      </c>
      <c r="B23" s="48" t="inlineStr">
        <is>
          <t>3 פסי עוגת שוקולד, 3 פסי עוגת שמרים</t>
        </is>
      </c>
      <c r="C23" s="53" t="n"/>
      <c r="D23" s="21" t="n"/>
    </row>
    <row r="24">
      <c r="A24" s="53" t="inlineStr">
        <is>
          <t>קידוש</t>
        </is>
      </c>
      <c r="B24" s="48" t="inlineStr">
        <is>
          <t>5 פסי עוגת שוקולד, 5 פסי עוגת שמרים</t>
        </is>
      </c>
      <c r="C24" s="53" t="n"/>
      <c r="D24" s="21" t="n"/>
    </row>
    <row r="25">
      <c r="A25" s="53" t="inlineStr">
        <is>
          <t>סעודה שלישית</t>
        </is>
      </c>
      <c r="B25" s="48" t="inlineStr">
        <is>
          <t>4 פסי עוגת שוקולד, 4 פסי עוגת שמרים</t>
        </is>
      </c>
      <c r="C25" s="53" t="n"/>
      <c r="D25" s="21" t="n"/>
    </row>
    <row r="26">
      <c r="A26" s="53" t="n"/>
      <c r="B26" s="48" t="n"/>
      <c r="C26" s="53" t="n"/>
      <c r="D26" s="21" t="n"/>
    </row>
    <row r="27">
      <c r="A27" s="53" t="n"/>
      <c r="B27" s="48" t="n"/>
      <c r="C27" s="53" t="n"/>
      <c r="D27" s="21" t="n"/>
    </row>
    <row r="28">
      <c r="A28" s="53" t="n"/>
      <c r="B28" s="48" t="n"/>
      <c r="C28" s="53" t="n"/>
      <c r="D28" s="21" t="n"/>
    </row>
    <row r="29">
      <c r="A29" s="53" t="n"/>
      <c r="B29" s="48" t="n"/>
      <c r="C29" s="53" t="n"/>
      <c r="D29" s="21" t="n"/>
    </row>
    <row r="30">
      <c r="A30" s="53" t="n"/>
      <c r="B30" s="48" t="n"/>
      <c r="C30" s="53" t="n"/>
      <c r="D30" s="21" t="n"/>
    </row>
    <row r="31">
      <c r="A31" s="53" t="n"/>
      <c r="B31" s="48" t="n"/>
      <c r="C31" s="53" t="n"/>
      <c r="D31" s="21" t="n"/>
    </row>
    <row r="32">
      <c r="A32" s="53" t="n"/>
      <c r="B32" s="48" t="n"/>
      <c r="C32" s="53" t="n"/>
      <c r="D32" s="21" t="n"/>
    </row>
    <row r="33">
      <c r="A33" s="53" t="n"/>
      <c r="B33" s="48" t="n"/>
      <c r="C33" s="53" t="n"/>
      <c r="D33" s="21" t="n"/>
    </row>
    <row r="34">
      <c r="A34" s="53" t="n"/>
      <c r="B34" s="48" t="n"/>
      <c r="C34" s="53" t="n"/>
      <c r="D34" s="21" t="n"/>
    </row>
    <row r="35">
      <c r="A35" s="53" t="n"/>
      <c r="B35" s="48" t="n"/>
      <c r="C35" s="53" t="n"/>
      <c r="D35" s="21" t="n"/>
    </row>
    <row r="36">
      <c r="A36" s="53" t="n"/>
      <c r="B36" s="48" t="n"/>
      <c r="C36" s="53" t="n"/>
      <c r="D36" s="21" t="n"/>
    </row>
    <row r="37">
      <c r="A37" s="53" t="n"/>
      <c r="B37" s="48" t="n"/>
      <c r="C37" s="53" t="n"/>
      <c r="D37" s="21" t="n"/>
    </row>
    <row r="38">
      <c r="A38" s="53" t="n"/>
      <c r="B38" s="48" t="n"/>
      <c r="C38" s="53" t="n"/>
      <c r="D38" s="21" t="n"/>
    </row>
    <row r="39">
      <c r="A39" s="53" t="n"/>
      <c r="B39" s="48" t="n"/>
      <c r="C39" s="53" t="n"/>
      <c r="D39" s="21" t="n"/>
    </row>
    <row r="40">
      <c r="A40" s="53" t="n"/>
      <c r="B40" s="48" t="n"/>
      <c r="C40" s="53" t="n"/>
      <c r="D40" s="21" t="n"/>
    </row>
    <row r="41">
      <c r="A41" s="53" t="n"/>
      <c r="B41" s="48" t="n"/>
      <c r="C41" s="53" t="n"/>
      <c r="D41" s="21" t="n"/>
    </row>
    <row r="42">
      <c r="A42" s="53" t="n"/>
      <c r="B42" s="48" t="n"/>
      <c r="C42" s="53" t="n"/>
      <c r="D42" s="21" t="n"/>
    </row>
    <row r="43">
      <c r="A43" s="53" t="n"/>
      <c r="B43" s="48" t="n"/>
      <c r="C43" s="53" t="n"/>
      <c r="D43" s="21" t="n"/>
    </row>
    <row r="44">
      <c r="A44" s="53" t="n"/>
      <c r="B44" s="48" t="n"/>
      <c r="C44" s="53" t="n"/>
      <c r="D44" s="21" t="n"/>
    </row>
    <row r="45">
      <c r="A45" s="53" t="n"/>
      <c r="B45" s="48" t="n"/>
      <c r="C45" s="53" t="n"/>
      <c r="D45" s="21" t="n"/>
    </row>
    <row r="46">
      <c r="A46" s="53" t="n"/>
      <c r="B46" s="48" t="n"/>
      <c r="C46" s="53" t="n"/>
      <c r="D46" s="21" t="n"/>
    </row>
    <row r="47">
      <c r="A47" s="53" t="n"/>
      <c r="B47" s="48" t="n"/>
      <c r="C47" s="53" t="n"/>
      <c r="D47" s="21" t="n"/>
    </row>
    <row r="48">
      <c r="A48" s="53" t="n"/>
      <c r="B48" s="48" t="n"/>
      <c r="C48" s="53" t="n"/>
      <c r="D48" s="21" t="n"/>
    </row>
    <row r="49">
      <c r="A49" s="53" t="n"/>
      <c r="B49" s="48" t="n"/>
      <c r="C49" s="53" t="n"/>
      <c r="D49" s="21" t="n"/>
    </row>
    <row r="50">
      <c r="A50" s="53" t="n"/>
      <c r="B50" s="48" t="n"/>
      <c r="C50" s="53" t="n"/>
      <c r="D50" s="21" t="n"/>
    </row>
    <row r="51">
      <c r="A51" s="53" t="n"/>
      <c r="B51" s="48" t="n"/>
      <c r="C51" s="53" t="n"/>
      <c r="D51" s="21" t="n"/>
    </row>
    <row r="52">
      <c r="A52" s="53" t="n"/>
      <c r="B52" s="48" t="n"/>
      <c r="C52" s="53"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2026-10-29T18:30:16Z</dcterms:created>
  <dcterms:modified xsi:type="dcterms:W3CDTF">2026-10-29T18:30:18Z</dcterms:modified>
</cp:coreProperties>
</file>