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9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  <border>
      <left style="thin">
        <color rgb="00C9CFD8"/>
      </left>
      <right/>
      <top/>
      <bottom/>
      <diagonal/>
    </border>
    <border>
      <left style="thin">
        <color rgb="00C9CFD8"/>
      </left>
      <right style="thin">
        <color rgb="00C9CFD8"/>
      </right>
      <top/>
      <bottom/>
      <diagonal/>
    </border>
    <border>
      <left style="thin">
        <color rgb="00C9CFD8"/>
      </left>
      <right style="thin">
        <color rgb="00C9CFD8"/>
      </right>
      <top/>
      <bottom style="thin">
        <color rgb="00C9CFD8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46283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58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58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58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58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58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58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58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58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58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58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58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58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58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58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58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58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58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58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58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58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58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58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58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58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58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58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58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58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58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58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58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58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58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58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58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58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58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58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58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58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58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58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58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58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58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58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58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58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58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58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58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58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58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58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58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58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58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58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58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58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58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58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58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58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58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58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58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58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58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58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58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58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58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58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58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58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58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58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58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58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58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58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58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58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58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58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58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58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58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58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58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58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58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58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58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58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58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58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58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58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58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58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58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58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58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58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58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58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58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58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58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58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58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58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D36:E36"/>
    <mergeCell ref="A3:F3"/>
    <mergeCell ref="D31:E31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  <c r="B3" s="57" t="n"/>
      <c r="C3" s="57" t="n"/>
      <c r="D3" s="57" t="n"/>
      <c r="E3" s="58" t="n"/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57" t="n"/>
      <c r="E5" s="58" t="n"/>
      <c r="G5">
        <f>IFERROR(INDEX('שיבוץ'!$H$3:$H$152,MATCH("חמישי — הכנות"&amp;"|"&amp;1,'שיבוץ'!$L$3:$L$152,0))&amp;"","")</f>
        <v/>
      </c>
    </row>
    <row r="6" ht="24" customHeight="1">
      <c r="A6" s="96" t="n"/>
      <c r="B6" s="96" t="n"/>
      <c r="C6" s="21">
        <f>$G6</f>
        <v/>
      </c>
      <c r="D6" s="57" t="n"/>
      <c r="E6" s="58" t="n"/>
      <c r="G6">
        <f>IFERROR(INDEX('שיבוץ'!$H$3:$H$152,MATCH("חמישי — הכנות"&amp;"|"&amp;2,'שיבוץ'!$L$3:$L$152,0))&amp;"","")</f>
        <v/>
      </c>
    </row>
    <row r="7" ht="24" customHeight="1">
      <c r="A7" s="96" t="n"/>
      <c r="B7" s="96" t="n"/>
      <c r="C7" s="21">
        <f>$G7</f>
        <v/>
      </c>
      <c r="D7" s="57" t="n"/>
      <c r="E7" s="58" t="n"/>
      <c r="G7">
        <f>IFERROR(INDEX('שיבוץ'!$H$3:$H$152,MATCH("חמישי — הכנות"&amp;"|"&amp;3,'שיבוץ'!$L$3:$L$152,0))&amp;"","")</f>
        <v/>
      </c>
    </row>
    <row r="8" ht="24" customHeight="1">
      <c r="A8" s="96" t="n"/>
      <c r="B8" s="96" t="n"/>
      <c r="C8" s="21">
        <f>$G8</f>
        <v/>
      </c>
      <c r="D8" s="57" t="n"/>
      <c r="E8" s="58" t="n"/>
      <c r="G8">
        <f>IFERROR(INDEX('שיבוץ'!$H$3:$H$152,MATCH("חמישי — הכנות"&amp;"|"&amp;4,'שיבוץ'!$L$3:$L$152,0))&amp;"","")</f>
        <v/>
      </c>
    </row>
    <row r="9" ht="24" customHeight="1">
      <c r="A9" s="97" t="n"/>
      <c r="B9" s="97" t="n"/>
      <c r="C9" s="21">
        <f>$G9</f>
        <v/>
      </c>
      <c r="D9" s="57" t="n"/>
      <c r="E9" s="58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57" t="n"/>
      <c r="E10" s="58" t="n"/>
      <c r="G10">
        <f>IFERROR(INDEX('שיבוץ'!$H$3:$H$152,MATCH("שישי — ארוחת בוקר"&amp;"|"&amp;1,'שיבוץ'!$L$3:$L$152,0))&amp;"","")</f>
        <v/>
      </c>
    </row>
    <row r="11" ht="24" customHeight="1">
      <c r="A11" s="96" t="n"/>
      <c r="B11" s="96" t="n"/>
      <c r="C11" s="21">
        <f>$G11</f>
        <v/>
      </c>
      <c r="D11" s="57" t="n"/>
      <c r="E11" s="58" t="n"/>
      <c r="G11">
        <f>IFERROR(INDEX('שיבוץ'!$H$3:$H$152,MATCH("שישי — ארוחת בוקר"&amp;"|"&amp;2,'שיבוץ'!$L$3:$L$152,0))&amp;"","")</f>
        <v/>
      </c>
    </row>
    <row r="12" ht="24" customHeight="1">
      <c r="A12" s="96" t="n"/>
      <c r="B12" s="96" t="n"/>
      <c r="C12" s="21">
        <f>$G12</f>
        <v/>
      </c>
      <c r="D12" s="57" t="n"/>
      <c r="E12" s="58" t="n"/>
      <c r="G12">
        <f>IFERROR(INDEX('שיבוץ'!$H$3:$H$152,MATCH("שישי — ארוחת בוקר"&amp;"|"&amp;3,'שיבוץ'!$L$3:$L$152,0))&amp;"","")</f>
        <v/>
      </c>
    </row>
    <row r="13" ht="24" customHeight="1">
      <c r="A13" s="96" t="n"/>
      <c r="B13" s="96" t="n"/>
      <c r="C13" s="21">
        <f>$G13</f>
        <v/>
      </c>
      <c r="D13" s="57" t="n"/>
      <c r="E13" s="58" t="n"/>
      <c r="G13">
        <f>IFERROR(INDEX('שיבוץ'!$H$3:$H$152,MATCH("שישי — ארוחת בוקר"&amp;"|"&amp;4,'שיבוץ'!$L$3:$L$152,0))&amp;"","")</f>
        <v/>
      </c>
    </row>
    <row r="14" ht="24" customHeight="1">
      <c r="A14" s="97" t="n"/>
      <c r="B14" s="97" t="n"/>
      <c r="C14" s="21">
        <f>$G14</f>
        <v/>
      </c>
      <c r="D14" s="57" t="n"/>
      <c r="E14" s="58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57" t="n"/>
      <c r="E15" s="58" t="n"/>
      <c r="G15">
        <f>IFERROR(INDEX('שיבוץ'!$H$3:$H$152,MATCH("שישי — הכנות ועבודה"&amp;"|"&amp;1,'שיבוץ'!$L$3:$L$152,0))&amp;"","")</f>
        <v/>
      </c>
    </row>
    <row r="16" ht="24" customHeight="1">
      <c r="A16" s="96" t="n"/>
      <c r="B16" s="96" t="n"/>
      <c r="C16" s="21">
        <f>$G16</f>
        <v/>
      </c>
      <c r="D16" s="57" t="n"/>
      <c r="E16" s="58" t="n"/>
      <c r="G16">
        <f>IFERROR(INDEX('שיבוץ'!$H$3:$H$152,MATCH("שישי — הכנות ועבודה"&amp;"|"&amp;2,'שיבוץ'!$L$3:$L$152,0))&amp;"","")</f>
        <v/>
      </c>
    </row>
    <row r="17" ht="24" customHeight="1">
      <c r="A17" s="96" t="n"/>
      <c r="B17" s="96" t="n"/>
      <c r="C17" s="21">
        <f>$G17</f>
        <v/>
      </c>
      <c r="D17" s="57" t="n"/>
      <c r="E17" s="58" t="n"/>
      <c r="G17">
        <f>IFERROR(INDEX('שיבוץ'!$H$3:$H$152,MATCH("שישי — הכנות ועבודה"&amp;"|"&amp;3,'שיבוץ'!$L$3:$L$152,0))&amp;"","")</f>
        <v/>
      </c>
    </row>
    <row r="18" ht="24" customHeight="1">
      <c r="A18" s="96" t="n"/>
      <c r="B18" s="96" t="n"/>
      <c r="C18" s="21">
        <f>$G18</f>
        <v/>
      </c>
      <c r="D18" s="57" t="n"/>
      <c r="E18" s="58" t="n"/>
      <c r="G18">
        <f>IFERROR(INDEX('שיבוץ'!$H$3:$H$152,MATCH("שישי — הכנות ועבודה"&amp;"|"&amp;4,'שיבוץ'!$L$3:$L$152,0))&amp;"","")</f>
        <v/>
      </c>
    </row>
    <row r="19" ht="24" customHeight="1">
      <c r="A19" s="97" t="n"/>
      <c r="B19" s="97" t="n"/>
      <c r="C19" s="21">
        <f>$G19</f>
        <v/>
      </c>
      <c r="D19" s="57" t="n"/>
      <c r="E19" s="58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57" t="n"/>
      <c r="E20" s="58" t="n"/>
      <c r="G20">
        <f>IFERROR(INDEX('שיבוץ'!$H$3:$H$152,MATCH("שישי — ארוחת צהריים"&amp;"|"&amp;1,'שיבוץ'!$L$3:$L$152,0))&amp;"","")</f>
        <v/>
      </c>
    </row>
    <row r="21" ht="24" customHeight="1">
      <c r="A21" s="96" t="n"/>
      <c r="B21" s="96" t="n"/>
      <c r="C21" s="21">
        <f>$G21</f>
        <v/>
      </c>
      <c r="D21" s="57" t="n"/>
      <c r="E21" s="58" t="n"/>
      <c r="G21">
        <f>IFERROR(INDEX('שיבוץ'!$H$3:$H$152,MATCH("שישי — ארוחת צהריים"&amp;"|"&amp;2,'שיבוץ'!$L$3:$L$152,0))&amp;"","")</f>
        <v/>
      </c>
    </row>
    <row r="22" ht="24" customHeight="1">
      <c r="A22" s="96" t="n"/>
      <c r="B22" s="96" t="n"/>
      <c r="C22" s="21">
        <f>$G22</f>
        <v/>
      </c>
      <c r="D22" s="57" t="n"/>
      <c r="E22" s="58" t="n"/>
      <c r="G22">
        <f>IFERROR(INDEX('שיבוץ'!$H$3:$H$152,MATCH("שישי — ארוחת צהריים"&amp;"|"&amp;3,'שיבוץ'!$L$3:$L$152,0))&amp;"","")</f>
        <v/>
      </c>
    </row>
    <row r="23" ht="24" customHeight="1">
      <c r="A23" s="96" t="n"/>
      <c r="B23" s="96" t="n"/>
      <c r="C23" s="21">
        <f>$G23</f>
        <v/>
      </c>
      <c r="D23" s="57" t="n"/>
      <c r="E23" s="58" t="n"/>
      <c r="G23">
        <f>IFERROR(INDEX('שיבוץ'!$H$3:$H$152,MATCH("שישי — ארוחת צהריים"&amp;"|"&amp;4,'שיבוץ'!$L$3:$L$152,0))&amp;"","")</f>
        <v/>
      </c>
    </row>
    <row r="24" ht="24" customHeight="1">
      <c r="A24" s="97" t="n"/>
      <c r="B24" s="97" t="n"/>
      <c r="C24" s="21">
        <f>$G24</f>
        <v/>
      </c>
      <c r="D24" s="57" t="n"/>
      <c r="E24" s="58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57" t="n"/>
      <c r="E25" s="58" t="n"/>
      <c r="G25">
        <f>IFERROR(INDEX('שיבוץ'!$H$3:$H$152,MATCH("קבלת שבת ישראלית"&amp;"|"&amp;1,'שיבוץ'!$L$3:$L$152,0))&amp;"","")</f>
        <v/>
      </c>
    </row>
    <row r="26" ht="24" customHeight="1">
      <c r="A26" s="96" t="n"/>
      <c r="B26" s="96" t="n"/>
      <c r="C26" s="21">
        <f>$G26</f>
        <v/>
      </c>
      <c r="D26" s="57" t="n"/>
      <c r="E26" s="58" t="n"/>
      <c r="G26">
        <f>IFERROR(INDEX('שיבוץ'!$H$3:$H$152,MATCH("קבלת שבת ישראלית"&amp;"|"&amp;2,'שיבוץ'!$L$3:$L$152,0))&amp;"","")</f>
        <v/>
      </c>
    </row>
    <row r="27" ht="24" customHeight="1">
      <c r="A27" s="96" t="n"/>
      <c r="B27" s="96" t="n"/>
      <c r="C27" s="21">
        <f>$G27</f>
        <v/>
      </c>
      <c r="D27" s="57" t="n"/>
      <c r="E27" s="58" t="n"/>
      <c r="G27">
        <f>IFERROR(INDEX('שיבוץ'!$H$3:$H$152,MATCH("קבלת שבת ישראלית"&amp;"|"&amp;3,'שיבוץ'!$L$3:$L$152,0))&amp;"","")</f>
        <v/>
      </c>
    </row>
    <row r="28" ht="24" customHeight="1">
      <c r="A28" s="96" t="n"/>
      <c r="B28" s="96" t="n"/>
      <c r="C28" s="21">
        <f>$G28</f>
        <v/>
      </c>
      <c r="D28" s="57" t="n"/>
      <c r="E28" s="58" t="n"/>
      <c r="G28">
        <f>IFERROR(INDEX('שיבוץ'!$H$3:$H$152,MATCH("קבלת שבת ישראלית"&amp;"|"&amp;4,'שיבוץ'!$L$3:$L$152,0))&amp;"","")</f>
        <v/>
      </c>
    </row>
    <row r="29" ht="24" customHeight="1">
      <c r="A29" s="97" t="n"/>
      <c r="B29" s="97" t="n"/>
      <c r="C29" s="21">
        <f>$G29</f>
        <v/>
      </c>
      <c r="D29" s="57" t="n"/>
      <c r="E29" s="58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57" t="n"/>
      <c r="E30" s="58" t="n"/>
      <c r="G30">
        <f>IFERROR(INDEX('שיבוץ'!$H$3:$H$152,MATCH("כניסת שבת"&amp;"|"&amp;1,'שיבוץ'!$L$3:$L$152,0))&amp;"","")</f>
        <v/>
      </c>
    </row>
    <row r="31" ht="24" customHeight="1">
      <c r="A31" s="96" t="n"/>
      <c r="B31" s="96" t="n"/>
      <c r="C31" s="21">
        <f>$G31</f>
        <v/>
      </c>
      <c r="D31" s="57" t="n"/>
      <c r="E31" s="58" t="n"/>
      <c r="G31">
        <f>IFERROR(INDEX('שיבוץ'!$H$3:$H$152,MATCH("כניסת שבת"&amp;"|"&amp;2,'שיבוץ'!$L$3:$L$152,0))&amp;"","")</f>
        <v/>
      </c>
    </row>
    <row r="32" ht="24" customHeight="1">
      <c r="A32" s="96" t="n"/>
      <c r="B32" s="96" t="n"/>
      <c r="C32" s="21">
        <f>$G32</f>
        <v/>
      </c>
      <c r="D32" s="57" t="n"/>
      <c r="E32" s="58" t="n"/>
      <c r="G32">
        <f>IFERROR(INDEX('שיבוץ'!$H$3:$H$152,MATCH("כניסת שבת"&amp;"|"&amp;3,'שיבוץ'!$L$3:$L$152,0))&amp;"","")</f>
        <v/>
      </c>
    </row>
    <row r="33" ht="24" customHeight="1">
      <c r="A33" s="96" t="n"/>
      <c r="B33" s="96" t="n"/>
      <c r="C33" s="21">
        <f>$G33</f>
        <v/>
      </c>
      <c r="D33" s="57" t="n"/>
      <c r="E33" s="58" t="n"/>
      <c r="G33">
        <f>IFERROR(INDEX('שיבוץ'!$H$3:$H$152,MATCH("כניסת שבת"&amp;"|"&amp;4,'שיבוץ'!$L$3:$L$152,0))&amp;"","")</f>
        <v/>
      </c>
    </row>
    <row r="34" ht="24" customHeight="1">
      <c r="A34" s="97" t="n"/>
      <c r="B34" s="97" t="n"/>
      <c r="C34" s="21">
        <f>$G34</f>
        <v/>
      </c>
      <c r="D34" s="57" t="n"/>
      <c r="E34" s="58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57" t="n"/>
      <c r="E35" s="58" t="n"/>
      <c r="G35">
        <f>IFERROR(INDEX('שיבוץ'!$H$3:$H$152,MATCH("קבלת שבת וערבית"&amp;"|"&amp;1,'שיבוץ'!$L$3:$L$152,0))&amp;"","")</f>
        <v/>
      </c>
    </row>
    <row r="36" ht="24" customHeight="1">
      <c r="A36" s="96" t="n"/>
      <c r="B36" s="96" t="n"/>
      <c r="C36" s="21">
        <f>$G36</f>
        <v/>
      </c>
      <c r="D36" s="57" t="n"/>
      <c r="E36" s="58" t="n"/>
      <c r="G36">
        <f>IFERROR(INDEX('שיבוץ'!$H$3:$H$152,MATCH("קבלת שבת וערבית"&amp;"|"&amp;2,'שיבוץ'!$L$3:$L$152,0))&amp;"","")</f>
        <v/>
      </c>
    </row>
    <row r="37" ht="24" customHeight="1">
      <c r="A37" s="96" t="n"/>
      <c r="B37" s="96" t="n"/>
      <c r="C37" s="21">
        <f>$G37</f>
        <v/>
      </c>
      <c r="D37" s="57" t="n"/>
      <c r="E37" s="58" t="n"/>
      <c r="G37">
        <f>IFERROR(INDEX('שיבוץ'!$H$3:$H$152,MATCH("קבלת שבת וערבית"&amp;"|"&amp;3,'שיבוץ'!$L$3:$L$152,0))&amp;"","")</f>
        <v/>
      </c>
    </row>
    <row r="38" ht="24" customHeight="1">
      <c r="A38" s="96" t="n"/>
      <c r="B38" s="96" t="n"/>
      <c r="C38" s="21">
        <f>$G38</f>
        <v/>
      </c>
      <c r="D38" s="57" t="n"/>
      <c r="E38" s="58" t="n"/>
      <c r="G38">
        <f>IFERROR(INDEX('שיבוץ'!$H$3:$H$152,MATCH("קבלת שבת וערבית"&amp;"|"&amp;4,'שיבוץ'!$L$3:$L$152,0))&amp;"","")</f>
        <v/>
      </c>
    </row>
    <row r="39" ht="24" customHeight="1">
      <c r="A39" s="97" t="n"/>
      <c r="B39" s="97" t="n"/>
      <c r="C39" s="21">
        <f>$G39</f>
        <v/>
      </c>
      <c r="D39" s="57" t="n"/>
      <c r="E39" s="58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57" t="n"/>
      <c r="E40" s="58" t="n"/>
      <c r="G40">
        <f>IFERROR(INDEX('שיבוץ'!$H$3:$H$152,MATCH("סעודת שבת"&amp;"|"&amp;1,'שיבוץ'!$L$3:$L$152,0))&amp;"","")</f>
        <v/>
      </c>
    </row>
    <row r="41" ht="24" customHeight="1">
      <c r="A41" s="96" t="n"/>
      <c r="B41" s="96" t="n"/>
      <c r="C41" s="21">
        <f>$G41</f>
        <v/>
      </c>
      <c r="D41" s="57" t="n"/>
      <c r="E41" s="58" t="n"/>
      <c r="G41">
        <f>IFERROR(INDEX('שיבוץ'!$H$3:$H$152,MATCH("סעודת שבת"&amp;"|"&amp;2,'שיבוץ'!$L$3:$L$152,0))&amp;"","")</f>
        <v/>
      </c>
    </row>
    <row r="42" ht="24" customHeight="1">
      <c r="A42" s="96" t="n"/>
      <c r="B42" s="96" t="n"/>
      <c r="C42" s="21">
        <f>$G42</f>
        <v/>
      </c>
      <c r="D42" s="57" t="n"/>
      <c r="E42" s="58" t="n"/>
      <c r="G42">
        <f>IFERROR(INDEX('שיבוץ'!$H$3:$H$152,MATCH("סעודת שבת"&amp;"|"&amp;3,'שיבוץ'!$L$3:$L$152,0))&amp;"","")</f>
        <v/>
      </c>
    </row>
    <row r="43" ht="24" customHeight="1">
      <c r="A43" s="96" t="n"/>
      <c r="B43" s="96" t="n"/>
      <c r="C43" s="21">
        <f>$G43</f>
        <v/>
      </c>
      <c r="D43" s="57" t="n"/>
      <c r="E43" s="58" t="n"/>
      <c r="G43">
        <f>IFERROR(INDEX('שיבוץ'!$H$3:$H$152,MATCH("סעודת שבת"&amp;"|"&amp;4,'שיבוץ'!$L$3:$L$152,0))&amp;"","")</f>
        <v/>
      </c>
    </row>
    <row r="44" ht="24" customHeight="1">
      <c r="A44" s="97" t="n"/>
      <c r="B44" s="97" t="n"/>
      <c r="C44" s="21">
        <f>$G44</f>
        <v/>
      </c>
      <c r="D44" s="57" t="n"/>
      <c r="E44" s="58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57" t="n"/>
      <c r="E45" s="58" t="n"/>
      <c r="G45">
        <f>IFERROR(INDEX('שיבוץ'!$H$3:$H$152,MATCH("טיש עם איש צוות"&amp;"|"&amp;1,'שיבוץ'!$L$3:$L$152,0))&amp;"","")</f>
        <v/>
      </c>
    </row>
    <row r="46" ht="24" customHeight="1">
      <c r="A46" s="96" t="n"/>
      <c r="B46" s="96" t="n"/>
      <c r="C46" s="21">
        <f>$G46</f>
        <v/>
      </c>
      <c r="D46" s="57" t="n"/>
      <c r="E46" s="58" t="n"/>
      <c r="G46">
        <f>IFERROR(INDEX('שיבוץ'!$H$3:$H$152,MATCH("טיש עם איש צוות"&amp;"|"&amp;2,'שיבוץ'!$L$3:$L$152,0))&amp;"","")</f>
        <v/>
      </c>
    </row>
    <row r="47" ht="24" customHeight="1">
      <c r="A47" s="96" t="n"/>
      <c r="B47" s="96" t="n"/>
      <c r="C47" s="21">
        <f>$G47</f>
        <v/>
      </c>
      <c r="D47" s="57" t="n"/>
      <c r="E47" s="58" t="n"/>
      <c r="G47">
        <f>IFERROR(INDEX('שיבוץ'!$H$3:$H$152,MATCH("טיש עם איש צוות"&amp;"|"&amp;3,'שיבוץ'!$L$3:$L$152,0))&amp;"","")</f>
        <v/>
      </c>
    </row>
    <row r="48" ht="24" customHeight="1">
      <c r="A48" s="96" t="n"/>
      <c r="B48" s="96" t="n"/>
      <c r="C48" s="21">
        <f>$G48</f>
        <v/>
      </c>
      <c r="D48" s="57" t="n"/>
      <c r="E48" s="58" t="n"/>
      <c r="G48">
        <f>IFERROR(INDEX('שיבוץ'!$H$3:$H$152,MATCH("טיש עם איש צוות"&amp;"|"&amp;4,'שיבוץ'!$L$3:$L$152,0))&amp;"","")</f>
        <v/>
      </c>
    </row>
    <row r="49" ht="24" customHeight="1">
      <c r="A49" s="97" t="n"/>
      <c r="B49" s="97" t="n"/>
      <c r="C49" s="21">
        <f>$G49</f>
        <v/>
      </c>
      <c r="D49" s="57" t="n"/>
      <c r="E49" s="58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57" t="n"/>
      <c r="E50" s="58" t="n"/>
      <c r="G50">
        <f>IFERROR(INDEX('שיבוץ'!$H$3:$H$152,MATCH("קידוש"&amp;"|"&amp;1,'שיבוץ'!$L$3:$L$152,0))&amp;"","")</f>
        <v/>
      </c>
    </row>
    <row r="51" ht="24" customHeight="1">
      <c r="A51" s="96" t="n"/>
      <c r="B51" s="96" t="n"/>
      <c r="C51" s="21">
        <f>$G51</f>
        <v/>
      </c>
      <c r="D51" s="57" t="n"/>
      <c r="E51" s="58" t="n"/>
      <c r="G51">
        <f>IFERROR(INDEX('שיבוץ'!$H$3:$H$152,MATCH("קידוש"&amp;"|"&amp;2,'שיבוץ'!$L$3:$L$152,0))&amp;"","")</f>
        <v/>
      </c>
    </row>
    <row r="52" ht="24" customHeight="1">
      <c r="A52" s="96" t="n"/>
      <c r="B52" s="96" t="n"/>
      <c r="C52" s="21">
        <f>$G52</f>
        <v/>
      </c>
      <c r="D52" s="57" t="n"/>
      <c r="E52" s="58" t="n"/>
      <c r="G52">
        <f>IFERROR(INDEX('שיבוץ'!$H$3:$H$152,MATCH("קידוש"&amp;"|"&amp;3,'שיבוץ'!$L$3:$L$152,0))&amp;"","")</f>
        <v/>
      </c>
    </row>
    <row r="53" ht="24" customHeight="1">
      <c r="A53" s="96" t="n"/>
      <c r="B53" s="96" t="n"/>
      <c r="C53" s="21">
        <f>$G53</f>
        <v/>
      </c>
      <c r="D53" s="57" t="n"/>
      <c r="E53" s="58" t="n"/>
      <c r="G53">
        <f>IFERROR(INDEX('שיבוץ'!$H$3:$H$152,MATCH("קידוש"&amp;"|"&amp;4,'שיבוץ'!$L$3:$L$152,0))&amp;"","")</f>
        <v/>
      </c>
    </row>
    <row r="54" ht="24" customHeight="1">
      <c r="A54" s="97" t="n"/>
      <c r="B54" s="97" t="n"/>
      <c r="C54" s="21">
        <f>$G54</f>
        <v/>
      </c>
      <c r="D54" s="57" t="n"/>
      <c r="E54" s="58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57" t="n"/>
      <c r="E55" s="58" t="n"/>
      <c r="G55">
        <f>IFERROR(INDEX('שיבוץ'!$H$3:$H$152,MATCH("חבורות חניכים"&amp;"|"&amp;1,'שיבוץ'!$L$3:$L$152,0))&amp;"","")</f>
        <v/>
      </c>
    </row>
    <row r="56" ht="24" customHeight="1">
      <c r="A56" s="96" t="n"/>
      <c r="B56" s="96" t="n"/>
      <c r="C56" s="21">
        <f>$G56</f>
        <v/>
      </c>
      <c r="D56" s="57" t="n"/>
      <c r="E56" s="58" t="n"/>
      <c r="G56">
        <f>IFERROR(INDEX('שיבוץ'!$H$3:$H$152,MATCH("חבורות חניכים"&amp;"|"&amp;2,'שיבוץ'!$L$3:$L$152,0))&amp;"","")</f>
        <v/>
      </c>
    </row>
    <row r="57" ht="24" customHeight="1">
      <c r="A57" s="96" t="n"/>
      <c r="B57" s="96" t="n"/>
      <c r="C57" s="21">
        <f>$G57</f>
        <v/>
      </c>
      <c r="D57" s="57" t="n"/>
      <c r="E57" s="58" t="n"/>
      <c r="G57">
        <f>IFERROR(INDEX('שיבוץ'!$H$3:$H$152,MATCH("חבורות חניכים"&amp;"|"&amp;3,'שיבוץ'!$L$3:$L$152,0))&amp;"","")</f>
        <v/>
      </c>
    </row>
    <row r="58" ht="24" customHeight="1">
      <c r="A58" s="96" t="n"/>
      <c r="B58" s="96" t="n"/>
      <c r="C58" s="21">
        <f>$G58</f>
        <v/>
      </c>
      <c r="D58" s="57" t="n"/>
      <c r="E58" s="58" t="n"/>
      <c r="G58">
        <f>IFERROR(INDEX('שיבוץ'!$H$3:$H$152,MATCH("חבורות חניכים"&amp;"|"&amp;4,'שיבוץ'!$L$3:$L$152,0))&amp;"","")</f>
        <v/>
      </c>
    </row>
    <row r="59" ht="24" customHeight="1">
      <c r="A59" s="97" t="n"/>
      <c r="B59" s="97" t="n"/>
      <c r="C59" s="21">
        <f>$G59</f>
        <v/>
      </c>
      <c r="D59" s="57" t="n"/>
      <c r="E59" s="58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57" t="n"/>
      <c r="E60" s="58" t="n"/>
      <c r="G60">
        <f>IFERROR(INDEX('שיבוץ'!$H$3:$H$152,MATCH("ארוחת צהריים"&amp;"|"&amp;1,'שיבוץ'!$L$3:$L$152,0))&amp;"","")</f>
        <v/>
      </c>
    </row>
    <row r="61" ht="24" customHeight="1">
      <c r="A61" s="96" t="n"/>
      <c r="B61" s="96" t="n"/>
      <c r="C61" s="21">
        <f>$G61</f>
        <v/>
      </c>
      <c r="D61" s="57" t="n"/>
      <c r="E61" s="58" t="n"/>
      <c r="G61">
        <f>IFERROR(INDEX('שיבוץ'!$H$3:$H$152,MATCH("ארוחת צהריים"&amp;"|"&amp;2,'שיבוץ'!$L$3:$L$152,0))&amp;"","")</f>
        <v/>
      </c>
    </row>
    <row r="62" ht="24" customHeight="1">
      <c r="A62" s="96" t="n"/>
      <c r="B62" s="96" t="n"/>
      <c r="C62" s="21">
        <f>$G62</f>
        <v/>
      </c>
      <c r="D62" s="57" t="n"/>
      <c r="E62" s="58" t="n"/>
      <c r="G62">
        <f>IFERROR(INDEX('שיבוץ'!$H$3:$H$152,MATCH("ארוחת צהריים"&amp;"|"&amp;3,'שיבוץ'!$L$3:$L$152,0))&amp;"","")</f>
        <v/>
      </c>
    </row>
    <row r="63" ht="24" customHeight="1">
      <c r="A63" s="96" t="n"/>
      <c r="B63" s="96" t="n"/>
      <c r="C63" s="21">
        <f>$G63</f>
        <v/>
      </c>
      <c r="D63" s="57" t="n"/>
      <c r="E63" s="58" t="n"/>
      <c r="G63">
        <f>IFERROR(INDEX('שיבוץ'!$H$3:$H$152,MATCH("ארוחת צהריים"&amp;"|"&amp;4,'שיבוץ'!$L$3:$L$152,0))&amp;"","")</f>
        <v/>
      </c>
    </row>
    <row r="64" ht="24" customHeight="1">
      <c r="A64" s="97" t="n"/>
      <c r="B64" s="97" t="n"/>
      <c r="C64" s="21">
        <f>$G64</f>
        <v/>
      </c>
      <c r="D64" s="57" t="n"/>
      <c r="E64" s="58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57" t="n"/>
      <c r="E65" s="58" t="n"/>
      <c r="G65">
        <f>IFERROR(INDEX('שיבוץ'!$H$3:$H$152,MATCH("חבורה עם איש צוות"&amp;"|"&amp;1,'שיבוץ'!$L$3:$L$152,0))&amp;"","")</f>
        <v/>
      </c>
    </row>
    <row r="66" ht="24" customHeight="1">
      <c r="A66" s="96" t="n"/>
      <c r="B66" s="96" t="n"/>
      <c r="C66" s="21">
        <f>$G66</f>
        <v/>
      </c>
      <c r="D66" s="57" t="n"/>
      <c r="E66" s="58" t="n"/>
      <c r="G66">
        <f>IFERROR(INDEX('שיבוץ'!$H$3:$H$152,MATCH("חבורה עם איש צוות"&amp;"|"&amp;2,'שיבוץ'!$L$3:$L$152,0))&amp;"","")</f>
        <v/>
      </c>
    </row>
    <row r="67" ht="24" customHeight="1">
      <c r="A67" s="96" t="n"/>
      <c r="B67" s="96" t="n"/>
      <c r="C67" s="21">
        <f>$G67</f>
        <v/>
      </c>
      <c r="D67" s="57" t="n"/>
      <c r="E67" s="58" t="n"/>
      <c r="G67">
        <f>IFERROR(INDEX('שיבוץ'!$H$3:$H$152,MATCH("חבורה עם איש צוות"&amp;"|"&amp;3,'שיבוץ'!$L$3:$L$152,0))&amp;"","")</f>
        <v/>
      </c>
    </row>
    <row r="68" ht="24" customHeight="1">
      <c r="A68" s="96" t="n"/>
      <c r="B68" s="96" t="n"/>
      <c r="C68" s="21">
        <f>$G68</f>
        <v/>
      </c>
      <c r="D68" s="57" t="n"/>
      <c r="E68" s="58" t="n"/>
      <c r="G68">
        <f>IFERROR(INDEX('שיבוץ'!$H$3:$H$152,MATCH("חבורה עם איש צוות"&amp;"|"&amp;4,'שיבוץ'!$L$3:$L$152,0))&amp;"","")</f>
        <v/>
      </c>
    </row>
    <row r="69" ht="24" customHeight="1">
      <c r="A69" s="97" t="n"/>
      <c r="B69" s="97" t="n"/>
      <c r="C69" s="21">
        <f>$G69</f>
        <v/>
      </c>
      <c r="D69" s="57" t="n"/>
      <c r="E69" s="58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57" t="n"/>
      <c r="E70" s="58" t="n"/>
      <c r="G70">
        <f>IFERROR(INDEX('שיבוץ'!$H$3:$H$152,MATCH("סעודה שלישית"&amp;"|"&amp;1,'שיבוץ'!$L$3:$L$152,0))&amp;"","")</f>
        <v/>
      </c>
    </row>
    <row r="71" ht="24" customHeight="1">
      <c r="A71" s="96" t="n"/>
      <c r="B71" s="96" t="n"/>
      <c r="C71" s="21">
        <f>$G71</f>
        <v/>
      </c>
      <c r="D71" s="57" t="n"/>
      <c r="E71" s="58" t="n"/>
      <c r="G71">
        <f>IFERROR(INDEX('שיבוץ'!$H$3:$H$152,MATCH("סעודה שלישית"&amp;"|"&amp;2,'שיבוץ'!$L$3:$L$152,0))&amp;"","")</f>
        <v/>
      </c>
    </row>
    <row r="72" ht="24" customHeight="1">
      <c r="A72" s="96" t="n"/>
      <c r="B72" s="96" t="n"/>
      <c r="C72" s="21">
        <f>$G72</f>
        <v/>
      </c>
      <c r="D72" s="57" t="n"/>
      <c r="E72" s="58" t="n"/>
      <c r="G72">
        <f>IFERROR(INDEX('שיבוץ'!$H$3:$H$152,MATCH("סעודה שלישית"&amp;"|"&amp;3,'שיבוץ'!$L$3:$L$152,0))&amp;"","")</f>
        <v/>
      </c>
    </row>
    <row r="73" ht="24" customHeight="1">
      <c r="A73" s="96" t="n"/>
      <c r="B73" s="96" t="n"/>
      <c r="C73" s="21">
        <f>$G73</f>
        <v/>
      </c>
      <c r="D73" s="57" t="n"/>
      <c r="E73" s="58" t="n"/>
      <c r="G73">
        <f>IFERROR(INDEX('שיבוץ'!$H$3:$H$152,MATCH("סעודה שלישית"&amp;"|"&amp;4,'שיבוץ'!$L$3:$L$152,0))&amp;"","")</f>
        <v/>
      </c>
    </row>
    <row r="74" ht="24" customHeight="1">
      <c r="A74" s="97" t="n"/>
      <c r="B74" s="97" t="n"/>
      <c r="C74" s="21">
        <f>$G74</f>
        <v/>
      </c>
      <c r="D74" s="57" t="n"/>
      <c r="E74" s="58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57" t="n"/>
      <c r="E75" s="58" t="n"/>
      <c r="G75">
        <f>IFERROR(INDEX('שיבוץ'!$H$3:$H$152,MATCH("הבדלה"&amp;"|"&amp;1,'שיבוץ'!$L$3:$L$152,0))&amp;"","")</f>
        <v/>
      </c>
    </row>
    <row r="76" ht="24" customHeight="1">
      <c r="A76" s="96" t="n"/>
      <c r="B76" s="96" t="n"/>
      <c r="C76" s="21">
        <f>$G76</f>
        <v/>
      </c>
      <c r="D76" s="57" t="n"/>
      <c r="E76" s="58" t="n"/>
      <c r="G76">
        <f>IFERROR(INDEX('שיבוץ'!$H$3:$H$152,MATCH("הבדלה"&amp;"|"&amp;2,'שיבוץ'!$L$3:$L$152,0))&amp;"","")</f>
        <v/>
      </c>
    </row>
    <row r="77" ht="24" customHeight="1">
      <c r="A77" s="96" t="n"/>
      <c r="B77" s="96" t="n"/>
      <c r="C77" s="21">
        <f>$G77</f>
        <v/>
      </c>
      <c r="D77" s="57" t="n"/>
      <c r="E77" s="58" t="n"/>
      <c r="G77">
        <f>IFERROR(INDEX('שיבוץ'!$H$3:$H$152,MATCH("הבדלה"&amp;"|"&amp;3,'שיבוץ'!$L$3:$L$152,0))&amp;"","")</f>
        <v/>
      </c>
    </row>
    <row r="78" ht="24" customHeight="1">
      <c r="A78" s="96" t="n"/>
      <c r="B78" s="96" t="n"/>
      <c r="C78" s="21">
        <f>$G78</f>
        <v/>
      </c>
      <c r="D78" s="57" t="n"/>
      <c r="E78" s="58" t="n"/>
      <c r="G78">
        <f>IFERROR(INDEX('שיבוץ'!$H$3:$H$152,MATCH("הבדלה"&amp;"|"&amp;4,'שיבוץ'!$L$3:$L$152,0))&amp;"","")</f>
        <v/>
      </c>
    </row>
    <row r="79" ht="24" customHeight="1">
      <c r="A79" s="97" t="n"/>
      <c r="B79" s="97" t="n"/>
      <c r="C79" s="21">
        <f>$G79</f>
        <v/>
      </c>
      <c r="D79" s="57" t="n"/>
      <c r="E79" s="58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57" t="n"/>
      <c r="E80" s="58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96" t="n"/>
      <c r="B81" s="96" t="n"/>
      <c r="C81" s="21">
        <f>$G81</f>
        <v/>
      </c>
      <c r="D81" s="57" t="n"/>
      <c r="E81" s="58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96" t="n"/>
      <c r="B82" s="96" t="n"/>
      <c r="C82" s="21">
        <f>$G82</f>
        <v/>
      </c>
      <c r="D82" s="57" t="n"/>
      <c r="E82" s="58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96" t="n"/>
      <c r="B83" s="96" t="n"/>
      <c r="C83" s="21">
        <f>$G83</f>
        <v/>
      </c>
      <c r="D83" s="57" t="n"/>
      <c r="E83" s="58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97" t="n"/>
      <c r="B84" s="97" t="n"/>
      <c r="C84" s="21">
        <f>$G84</f>
        <v/>
      </c>
      <c r="D84" s="57" t="n"/>
      <c r="E84" s="58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57" t="n"/>
      <c r="E85" s="58" t="n"/>
      <c r="G85">
        <f>IFERROR(INDEX('שיבוץ'!$H$3:$H$152,MATCH("כריכה לכריכה"&amp;"|"&amp;1,'שיבוץ'!$L$3:$L$152,0))&amp;"","")</f>
        <v/>
      </c>
    </row>
    <row r="86" ht="24" customHeight="1">
      <c r="A86" s="96" t="n"/>
      <c r="B86" s="96" t="n"/>
      <c r="C86" s="21">
        <f>$G86</f>
        <v/>
      </c>
      <c r="D86" s="57" t="n"/>
      <c r="E86" s="58" t="n"/>
      <c r="G86">
        <f>IFERROR(INDEX('שיבוץ'!$H$3:$H$152,MATCH("כריכה לכריכה"&amp;"|"&amp;2,'שיבוץ'!$L$3:$L$152,0))&amp;"","")</f>
        <v/>
      </c>
    </row>
    <row r="87" ht="24" customHeight="1">
      <c r="A87" s="96" t="n"/>
      <c r="B87" s="96" t="n"/>
      <c r="C87" s="21">
        <f>$G87</f>
        <v/>
      </c>
      <c r="D87" s="57" t="n"/>
      <c r="E87" s="58" t="n"/>
      <c r="G87">
        <f>IFERROR(INDEX('שיבוץ'!$H$3:$H$152,MATCH("כריכה לכריכה"&amp;"|"&amp;3,'שיבוץ'!$L$3:$L$152,0))&amp;"","")</f>
        <v/>
      </c>
    </row>
    <row r="88" ht="24" customHeight="1">
      <c r="A88" s="96" t="n"/>
      <c r="B88" s="96" t="n"/>
      <c r="C88" s="21">
        <f>$G88</f>
        <v/>
      </c>
      <c r="D88" s="57" t="n"/>
      <c r="E88" s="58" t="n"/>
      <c r="G88">
        <f>IFERROR(INDEX('שיבוץ'!$H$3:$H$152,MATCH("כריכה לכריכה"&amp;"|"&amp;4,'שיבוץ'!$L$3:$L$152,0))&amp;"","")</f>
        <v/>
      </c>
    </row>
    <row r="89" ht="24" customHeight="1">
      <c r="A89" s="97" t="n"/>
      <c r="B89" s="97" t="n"/>
      <c r="C89" s="21">
        <f>$G89</f>
        <v/>
      </c>
      <c r="D89" s="57" t="n"/>
      <c r="E89" s="58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57" t="n"/>
      <c r="E90" s="58" t="n"/>
      <c r="G90">
        <f>IFERROR(INDEX('שיבוץ'!$H$3:$H$152,MATCH("(ללא עוגן)"&amp;"|"&amp;1,'שיבוץ'!$L$3:$L$152,0))&amp;"","")</f>
        <v/>
      </c>
    </row>
    <row r="91" ht="24" customHeight="1">
      <c r="A91" s="96" t="n"/>
      <c r="B91" s="96" t="n"/>
      <c r="C91" s="21">
        <f>$G91</f>
        <v/>
      </c>
      <c r="D91" s="57" t="n"/>
      <c r="E91" s="58" t="n"/>
      <c r="G91">
        <f>IFERROR(INDEX('שיבוץ'!$H$3:$H$152,MATCH("(ללא עוגן)"&amp;"|"&amp;2,'שיבוץ'!$L$3:$L$152,0))&amp;"","")</f>
        <v/>
      </c>
    </row>
    <row r="92" ht="24" customHeight="1">
      <c r="A92" s="96" t="n"/>
      <c r="B92" s="96" t="n"/>
      <c r="C92" s="21">
        <f>$G92</f>
        <v/>
      </c>
      <c r="D92" s="57" t="n"/>
      <c r="E92" s="58" t="n"/>
      <c r="G92">
        <f>IFERROR(INDEX('שיבוץ'!$H$3:$H$152,MATCH("(ללא עוגן)"&amp;"|"&amp;3,'שיבוץ'!$L$3:$L$152,0))&amp;"","")</f>
        <v/>
      </c>
    </row>
    <row r="93" ht="24" customHeight="1">
      <c r="A93" s="96" t="n"/>
      <c r="B93" s="96" t="n"/>
      <c r="C93" s="21">
        <f>$G93</f>
        <v/>
      </c>
      <c r="D93" s="57" t="n"/>
      <c r="E93" s="58" t="n"/>
      <c r="G93">
        <f>IFERROR(INDEX('שיבוץ'!$H$3:$H$152,MATCH("(ללא עוגן)"&amp;"|"&amp;4,'שיבוץ'!$L$3:$L$152,0))&amp;"","")</f>
        <v/>
      </c>
    </row>
    <row r="94" ht="24" customHeight="1">
      <c r="A94" s="96" t="n"/>
      <c r="B94" s="96" t="n"/>
      <c r="C94" s="21">
        <f>$G94</f>
        <v/>
      </c>
      <c r="D94" s="57" t="n"/>
      <c r="E94" s="58" t="n"/>
      <c r="G94">
        <f>IFERROR(INDEX('שיבוץ'!$H$3:$H$152,MATCH("(ללא עוגן)"&amp;"|"&amp;5,'שיבוץ'!$L$3:$L$152,0))&amp;"","")</f>
        <v/>
      </c>
    </row>
    <row r="95" ht="24" customHeight="1">
      <c r="A95" s="96" t="n"/>
      <c r="B95" s="96" t="n"/>
      <c r="C95" s="21">
        <f>$G95</f>
        <v/>
      </c>
      <c r="D95" s="57" t="n"/>
      <c r="E95" s="58" t="n"/>
      <c r="G95">
        <f>IFERROR(INDEX('שיבוץ'!$H$3:$H$152,MATCH("(ללא עוגן)"&amp;"|"&amp;6,'שיבוץ'!$L$3:$L$152,0))&amp;"","")</f>
        <v/>
      </c>
    </row>
    <row r="96" ht="24" customHeight="1">
      <c r="A96" s="96" t="n"/>
      <c r="B96" s="96" t="n"/>
      <c r="C96" s="21">
        <f>$G96</f>
        <v/>
      </c>
      <c r="D96" s="57" t="n"/>
      <c r="E96" s="58" t="n"/>
      <c r="G96">
        <f>IFERROR(INDEX('שיבוץ'!$H$3:$H$152,MATCH("(ללא עוגן)"&amp;"|"&amp;7,'שיבוץ'!$L$3:$L$152,0))&amp;"","")</f>
        <v/>
      </c>
    </row>
    <row r="97" ht="24" customHeight="1">
      <c r="A97" s="96" t="n"/>
      <c r="B97" s="96" t="n"/>
      <c r="C97" s="21">
        <f>$G97</f>
        <v/>
      </c>
      <c r="D97" s="57" t="n"/>
      <c r="E97" s="58" t="n"/>
      <c r="G97">
        <f>IFERROR(INDEX('שיבוץ'!$H$3:$H$152,MATCH("(ללא עוגן)"&amp;"|"&amp;8,'שיבוץ'!$L$3:$L$152,0))&amp;"","")</f>
        <v/>
      </c>
    </row>
    <row r="98" ht="24" customHeight="1">
      <c r="A98" s="96" t="n"/>
      <c r="B98" s="96" t="n"/>
      <c r="C98" s="21">
        <f>$G98</f>
        <v/>
      </c>
      <c r="D98" s="57" t="n"/>
      <c r="E98" s="58" t="n"/>
      <c r="G98">
        <f>IFERROR(INDEX('שיבוץ'!$H$3:$H$152,MATCH("(ללא עוגן)"&amp;"|"&amp;9,'שיבוץ'!$L$3:$L$152,0))&amp;"","")</f>
        <v/>
      </c>
    </row>
    <row r="99" ht="24" customHeight="1">
      <c r="A99" s="96" t="n"/>
      <c r="B99" s="96" t="n"/>
      <c r="C99" s="21">
        <f>$G99</f>
        <v/>
      </c>
      <c r="D99" s="57" t="n"/>
      <c r="E99" s="58" t="n"/>
      <c r="G99">
        <f>IFERROR(INDEX('שיבוץ'!$H$3:$H$152,MATCH("(ללא עוגן)"&amp;"|"&amp;10,'שיבוץ'!$L$3:$L$152,0))&amp;"","")</f>
        <v/>
      </c>
    </row>
    <row r="100" ht="24" customHeight="1">
      <c r="A100" s="96" t="n"/>
      <c r="B100" s="96" t="n"/>
      <c r="C100" s="21">
        <f>$G100</f>
        <v/>
      </c>
      <c r="D100" s="57" t="n"/>
      <c r="E100" s="58" t="n"/>
      <c r="G100">
        <f>IFERROR(INDEX('שיבוץ'!$H$3:$H$152,MATCH("(ללא עוגן)"&amp;"|"&amp;11,'שיבוץ'!$L$3:$L$152,0))&amp;"","")</f>
        <v/>
      </c>
    </row>
    <row r="101" ht="24" customHeight="1">
      <c r="A101" s="96" t="n"/>
      <c r="B101" s="96" t="n"/>
      <c r="C101" s="21">
        <f>$G101</f>
        <v/>
      </c>
      <c r="D101" s="57" t="n"/>
      <c r="E101" s="58" t="n"/>
      <c r="G101">
        <f>IFERROR(INDEX('שיבוץ'!$H$3:$H$152,MATCH("(ללא עוגן)"&amp;"|"&amp;12,'שיבוץ'!$L$3:$L$152,0))&amp;"","")</f>
        <v/>
      </c>
    </row>
    <row r="102" ht="24" customHeight="1">
      <c r="A102" s="96" t="n"/>
      <c r="B102" s="96" t="n"/>
      <c r="C102" s="21">
        <f>$G102</f>
        <v/>
      </c>
      <c r="D102" s="57" t="n"/>
      <c r="E102" s="58" t="n"/>
      <c r="G102">
        <f>IFERROR(INDEX('שיבוץ'!$H$3:$H$152,MATCH("(ללא עוגן)"&amp;"|"&amp;13,'שיבוץ'!$L$3:$L$152,0))&amp;"","")</f>
        <v/>
      </c>
    </row>
    <row r="103" ht="24" customHeight="1">
      <c r="A103" s="97" t="n"/>
      <c r="B103" s="97" t="n"/>
      <c r="C103" s="21">
        <f>$G103</f>
        <v/>
      </c>
      <c r="D103" s="57" t="n"/>
      <c r="E103" s="58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80:E80"/>
    <mergeCell ref="C31:E31"/>
    <mergeCell ref="C40:E40"/>
    <mergeCell ref="A1:E1"/>
    <mergeCell ref="C21:E21"/>
    <mergeCell ref="C51:E51"/>
    <mergeCell ref="C95:E95"/>
    <mergeCell ref="B5:B9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inlineStr">
        <is>
          <t>קבוצה 1</t>
        </is>
      </c>
      <c r="B3" s="69" t="inlineStr">
        <is>
          <t>שישי</t>
        </is>
      </c>
      <c r="C3" s="82" t="n"/>
      <c r="D3" s="70" t="inlineStr">
        <is>
          <t>הכנסת אוכל מהקייטרינג לתנור חימום — כשעתיים לפני הקידוש</t>
        </is>
      </c>
      <c r="E3" s="83">
        <f>IF($D3="","",IFERROR(INDEX('מאגר משימות'!$A$3:$A$252,MATCH($D3,'מאגר משימות'!$D$3:$D$252,0)),""))</f>
        <v/>
      </c>
      <c r="F3" s="70" t="n"/>
      <c r="G3" s="69" t="inlineStr">
        <is>
          <t>סעודת שבת</t>
        </is>
      </c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IF($A3="","",IF(COUNTIF('קבוצות'!$A$3:$A$8,$A3)=0,"⚠ שם קבוצה לא מוכר",""))</f>
        <v/>
      </c>
    </row>
    <row r="4" ht="28" customHeight="1">
      <c r="A4" s="80" t="inlineStr">
        <is>
          <t>קבוצה 1</t>
        </is>
      </c>
      <c r="B4" s="69" t="inlineStr">
        <is>
          <t>שישי</t>
        </is>
      </c>
      <c r="C4" s="82" t="n"/>
      <c r="D4" s="70" t="inlineStr">
        <is>
          <t>הוצאת האוכל מהתנור אחרי הקידוש ולפני הסעודה</t>
        </is>
      </c>
      <c r="E4" s="83">
        <f>IF($D4="","",IFERROR(INDEX('מאגר משימות'!$A$3:$A$252,MATCH($D4,'מאגר משימות'!$D$3:$D$252,0)),""))</f>
        <v/>
      </c>
      <c r="F4" s="70" t="n"/>
      <c r="G4" s="69" t="inlineStr">
        <is>
          <t>סעודת שבת</t>
        </is>
      </c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IF($A4="","",IF(COUNTIF('קבוצות'!$A$3:$A$8,$A4)=0,"⚠ שם קבוצה לא מוכר",""))</f>
        <v/>
      </c>
    </row>
    <row r="5" ht="28" customHeight="1">
      <c r="A5" s="80" t="inlineStr">
        <is>
          <t>קבוצה 1</t>
        </is>
      </c>
      <c r="B5" s="69" t="inlineStr">
        <is>
          <t>שישי</t>
        </is>
      </c>
      <c r="C5" s="82" t="n"/>
      <c r="D5" s="70" t="inlineStr">
        <is>
          <t>ארגון סלטים והכנת טחינה לשולחנות</t>
        </is>
      </c>
      <c r="E5" s="83">
        <f>IF($D5="","",IFERROR(INDEX('מאגר משימות'!$A$3:$A$252,MATCH($D5,'מאגר משימות'!$D$3:$D$252,0)),""))</f>
        <v/>
      </c>
      <c r="F5" s="70" t="n"/>
      <c r="G5" s="69" t="inlineStr">
        <is>
          <t>סעודת שבת</t>
        </is>
      </c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IF($A5="","",IF(COUNTIF('קבוצות'!$A$3:$A$8,$A5)=0,"⚠ שם קבוצה לא מוכר",""))</f>
        <v/>
      </c>
    </row>
    <row r="6" ht="28" customHeight="1">
      <c r="A6" s="80" t="inlineStr">
        <is>
          <t>קבוצה 1</t>
        </is>
      </c>
      <c r="B6" s="69" t="inlineStr">
        <is>
          <t>שישי</t>
        </is>
      </c>
      <c r="C6" s="82" t="n"/>
      <c r="D6" s="70" t="inlineStr">
        <is>
          <t>עריכת שולחנות — כפות הגשה וחלוקת סלטים</t>
        </is>
      </c>
      <c r="E6" s="83">
        <f>IF($D6="","",IFERROR(INDEX('מאגר משימות'!$A$3:$A$252,MATCH($D6,'מאגר משימות'!$D$3:$D$252,0)),""))</f>
        <v/>
      </c>
      <c r="F6" s="70" t="n"/>
      <c r="G6" s="69" t="inlineStr">
        <is>
          <t>סעודת שבת</t>
        </is>
      </c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IF($A6="","",IF(COUNTIF('קבוצות'!$A$3:$A$8,$A6)=0,"⚠ שם קבוצה לא מוכר",""))</f>
        <v/>
      </c>
    </row>
    <row r="7" ht="28" customHeight="1">
      <c r="A7" s="80" t="inlineStr">
        <is>
          <t>קבוצה 1</t>
        </is>
      </c>
      <c r="B7" s="69" t="inlineStr">
        <is>
          <t>שישי</t>
        </is>
      </c>
      <c r="C7" s="82" t="n"/>
      <c r="D7" s="70" t="inlineStr">
        <is>
          <t>ניקיון מרחב האוכל אחרי הסעודה</t>
        </is>
      </c>
      <c r="E7" s="83">
        <f>IF($D7="","",IFERROR(INDEX('מאגר משימות'!$A$3:$A$252,MATCH($D7,'מאגר משימות'!$D$3:$D$252,0)),""))</f>
        <v/>
      </c>
      <c r="F7" s="70" t="n"/>
      <c r="G7" s="69" t="inlineStr">
        <is>
          <t>סעודת שבת</t>
        </is>
      </c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IF($A7="","",IF(COUNTIF('קבוצות'!$A$3:$A$8,$A7)=0,"⚠ שם קבוצה לא מוכר",""))</f>
        <v/>
      </c>
    </row>
    <row r="8" ht="28" customHeight="1">
      <c r="A8" s="80" t="inlineStr">
        <is>
          <t>קבוצה 1</t>
        </is>
      </c>
      <c r="B8" s="69" t="inlineStr">
        <is>
          <t>שישי</t>
        </is>
      </c>
      <c r="C8" s="82" t="n"/>
      <c r="D8" s="70" t="inlineStr">
        <is>
          <t>הפיכת בית מיכאל לבית כנסת — מחיצה, שורות כיסאות משני הצדדים, סידורים על הכיסאות, הפעלת מזגן</t>
        </is>
      </c>
      <c r="E8" s="83">
        <f>IF($D8="","",IFERROR(INDEX('מאגר משימות'!$A$3:$A$252,MATCH($D8,'מאגר משימות'!$D$3:$D$252,0)),""))</f>
        <v/>
      </c>
      <c r="F8" s="70" t="n"/>
      <c r="G8" s="69" t="inlineStr">
        <is>
          <t>קבלת שבת וערבית</t>
        </is>
      </c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IF($A8="","",IF(COUNTIF('קבוצות'!$A$3:$A$8,$A8)=0,"⚠ שם קבוצה לא מוכר",""))</f>
        <v/>
      </c>
    </row>
    <row r="9" ht="28" customHeight="1">
      <c r="A9" s="80" t="inlineStr">
        <is>
          <t>קבוצה 1</t>
        </is>
      </c>
      <c r="B9" s="69" t="inlineStr">
        <is>
          <t>שבת</t>
        </is>
      </c>
      <c r="C9" s="82" t="n"/>
      <c r="D9" s="70" t="inlineStr">
        <is>
          <t>הכנסת אוכל מהקייטרינג לתנור חימום — כשעתיים לפני ארוחת הצהריים</t>
        </is>
      </c>
      <c r="E9" s="83">
        <f>IF($D9="","",IFERROR(INDEX('מאגר משימות'!$A$3:$A$252,MATCH($D9,'מאגר משימות'!$D$3:$D$252,0)),""))</f>
        <v/>
      </c>
      <c r="F9" s="70" t="n"/>
      <c r="G9" s="69" t="inlineStr">
        <is>
          <t>ארוחת צהריים</t>
        </is>
      </c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IF($A9="","",IF(COUNTIF('קבוצות'!$A$3:$A$8,$A9)=0,"⚠ שם קבוצה לא מוכר",""))</f>
        <v/>
      </c>
    </row>
    <row r="10" ht="28" customHeight="1">
      <c r="A10" s="80" t="inlineStr">
        <is>
          <t>קבוצה 1</t>
        </is>
      </c>
      <c r="B10" s="69" t="inlineStr">
        <is>
          <t>שבת</t>
        </is>
      </c>
      <c r="C10" s="82" t="n"/>
      <c r="D10" s="70" t="inlineStr">
        <is>
          <t>עריכת שולחן לארוחת צהריים אחרי הקידוש</t>
        </is>
      </c>
      <c r="E10" s="83">
        <f>IF($D10="","",IFERROR(INDEX('מאגר משימות'!$A$3:$A$252,MATCH($D10,'מאגר משימות'!$D$3:$D$252,0)),""))</f>
        <v/>
      </c>
      <c r="F10" s="70" t="n"/>
      <c r="G10" s="69" t="inlineStr">
        <is>
          <t>ארוחת צהריים</t>
        </is>
      </c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IF($A10="","",IF(COUNTIF('קבוצות'!$A$3:$A$8,$A10)=0,"⚠ שם קבוצה לא מוכר",""))</f>
        <v/>
      </c>
    </row>
    <row r="11" ht="28" customHeight="1">
      <c r="A11" s="80" t="inlineStr">
        <is>
          <t>קבוצה 1</t>
        </is>
      </c>
      <c r="B11" s="69" t="inlineStr">
        <is>
          <t>שבת</t>
        </is>
      </c>
      <c r="C11" s="82" t="n"/>
      <c r="D11" s="70" t="inlineStr">
        <is>
          <t>חלוקת סלטים לשולחנות</t>
        </is>
      </c>
      <c r="E11" s="83">
        <f>IF($D11="","",IFERROR(INDEX('מאגר משימות'!$A$3:$A$252,MATCH($D11,'מאגר משימות'!$D$3:$D$252,0)),""))</f>
        <v/>
      </c>
      <c r="F11" s="70" t="n"/>
      <c r="G11" s="69" t="inlineStr">
        <is>
          <t>ארוחת צהריים</t>
        </is>
      </c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IF($A11="","",IF(COUNTIF('קבוצות'!$A$3:$A$8,$A11)=0,"⚠ שם קבוצה לא מוכר",""))</f>
        <v/>
      </c>
    </row>
    <row r="12" ht="28" customHeight="1">
      <c r="A12" s="80" t="inlineStr">
        <is>
          <t>קבוצה 1</t>
        </is>
      </c>
      <c r="B12" s="69" t="inlineStr">
        <is>
          <t>שבת</t>
        </is>
      </c>
      <c r="C12" s="82" t="n"/>
      <c r="D12" s="70" t="inlineStr">
        <is>
          <t>ניקיון מרחב האוכל אחרי ארוחת הצהריים</t>
        </is>
      </c>
      <c r="E12" s="83">
        <f>IF($D12="","",IFERROR(INDEX('מאגר משימות'!$A$3:$A$252,MATCH($D12,'מאגר משימות'!$D$3:$D$252,0)),""))</f>
        <v/>
      </c>
      <c r="F12" s="70" t="n"/>
      <c r="G12" s="69" t="inlineStr">
        <is>
          <t>ארוחת צהריים</t>
        </is>
      </c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IF($A12="","",IF(COUNTIF('קבוצות'!$A$3:$A$8,$A12)=0,"⚠ שם קבוצה לא מוכר",""))</f>
        <v/>
      </c>
    </row>
    <row r="13" ht="28" customHeight="1">
      <c r="A13" s="80" t="inlineStr">
        <is>
          <t>קבוצה 2</t>
        </is>
      </c>
      <c r="B13" s="69" t="inlineStr">
        <is>
          <t>שישי</t>
        </is>
      </c>
      <c r="C13" s="82" t="n"/>
      <c r="D13" s="70" t="inlineStr">
        <is>
          <t>הכנת ארוחת בוקר שישי וניקיון אחריה</t>
        </is>
      </c>
      <c r="E13" s="83">
        <f>IF($D13="","",IFERROR(INDEX('מאגר משימות'!$A$3:$A$252,MATCH($D13,'מאגר משימות'!$D$3:$D$252,0)),""))</f>
        <v/>
      </c>
      <c r="F13" s="70" t="n"/>
      <c r="G13" s="69" t="inlineStr">
        <is>
          <t>שישי — ארוחת בוקר</t>
        </is>
      </c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IF($A13="","",IF(COUNTIF('קבוצות'!$A$3:$A$8,$A13)=0,"⚠ שם קבוצה לא מוכר",""))</f>
        <v/>
      </c>
    </row>
    <row r="14" ht="28" customHeight="1">
      <c r="A14" s="80" t="inlineStr">
        <is>
          <t>קבוצה 2</t>
        </is>
      </c>
      <c r="B14" s="69" t="inlineStr">
        <is>
          <t>שישי</t>
        </is>
      </c>
      <c r="C14" s="82" t="n"/>
      <c r="D14" s="70" t="inlineStr">
        <is>
          <t>הכנת ארוחת צהריים שישי וניקיון אחריה</t>
        </is>
      </c>
      <c r="E14" s="83">
        <f>IF($D14="","",IFERROR(INDEX('מאגר משימות'!$A$3:$A$252,MATCH($D14,'מאגר משימות'!$D$3:$D$252,0)),""))</f>
        <v/>
      </c>
      <c r="F14" s="70" t="n"/>
      <c r="G14" s="69" t="inlineStr">
        <is>
          <t>שישי — ארוחת צהריים</t>
        </is>
      </c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IF($A14="","",IF(COUNTIF('קבוצות'!$A$3:$A$8,$A14)=0,"⚠ שם קבוצה לא מוכר",""))</f>
        <v/>
      </c>
    </row>
    <row r="15" ht="28" customHeight="1">
      <c r="A15" s="80" t="inlineStr">
        <is>
          <t>קבוצה 2</t>
        </is>
      </c>
      <c r="B15" s="69" t="inlineStr">
        <is>
          <t>שבת</t>
        </is>
      </c>
      <c r="C15" s="82" t="n"/>
      <c r="D15" s="70" t="inlineStr">
        <is>
          <t>הכנסת מאפים לחימום והוצאת האוכל</t>
        </is>
      </c>
      <c r="E15" s="83">
        <f>IF($D15="","",IFERROR(INDEX('מאגר משימות'!$A$3:$A$252,MATCH($D15,'מאגר משימות'!$D$3:$D$252,0)),""))</f>
        <v/>
      </c>
      <c r="F15" s="70" t="n"/>
      <c r="G15" s="69" t="inlineStr">
        <is>
          <t>סעודה שלישית</t>
        </is>
      </c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IF($A15="","",IF(COUNTIF('קבוצות'!$A$3:$A$8,$A15)=0,"⚠ שם קבוצה לא מוכר",""))</f>
        <v/>
      </c>
    </row>
    <row r="16" ht="28" customHeight="1">
      <c r="A16" s="80" t="inlineStr">
        <is>
          <t>קבוצה 2</t>
        </is>
      </c>
      <c r="B16" s="69" t="inlineStr">
        <is>
          <t>שבת</t>
        </is>
      </c>
      <c r="C16" s="82" t="n"/>
      <c r="D16" s="70" t="inlineStr">
        <is>
          <t>עריכת המרחב וסידור בסיום</t>
        </is>
      </c>
      <c r="E16" s="83">
        <f>IF($D16="","",IFERROR(INDEX('מאגר משימות'!$A$3:$A$252,MATCH($D16,'מאגר משימות'!$D$3:$D$252,0)),""))</f>
        <v/>
      </c>
      <c r="F16" s="70" t="n"/>
      <c r="G16" s="69" t="inlineStr">
        <is>
          <t>סעודה שלישית</t>
        </is>
      </c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IF($A16="","",IF(COUNTIF('קבוצות'!$A$3:$A$8,$A16)=0,"⚠ שם קבוצה לא מוכר",""))</f>
        <v/>
      </c>
    </row>
    <row r="17" ht="28" customHeight="1">
      <c r="A17" s="80" t="inlineStr">
        <is>
          <t>קבוצה 2</t>
        </is>
      </c>
      <c r="B17" s="69" t="inlineStr">
        <is>
          <t>מוצאי שבת</t>
        </is>
      </c>
      <c r="C17" s="82" t="n"/>
      <c r="D17" s="70" t="inlineStr">
        <is>
          <t>ניקיון וסידור חדר אוכל</t>
        </is>
      </c>
      <c r="E17" s="83">
        <f>IF($D17="","",IFERROR(INDEX('מאגר משימות'!$A$3:$A$252,MATCH($D17,'מאגר משימות'!$D$3:$D$252,0)),""))</f>
        <v/>
      </c>
      <c r="F17" s="70" t="n"/>
      <c r="G17" s="69" t="inlineStr">
        <is>
          <t>ניקיונות וארגון הקמפוס</t>
        </is>
      </c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IF($A17="","",IF(COUNTIF('קבוצות'!$A$3:$A$8,$A17)=0,"⚠ שם קבוצה לא מוכר",""))</f>
        <v/>
      </c>
    </row>
    <row r="18" ht="28" customHeight="1">
      <c r="A18" s="80" t="inlineStr">
        <is>
          <t>קבוצה 3</t>
        </is>
      </c>
      <c r="B18" s="69" t="inlineStr">
        <is>
          <t>שישי</t>
        </is>
      </c>
      <c r="C18" s="82" t="n"/>
      <c r="D18" s="70" t="inlineStr">
        <is>
          <t>סידור שולחנות וכיסאות לטיש</t>
        </is>
      </c>
      <c r="E18" s="83">
        <f>IF($D18="","",IFERROR(INDEX('מאגר משימות'!$A$3:$A$252,MATCH($D18,'מאגר משימות'!$D$3:$D$252,0)),""))</f>
        <v/>
      </c>
      <c r="F18" s="70" t="n"/>
      <c r="G18" s="69" t="inlineStr">
        <is>
          <t>טיש עם איש צוות</t>
        </is>
      </c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IF($A18="","",IF(COUNTIF('קבוצות'!$A$3:$A$8,$A18)=0,"⚠ שם קבוצה לא מוכר",""))</f>
        <v/>
      </c>
    </row>
    <row r="19" ht="28" customHeight="1">
      <c r="A19" s="80" t="inlineStr">
        <is>
          <t>קבוצה 3</t>
        </is>
      </c>
      <c r="B19" s="69" t="inlineStr">
        <is>
          <t>שישי</t>
        </is>
      </c>
      <c r="C19" s="82" t="n"/>
      <c r="D19" s="70" t="inlineStr">
        <is>
          <t>הבאת שתייה וסידור כוסות</t>
        </is>
      </c>
      <c r="E19" s="83">
        <f>IF($D19="","",IFERROR(INDEX('מאגר משימות'!$A$3:$A$252,MATCH($D19,'מאגר משימות'!$D$3:$D$252,0)),""))</f>
        <v/>
      </c>
      <c r="F19" s="70" t="n"/>
      <c r="G19" s="69" t="inlineStr">
        <is>
          <t>טיש עם איש צוות</t>
        </is>
      </c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IF($A19="","",IF(COUNTIF('קבוצות'!$A$3:$A$8,$A19)=0,"⚠ שם קבוצה לא מוכר",""))</f>
        <v/>
      </c>
    </row>
    <row r="20" ht="28" customHeight="1">
      <c r="A20" s="80" t="inlineStr">
        <is>
          <t>קבוצה 3</t>
        </is>
      </c>
      <c r="B20" s="69" t="inlineStr">
        <is>
          <t>שישי</t>
        </is>
      </c>
      <c r="C20" s="82" t="n"/>
      <c r="D20" s="70" t="inlineStr">
        <is>
          <t>חימום עוגות פרווה והוצאת כיבוד</t>
        </is>
      </c>
      <c r="E20" s="83">
        <f>IF($D20="","",IFERROR(INDEX('מאגר משימות'!$A$3:$A$252,MATCH($D20,'מאגר משימות'!$D$3:$D$252,0)),""))</f>
        <v/>
      </c>
      <c r="F20" s="70" t="n"/>
      <c r="G20" s="69" t="inlineStr">
        <is>
          <t>טיש עם איש צוות</t>
        </is>
      </c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IF($A20="","",IF(COUNTIF('קבוצות'!$A$3:$A$8,$A20)=0,"⚠ שם קבוצה לא מוכר",""))</f>
        <v/>
      </c>
    </row>
    <row r="21" ht="28" customHeight="1">
      <c r="A21" s="80" t="inlineStr">
        <is>
          <t>קבוצה 3</t>
        </is>
      </c>
      <c r="B21" s="69" t="inlineStr">
        <is>
          <t>שישי</t>
        </is>
      </c>
      <c r="C21" s="82" t="n"/>
      <c r="D21" s="70" t="inlineStr">
        <is>
          <t>ניקיון מלא בסיום הטיש</t>
        </is>
      </c>
      <c r="E21" s="83">
        <f>IF($D21="","",IFERROR(INDEX('מאגר משימות'!$A$3:$A$252,MATCH($D21,'מאגר משימות'!$D$3:$D$252,0)),""))</f>
        <v/>
      </c>
      <c r="F21" s="70" t="n"/>
      <c r="G21" s="69" t="inlineStr">
        <is>
          <t>טיש עם איש צוות</t>
        </is>
      </c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IF($A21="","",IF(COUNTIF('קבוצות'!$A$3:$A$8,$A21)=0,"⚠ שם קבוצה לא מוכר",""))</f>
        <v/>
      </c>
    </row>
    <row r="22" ht="28" customHeight="1">
      <c r="A22" s="80" t="inlineStr">
        <is>
          <t>קבוצה 3</t>
        </is>
      </c>
      <c r="B22" s="69" t="inlineStr">
        <is>
          <t>שישי</t>
        </is>
      </c>
      <c r="C22" s="82" t="n"/>
      <c r="D22" s="70" t="inlineStr">
        <is>
          <t>הכנת פלטות חימום והדלקתן</t>
        </is>
      </c>
      <c r="E22" s="83">
        <f>IF($D22="","",IFERROR(INDEX('מאגר משימות'!$A$3:$A$252,MATCH($D22,'מאגר משימות'!$D$3:$D$252,0)),""))</f>
        <v/>
      </c>
      <c r="F22" s="70" t="n"/>
      <c r="G22" s="69" t="inlineStr">
        <is>
          <t>שישי — הכנות ועבודה</t>
        </is>
      </c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IF($A22="","",IF(COUNTIF('קבוצות'!$A$3:$A$8,$A22)=0,"⚠ שם קבוצה לא מוכר",""))</f>
        <v/>
      </c>
    </row>
    <row r="23" ht="28" customHeight="1">
      <c r="A23" s="80" t="inlineStr">
        <is>
          <t>קבוצה 3</t>
        </is>
      </c>
      <c r="B23" s="69" t="inlineStr">
        <is>
          <t>שישי</t>
        </is>
      </c>
      <c r="C23" s="82" t="n"/>
      <c r="D23" s="70" t="inlineStr">
        <is>
          <t>הדלקת תנור החימום במטבח</t>
        </is>
      </c>
      <c r="E23" s="83">
        <f>IF($D23="","",IFERROR(INDEX('מאגר משימות'!$A$3:$A$252,MATCH($D23,'מאגר משימות'!$D$3:$D$252,0)),""))</f>
        <v/>
      </c>
      <c r="F23" s="70" t="n"/>
      <c r="G23" s="69" t="inlineStr">
        <is>
          <t>שישי — הכנות ועבודה</t>
        </is>
      </c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IF($A23="","",IF(COUNTIF('קבוצות'!$A$3:$A$8,$A23)=0,"⚠ שם קבוצה לא מוכר",""))</f>
        <v/>
      </c>
    </row>
    <row r="24" ht="28" customHeight="1">
      <c r="A24" s="80" t="inlineStr">
        <is>
          <t>קבוצה 3</t>
        </is>
      </c>
      <c r="B24" s="69" t="inlineStr">
        <is>
          <t>שישי</t>
        </is>
      </c>
      <c r="C24" s="82" t="n"/>
      <c r="D24" s="70" t="inlineStr">
        <is>
          <t>מילוי והדלקת מיחמים</t>
        </is>
      </c>
      <c r="E24" s="83">
        <f>IF($D24="","",IFERROR(INDEX('מאגר משימות'!$A$3:$A$252,MATCH($D24,'מאגר משימות'!$D$3:$D$252,0)),""))</f>
        <v/>
      </c>
      <c r="F24" s="70" t="n"/>
      <c r="G24" s="69" t="inlineStr">
        <is>
          <t>שישי — הכנות ועבודה</t>
        </is>
      </c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IF($A24="","",IF(COUNTIF('קבוצות'!$A$3:$A$8,$A24)=0,"⚠ שם קבוצה לא מוכר",""))</f>
        <v/>
      </c>
    </row>
    <row r="25" ht="28" customHeight="1">
      <c r="A25" s="80" t="inlineStr">
        <is>
          <t>קבוצה 3</t>
        </is>
      </c>
      <c r="B25" s="69" t="inlineStr">
        <is>
          <t>שישי</t>
        </is>
      </c>
      <c r="C25" s="82" t="n"/>
      <c r="D25" s="70" t="inlineStr">
        <is>
          <t>הכנת ציוד הבדלה — נר, יין, בשמים</t>
        </is>
      </c>
      <c r="E25" s="83">
        <f>IF($D25="","",IFERROR(INDEX('מאגר משימות'!$A$3:$A$252,MATCH($D25,'מאגר משימות'!$D$3:$D$252,0)),""))</f>
        <v/>
      </c>
      <c r="F25" s="70" t="n"/>
      <c r="G25" s="69" t="inlineStr">
        <is>
          <t>הבדלה</t>
        </is>
      </c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IF($A25="","",IF(COUNTIF('קבוצות'!$A$3:$A$8,$A25)=0,"⚠ שם קבוצה לא מוכר",""))</f>
        <v/>
      </c>
    </row>
    <row r="26" ht="28" customHeight="1">
      <c r="A26" s="80" t="inlineStr">
        <is>
          <t>קבוצה 3</t>
        </is>
      </c>
      <c r="B26" s="69" t="inlineStr">
        <is>
          <t>שישי</t>
        </is>
      </c>
      <c r="C26" s="82" t="n"/>
      <c r="D26" s="70" t="inlineStr">
        <is>
          <t>הדלקת אורות ומזגנים לשבת וכיוון שעון שבת</t>
        </is>
      </c>
      <c r="E26" s="83">
        <f>IF($D26="","",IFERROR(INDEX('מאגר משימות'!$A$3:$A$252,MATCH($D26,'מאגר משימות'!$D$3:$D$252,0)),""))</f>
        <v/>
      </c>
      <c r="F26" s="70" t="n"/>
      <c r="G26" s="69" t="inlineStr">
        <is>
          <t>שישי — הכנות ועבודה</t>
        </is>
      </c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IF($A26="","",IF(COUNTIF('קבוצות'!$A$3:$A$8,$A26)=0,"⚠ שם קבוצה לא מוכר",""))</f>
        <v/>
      </c>
    </row>
    <row r="27" ht="28" customHeight="1">
      <c r="A27" s="80" t="inlineStr">
        <is>
          <t>קבוצה 3</t>
        </is>
      </c>
      <c r="B27" s="69" t="inlineStr">
        <is>
          <t>שישי</t>
        </is>
      </c>
      <c r="C27" s="82" t="n"/>
      <c r="D27" s="70" t="inlineStr">
        <is>
          <t>הכנת עיתון השבת והפצתו</t>
        </is>
      </c>
      <c r="E27" s="83">
        <f>IF($D27="","",IFERROR(INDEX('מאגר משימות'!$A$3:$A$252,MATCH($D27,'מאגר משימות'!$D$3:$D$252,0)),""))</f>
        <v/>
      </c>
      <c r="F27" s="70" t="n"/>
      <c r="G27" s="69" t="inlineStr">
        <is>
          <t>שישי — הכנות ועבודה</t>
        </is>
      </c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IF($A27="","",IF(COUNTIF('קבוצות'!$A$3:$A$8,$A27)=0,"⚠ שם קבוצה לא מוכר",""))</f>
        <v/>
      </c>
    </row>
    <row r="28" ht="28" customHeight="1">
      <c r="A28" s="80" t="inlineStr">
        <is>
          <t>קבוצה 3</t>
        </is>
      </c>
      <c r="B28" s="69" t="inlineStr">
        <is>
          <t>שישי</t>
        </is>
      </c>
      <c r="C28" s="82" t="n"/>
      <c r="D28" s="70" t="inlineStr">
        <is>
          <t>פתיחת המרחבים והכנתם</t>
        </is>
      </c>
      <c r="E28" s="83">
        <f>IF($D28="","",IFERROR(INDEX('מאגר משימות'!$A$3:$A$252,MATCH($D28,'מאגר משימות'!$D$3:$D$252,0)),""))</f>
        <v/>
      </c>
      <c r="F28" s="70" t="n"/>
      <c r="G28" s="69" t="inlineStr">
        <is>
          <t>שישי — הכנות ועבודה</t>
        </is>
      </c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IF($A28="","",IF(COUNTIF('קבוצות'!$A$3:$A$8,$A28)=0,"⚠ שם קבוצה לא מוכר",""))</f>
        <v/>
      </c>
    </row>
    <row r="29" ht="28" customHeight="1">
      <c r="A29" s="80" t="inlineStr">
        <is>
          <t>קבוצה 3</t>
        </is>
      </c>
      <c r="B29" s="69" t="inlineStr">
        <is>
          <t>שבת</t>
        </is>
      </c>
      <c r="C29" s="82" t="n"/>
      <c r="D29" s="70" t="inlineStr">
        <is>
          <t>לוודא שהאוכל על הפלטות בזמן</t>
        </is>
      </c>
      <c r="E29" s="83">
        <f>IF($D29="","",IFERROR(INDEX('מאגר משימות'!$A$3:$A$252,MATCH($D29,'מאגר משימות'!$D$3:$D$252,0)),""))</f>
        <v/>
      </c>
      <c r="F29" s="70" t="n"/>
      <c r="G29" s="69" t="inlineStr">
        <is>
          <t>ארוחת צהריים</t>
        </is>
      </c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IF($A29="","",IF(COUNTIF('קבוצות'!$A$3:$A$8,$A29)=0,"⚠ שם קבוצה לא מוכר",""))</f>
        <v/>
      </c>
    </row>
    <row r="30" ht="28" customHeight="1">
      <c r="A30" s="80" t="inlineStr">
        <is>
          <t>קבוצה 3</t>
        </is>
      </c>
      <c r="B30" s="69" t="inlineStr">
        <is>
          <t>מוצאי שבת</t>
        </is>
      </c>
      <c r="C30" s="82" t="n"/>
      <c r="D30" s="70" t="inlineStr">
        <is>
          <t>כיבוי פלטות, מיחמים ותנור חימום</t>
        </is>
      </c>
      <c r="E30" s="83">
        <f>IF($D30="","",IFERROR(INDEX('מאגר משימות'!$A$3:$A$252,MATCH($D30,'מאגר משימות'!$D$3:$D$252,0)),""))</f>
        <v/>
      </c>
      <c r="F30" s="70" t="n"/>
      <c r="G30" s="69" t="inlineStr">
        <is>
          <t>ניקיונות וארגון הקמפוס</t>
        </is>
      </c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IF($A30="","",IF(COUNTIF('קבוצות'!$A$3:$A$8,$A30)=0,"⚠ שם קבוצה לא מוכר",""))</f>
        <v/>
      </c>
    </row>
    <row r="31" ht="28" customHeight="1">
      <c r="A31" s="80" t="inlineStr">
        <is>
          <t>קבוצה 3</t>
        </is>
      </c>
      <c r="B31" s="69" t="inlineStr">
        <is>
          <t>מוצאי שבת</t>
        </is>
      </c>
      <c r="C31" s="82" t="n"/>
      <c r="D31" s="70" t="inlineStr">
        <is>
          <t>ניקיון שירותי חדר אוכל</t>
        </is>
      </c>
      <c r="E31" s="83">
        <f>IF($D31="","",IFERROR(INDEX('מאגר משימות'!$A$3:$A$252,MATCH($D31,'מאגר משימות'!$D$3:$D$252,0)),""))</f>
        <v/>
      </c>
      <c r="F31" s="70" t="n"/>
      <c r="G31" s="69" t="inlineStr">
        <is>
          <t>ניקיונות וארגון הקמפוס</t>
        </is>
      </c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IF($A31="","",IF(COUNTIF('קבוצות'!$A$3:$A$8,$A31)=0,"⚠ שם קבוצה לא מוכר",""))</f>
        <v/>
      </c>
    </row>
    <row r="32" ht="28" customHeight="1">
      <c r="A32" s="80" t="inlineStr">
        <is>
          <t>קבוצה 4</t>
        </is>
      </c>
      <c r="B32" s="69" t="inlineStr">
        <is>
          <t>שבת</t>
        </is>
      </c>
      <c r="C32" s="82" t="n"/>
      <c r="D32" s="70" t="inlineStr">
        <is>
          <t>חימום האוכל הרלוונטי בלבד לקידוש על הפלטות</t>
        </is>
      </c>
      <c r="E32" s="83">
        <f>IF($D32="","",IFERROR(INDEX('מאגר משימות'!$A$3:$A$252,MATCH($D32,'מאגר משימות'!$D$3:$D$252,0)),""))</f>
        <v/>
      </c>
      <c r="F32" s="70" t="n"/>
      <c r="G32" s="69" t="inlineStr">
        <is>
          <t>קידוש</t>
        </is>
      </c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IF($A32="","",IF(COUNTIF('קבוצות'!$A$3:$A$8,$A32)=0,"⚠ שם קבוצה לא מוכר",""))</f>
        <v/>
      </c>
    </row>
    <row r="33" ht="28" customHeight="1">
      <c r="A33" s="80" t="inlineStr">
        <is>
          <t>קבוצה 4</t>
        </is>
      </c>
      <c r="B33" s="69" t="inlineStr">
        <is>
          <t>שבת</t>
        </is>
      </c>
      <c r="C33" s="82" t="n"/>
      <c r="D33" s="70" t="inlineStr">
        <is>
          <t>הכנסת מאפים לתנור חימום — ללא אלומיניום מעל העוגות</t>
        </is>
      </c>
      <c r="E33" s="83">
        <f>IF($D33="","",IFERROR(INDEX('מאגר משימות'!$A$3:$A$252,MATCH($D33,'מאגר משימות'!$D$3:$D$252,0)),""))</f>
        <v/>
      </c>
      <c r="F33" s="70" t="n"/>
      <c r="G33" s="69" t="inlineStr">
        <is>
          <t>קידוש</t>
        </is>
      </c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IF($A33="","",IF(COUNTIF('קבוצות'!$A$3:$A$8,$A33)=0,"⚠ שם קבוצה לא מוכר",""))</f>
        <v/>
      </c>
    </row>
    <row r="34" ht="28" customHeight="1">
      <c r="A34" s="80" t="inlineStr">
        <is>
          <t>קבוצה 4</t>
        </is>
      </c>
      <c r="B34" s="69" t="inlineStr">
        <is>
          <t>שבת</t>
        </is>
      </c>
      <c r="C34" s="82" t="n"/>
      <c r="D34" s="70" t="inlineStr">
        <is>
          <t>תיבול סלטים לקידוש</t>
        </is>
      </c>
      <c r="E34" s="83">
        <f>IF($D34="","",IFERROR(INDEX('מאגר משימות'!$A$3:$A$252,MATCH($D34,'מאגר משימות'!$D$3:$D$252,0)),""))</f>
        <v/>
      </c>
      <c r="F34" s="70" t="n"/>
      <c r="G34" s="69" t="inlineStr">
        <is>
          <t>קידוש</t>
        </is>
      </c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IF($A34="","",IF(COUNTIF('קבוצות'!$A$3:$A$8,$A34)=0,"⚠ שם קבוצה לא מוכר",""))</f>
        <v/>
      </c>
    </row>
    <row r="35" ht="28" customHeight="1">
      <c r="A35" s="80" t="inlineStr">
        <is>
          <t>קבוצה 4</t>
        </is>
      </c>
      <c r="B35" s="69" t="inlineStr">
        <is>
          <t>שבת</t>
        </is>
      </c>
      <c r="C35" s="82" t="n"/>
      <c r="D35" s="70" t="inlineStr">
        <is>
          <t>עריכת האוכל לקידוש</t>
        </is>
      </c>
      <c r="E35" s="83">
        <f>IF($D35="","",IFERROR(INDEX('מאגר משימות'!$A$3:$A$252,MATCH($D35,'מאגר משימות'!$D$3:$D$252,0)),""))</f>
        <v/>
      </c>
      <c r="F35" s="70" t="n"/>
      <c r="G35" s="69" t="inlineStr">
        <is>
          <t>קידוש</t>
        </is>
      </c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IF($A35="","",IF(COUNTIF('קבוצות'!$A$3:$A$8,$A35)=0,"⚠ שם קבוצה לא מוכר",""))</f>
        <v/>
      </c>
    </row>
    <row r="36" ht="28" customHeight="1">
      <c r="A36" s="80" t="inlineStr">
        <is>
          <t>קבוצה 4</t>
        </is>
      </c>
      <c r="B36" s="69" t="inlineStr">
        <is>
          <t>שבת</t>
        </is>
      </c>
      <c r="C36" s="82" t="n"/>
      <c r="D36" s="70" t="inlineStr">
        <is>
          <t>סידור פינת קפה — ניקוי, חלב, קפה וסוכר</t>
        </is>
      </c>
      <c r="E36" s="83">
        <f>IF($D36="","",IFERROR(INDEX('מאגר משימות'!$A$3:$A$252,MATCH($D36,'מאגר משימות'!$D$3:$D$252,0)),""))</f>
        <v/>
      </c>
      <c r="F36" s="70" t="n"/>
      <c r="G36" s="69" t="inlineStr">
        <is>
          <t>קידוש</t>
        </is>
      </c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IF($A36="","",IF(COUNTIF('קבוצות'!$A$3:$A$8,$A36)=0,"⚠ שם קבוצה לא מוכר",""))</f>
        <v/>
      </c>
    </row>
    <row r="37" ht="28" customHeight="1">
      <c r="A37" s="80" t="inlineStr">
        <is>
          <t>קבוצה 4</t>
        </is>
      </c>
      <c r="B37" s="69" t="inlineStr">
        <is>
          <t>שבת</t>
        </is>
      </c>
      <c r="C37" s="82" t="n"/>
      <c r="D37" s="70" t="inlineStr">
        <is>
          <t>הוצאת פירות חתוכים ועוגות</t>
        </is>
      </c>
      <c r="E37" s="83">
        <f>IF($D37="","",IFERROR(INDEX('מאגר משימות'!$A$3:$A$252,MATCH($D37,'מאגר משימות'!$D$3:$D$252,0)),""))</f>
        <v/>
      </c>
      <c r="F37" s="70" t="n"/>
      <c r="G37" s="69" t="inlineStr">
        <is>
          <t>קידוש</t>
        </is>
      </c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IF($A37="","",IF(COUNTIF('קבוצות'!$A$3:$A$8,$A37)=0,"⚠ שם קבוצה לא מוכר",""))</f>
        <v/>
      </c>
    </row>
    <row r="38" ht="28" customHeight="1">
      <c r="A38" s="80" t="inlineStr">
        <is>
          <t>קבוצה 4</t>
        </is>
      </c>
      <c r="B38" s="69" t="inlineStr">
        <is>
          <t>שבת</t>
        </is>
      </c>
      <c r="C38" s="82" t="n"/>
      <c r="D38" s="70" t="inlineStr">
        <is>
          <t>הוצאת כלים וסידור שולחנות במעגל</t>
        </is>
      </c>
      <c r="E38" s="83">
        <f>IF($D38="","",IFERROR(INDEX('מאגר משימות'!$A$3:$A$252,MATCH($D38,'מאגר משימות'!$D$3:$D$252,0)),""))</f>
        <v/>
      </c>
      <c r="F38" s="70" t="n"/>
      <c r="G38" s="69" t="inlineStr">
        <is>
          <t>קידוש</t>
        </is>
      </c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IF($A38="","",IF(COUNTIF('קבוצות'!$A$3:$A$8,$A38)=0,"⚠ שם קבוצה לא מוכר",""))</f>
        <v/>
      </c>
    </row>
    <row r="39" ht="28" customHeight="1">
      <c r="A39" s="80" t="inlineStr">
        <is>
          <t>קבוצה 4</t>
        </is>
      </c>
      <c r="B39" s="69" t="inlineStr">
        <is>
          <t>שבת</t>
        </is>
      </c>
      <c r="C39" s="82" t="n"/>
      <c r="D39" s="70" t="inlineStr">
        <is>
          <t>ניקיון מרחב האוכל אחרי הקידוש</t>
        </is>
      </c>
      <c r="E39" s="83">
        <f>IF($D39="","",IFERROR(INDEX('מאגר משימות'!$A$3:$A$252,MATCH($D39,'מאגר משימות'!$D$3:$D$252,0)),""))</f>
        <v/>
      </c>
      <c r="F39" s="70" t="n"/>
      <c r="G39" s="69" t="inlineStr">
        <is>
          <t>קידוש</t>
        </is>
      </c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IF($A39="","",IF(COUNTIF('קבוצות'!$A$3:$A$8,$A39)=0,"⚠ שם קבוצה לא מוכר",""))</f>
        <v/>
      </c>
    </row>
    <row r="40" ht="28" customHeight="1">
      <c r="A40" s="80" t="inlineStr">
        <is>
          <t>קבוצה 4</t>
        </is>
      </c>
      <c r="B40" s="69" t="inlineStr">
        <is>
          <t>שבת</t>
        </is>
      </c>
      <c r="C40" s="82" t="n"/>
      <c r="D40" s="70" t="inlineStr">
        <is>
          <t>קיפול והכנסה למקרר בסיום — לא להשאיר אוכל פתוח</t>
        </is>
      </c>
      <c r="E40" s="83">
        <f>IF($D40="","",IFERROR(INDEX('מאגר משימות'!$A$3:$A$252,MATCH($D40,'מאגר משימות'!$D$3:$D$252,0)),""))</f>
        <v/>
      </c>
      <c r="F40" s="70" t="n"/>
      <c r="G40" s="69" t="inlineStr">
        <is>
          <t>קידוש</t>
        </is>
      </c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IF($A40="","",IF(COUNTIF('קבוצות'!$A$3:$A$8,$A40)=0,"⚠ שם קבוצה לא מוכר",""))</f>
        <v/>
      </c>
    </row>
    <row r="41" ht="28" customHeight="1">
      <c r="A41" s="80" t="inlineStr">
        <is>
          <t>קבוצה 4</t>
        </is>
      </c>
      <c r="B41" s="69" t="inlineStr">
        <is>
          <t>מוצאי שבת</t>
        </is>
      </c>
      <c r="C41" s="82" t="n"/>
      <c r="D41" s="70" t="inlineStr">
        <is>
          <t>ניקיון מטבח — כולל הכל</t>
        </is>
      </c>
      <c r="E41" s="83">
        <f>IF($D41="","",IFERROR(INDEX('מאגר משימות'!$A$3:$A$252,MATCH($D41,'מאגר משימות'!$D$3:$D$252,0)),""))</f>
        <v/>
      </c>
      <c r="F41" s="70" t="n"/>
      <c r="G41" s="69" t="inlineStr">
        <is>
          <t>ניקיונות וארגון הקמפוס</t>
        </is>
      </c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IF($A41="","",IF(COUNTIF('קבוצות'!$A$3:$A$8,$A41)=0,"⚠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IF($A42="","",IF(COUNTIF('קבוצות'!$A$3:$A$8,$A42)=0,"⚠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IF($A43="","",IF(COUNTIF('קבוצות'!$A$3:$A$8,$A43)=0,"⚠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IF($A44="","",IF(COUNTIF('קבוצות'!$A$3:$A$8,$A44)=0,"⚠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IF($A45="","",IF(COUNTIF('קבוצות'!$A$3:$A$8,$A45)=0,"⚠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IF($A46="","",IF(COUNTIF('קבוצות'!$A$3:$A$8,$A46)=0,"⚠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IF($A47="","",IF(COUNTIF('קבוצות'!$A$3:$A$8,$A47)=0,"⚠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IF($A48="","",IF(COUNTIF('קבוצות'!$A$3:$A$8,$A48)=0,"⚠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IF($A49="","",IF(COUNTIF('קבוצות'!$A$3:$A$8,$A49)=0,"⚠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IF($A50="","",IF(COUNTIF('קבוצות'!$A$3:$A$8,$A50)=0,"⚠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IF($A51="","",IF(COUNTIF('קבוצות'!$A$3:$A$8,$A51)=0,"⚠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IF($A52="","",IF(COUNTIF('קבוצות'!$A$3:$A$8,$A52)=0,"⚠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IF($A53="","",IF(COUNTIF('קבוצות'!$A$3:$A$8,$A53)=0,"⚠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IF($A54="","",IF(COUNTIF('קבוצות'!$A$3:$A$8,$A54)=0,"⚠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IF($A55="","",IF(COUNTIF('קבוצות'!$A$3:$A$8,$A55)=0,"⚠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IF($A56="","",IF(COUNTIF('קבוצות'!$A$3:$A$8,$A56)=0,"⚠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IF($A57="","",IF(COUNTIF('קבוצות'!$A$3:$A$8,$A57)=0,"⚠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IF($A58="","",IF(COUNTIF('קבוצות'!$A$3:$A$8,$A58)=0,"⚠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IF($A59="","",IF(COUNTIF('קבוצות'!$A$3:$A$8,$A59)=0,"⚠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IF($A60="","",IF(COUNTIF('קבוצות'!$A$3:$A$8,$A60)=0,"⚠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IF($A61="","",IF(COUNTIF('קבוצות'!$A$3:$A$8,$A61)=0,"⚠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IF($A62="","",IF(COUNTIF('קבוצות'!$A$3:$A$8,$A62)=0,"⚠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IF($A63="","",IF(COUNTIF('קבוצות'!$A$3:$A$8,$A63)=0,"⚠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IF($A64="","",IF(COUNTIF('קבוצות'!$A$3:$A$8,$A64)=0,"⚠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IF($A65="","",IF(COUNTIF('קבוצות'!$A$3:$A$8,$A65)=0,"⚠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IF($A66="","",IF(COUNTIF('קבוצות'!$A$3:$A$8,$A66)=0,"⚠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IF($A67="","",IF(COUNTIF('קבוצות'!$A$3:$A$8,$A67)=0,"⚠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IF($A68="","",IF(COUNTIF('קבוצות'!$A$3:$A$8,$A68)=0,"⚠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IF($A69="","",IF(COUNTIF('קבוצות'!$A$3:$A$8,$A69)=0,"⚠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IF($A70="","",IF(COUNTIF('קבוצות'!$A$3:$A$8,$A70)=0,"⚠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IF($A71="","",IF(COUNTIF('קבוצות'!$A$3:$A$8,$A71)=0,"⚠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IF($A72="","",IF(COUNTIF('קבוצות'!$A$3:$A$8,$A72)=0,"⚠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IF($A73="","",IF(COUNTIF('קבוצות'!$A$3:$A$8,$A73)=0,"⚠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IF($A74="","",IF(COUNTIF('קבוצות'!$A$3:$A$8,$A74)=0,"⚠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IF($A75="","",IF(COUNTIF('קבוצות'!$A$3:$A$8,$A75)=0,"⚠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IF($A76="","",IF(COUNTIF('קבוצות'!$A$3:$A$8,$A76)=0,"⚠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IF($A77="","",IF(COUNTIF('קבוצות'!$A$3:$A$8,$A77)=0,"⚠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IF($A78="","",IF(COUNTIF('קבוצות'!$A$3:$A$8,$A78)=0,"⚠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IF($A79="","",IF(COUNTIF('קבוצות'!$A$3:$A$8,$A79)=0,"⚠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IF($A80="","",IF(COUNTIF('קבוצות'!$A$3:$A$8,$A80)=0,"⚠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IF($A81="","",IF(COUNTIF('קבוצות'!$A$3:$A$8,$A81)=0,"⚠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IF($A82="","",IF(COUNTIF('קבוצות'!$A$3:$A$8,$A82)=0,"⚠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IF($A83="","",IF(COUNTIF('קבוצות'!$A$3:$A$8,$A83)=0,"⚠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IF($A84="","",IF(COUNTIF('קבוצות'!$A$3:$A$8,$A84)=0,"⚠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IF($A85="","",IF(COUNTIF('קבוצות'!$A$3:$A$8,$A85)=0,"⚠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IF($A86="","",IF(COUNTIF('קבוצות'!$A$3:$A$8,$A86)=0,"⚠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IF($A87="","",IF(COUNTIF('קבוצות'!$A$3:$A$8,$A87)=0,"⚠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IF($A88="","",IF(COUNTIF('קבוצות'!$A$3:$A$8,$A88)=0,"⚠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IF($A89="","",IF(COUNTIF('קבוצות'!$A$3:$A$8,$A89)=0,"⚠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IF($A90="","",IF(COUNTIF('קבוצות'!$A$3:$A$8,$A90)=0,"⚠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IF($A91="","",IF(COUNTIF('קבוצות'!$A$3:$A$8,$A91)=0,"⚠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IF($A92="","",IF(COUNTIF('קבוצות'!$A$3:$A$8,$A92)=0,"⚠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IF($A93="","",IF(COUNTIF('קבוצות'!$A$3:$A$8,$A93)=0,"⚠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IF($A94="","",IF(COUNTIF('קבוצות'!$A$3:$A$8,$A94)=0,"⚠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IF($A95="","",IF(COUNTIF('קבוצות'!$A$3:$A$8,$A95)=0,"⚠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IF($A96="","",IF(COUNTIF('קבוצות'!$A$3:$A$8,$A96)=0,"⚠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IF($A97="","",IF(COUNTIF('קבוצות'!$A$3:$A$8,$A97)=0,"⚠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IF($A98="","",IF(COUNTIF('קבוצות'!$A$3:$A$8,$A98)=0,"⚠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IF($A99="","",IF(COUNTIF('קבוצות'!$A$3:$A$8,$A99)=0,"⚠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IF($A100="","",IF(COUNTIF('קבוצות'!$A$3:$A$8,$A100)=0,"⚠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IF($A101="","",IF(COUNTIF('קבוצות'!$A$3:$A$8,$A101)=0,"⚠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IF($A102="","",IF(COUNTIF('קבוצות'!$A$3:$A$8,$A102)=0,"⚠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IF($A103="","",IF(COUNTIF('קבוצות'!$A$3:$A$8,$A103)=0,"⚠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IF($A104="","",IF(COUNTIF('קבוצות'!$A$3:$A$8,$A104)=0,"⚠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IF($A105="","",IF(COUNTIF('קבוצות'!$A$3:$A$8,$A105)=0,"⚠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IF($A106="","",IF(COUNTIF('קבוצות'!$A$3:$A$8,$A106)=0,"⚠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IF($A107="","",IF(COUNTIF('קבוצות'!$A$3:$A$8,$A107)=0,"⚠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IF($A108="","",IF(COUNTIF('קבוצות'!$A$3:$A$8,$A108)=0,"⚠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IF($A109="","",IF(COUNTIF('קבוצות'!$A$3:$A$8,$A109)=0,"⚠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IF($A110="","",IF(COUNTIF('קבוצות'!$A$3:$A$8,$A110)=0,"⚠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IF($A111="","",IF(COUNTIF('קבוצות'!$A$3:$A$8,$A111)=0,"⚠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IF($A112="","",IF(COUNTIF('קבוצות'!$A$3:$A$8,$A112)=0,"⚠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IF($A113="","",IF(COUNTIF('קבוצות'!$A$3:$A$8,$A113)=0,"⚠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IF($A114="","",IF(COUNTIF('קבוצות'!$A$3:$A$8,$A114)=0,"⚠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IF($A115="","",IF(COUNTIF('קבוצות'!$A$3:$A$8,$A115)=0,"⚠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IF($A116="","",IF(COUNTIF('קבוצות'!$A$3:$A$8,$A116)=0,"⚠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IF($A117="","",IF(COUNTIF('קבוצות'!$A$3:$A$8,$A117)=0,"⚠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IF($A118="","",IF(COUNTIF('קבוצות'!$A$3:$A$8,$A118)=0,"⚠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IF($A119="","",IF(COUNTIF('קבוצות'!$A$3:$A$8,$A119)=0,"⚠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IF($A120="","",IF(COUNTIF('קבוצות'!$A$3:$A$8,$A120)=0,"⚠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IF($A121="","",IF(COUNTIF('קבוצות'!$A$3:$A$8,$A121)=0,"⚠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IF($A122="","",IF(COUNTIF('קבוצות'!$A$3:$A$8,$A122)=0,"⚠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IF($A123="","",IF(COUNTIF('קבוצות'!$A$3:$A$8,$A123)=0,"⚠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IF($A124="","",IF(COUNTIF('קבוצות'!$A$3:$A$8,$A124)=0,"⚠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IF($A125="","",IF(COUNTIF('קבוצות'!$A$3:$A$8,$A125)=0,"⚠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IF($A126="","",IF(COUNTIF('קבוצות'!$A$3:$A$8,$A126)=0,"⚠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IF($A127="","",IF(COUNTIF('קבוצות'!$A$3:$A$8,$A127)=0,"⚠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IF($A128="","",IF(COUNTIF('קבוצות'!$A$3:$A$8,$A128)=0,"⚠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IF($A129="","",IF(COUNTIF('קבוצות'!$A$3:$A$8,$A129)=0,"⚠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IF($A130="","",IF(COUNTIF('קבוצות'!$A$3:$A$8,$A130)=0,"⚠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IF($A131="","",IF(COUNTIF('קבוצות'!$A$3:$A$8,$A131)=0,"⚠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IF($A132="","",IF(COUNTIF('קבוצות'!$A$3:$A$8,$A132)=0,"⚠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IF($A133="","",IF(COUNTIF('קבוצות'!$A$3:$A$8,$A133)=0,"⚠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IF($A134="","",IF(COUNTIF('קבוצות'!$A$3:$A$8,$A134)=0,"⚠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IF($A135="","",IF(COUNTIF('קבוצות'!$A$3:$A$8,$A135)=0,"⚠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IF($A136="","",IF(COUNTIF('קבוצות'!$A$3:$A$8,$A136)=0,"⚠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IF($A137="","",IF(COUNTIF('קבוצות'!$A$3:$A$8,$A137)=0,"⚠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IF($A138="","",IF(COUNTIF('קבוצות'!$A$3:$A$8,$A138)=0,"⚠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IF($A139="","",IF(COUNTIF('קבוצות'!$A$3:$A$8,$A139)=0,"⚠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IF($A140="","",IF(COUNTIF('קבוצות'!$A$3:$A$8,$A140)=0,"⚠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IF($A141="","",IF(COUNTIF('קבוצות'!$A$3:$A$8,$A141)=0,"⚠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IF($A142="","",IF(COUNTIF('קבוצות'!$A$3:$A$8,$A142)=0,"⚠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IF($A143="","",IF(COUNTIF('קבוצות'!$A$3:$A$8,$A143)=0,"⚠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IF($A144="","",IF(COUNTIF('קבוצות'!$A$3:$A$8,$A144)=0,"⚠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IF($A145="","",IF(COUNTIF('קבוצות'!$A$3:$A$8,$A145)=0,"⚠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IF($A146="","",IF(COUNTIF('קבוצות'!$A$3:$A$8,$A146)=0,"⚠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IF($A147="","",IF(COUNTIF('קבוצות'!$A$3:$A$8,$A147)=0,"⚠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IF($A148="","",IF(COUNTIF('קבוצות'!$A$3:$A$8,$A148)=0,"⚠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IF($A149="","",IF(COUNTIF('קבוצות'!$A$3:$A$8,$A149)=0,"⚠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IF($A150="","",IF(COUNTIF('קבוצות'!$A$3:$A$8,$A150)=0,"⚠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IF($A151="","",IF(COUNTIF('קבוצות'!$A$3:$A$8,$A151)=0,"⚠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IF($A152="","",IF(COUNTIF('קבוצות'!$A$3:$A$8,$A152)=0,"⚠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inlineStr">
        <is>
          <t>קבוצה 2</t>
        </is>
      </c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9" t="inlineStr">
        <is>
          <t>קבוצה 4</t>
        </is>
      </c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9" t="inlineStr">
        <is>
          <t>קבוצה 3</t>
        </is>
      </c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9" t="inlineStr">
        <is>
          <t>קבוצה 4</t>
        </is>
      </c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9" t="inlineStr">
        <is>
          <t>קבוצה 2</t>
        </is>
      </c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9" t="inlineStr">
        <is>
          <t>קבוצה 1</t>
        </is>
      </c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9" t="inlineStr">
        <is>
          <t>קבוצה 3</t>
        </is>
      </c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9" t="inlineStr">
        <is>
          <t>קבוצה 3</t>
        </is>
      </c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9" t="inlineStr">
        <is>
          <t>קבוצה 3</t>
        </is>
      </c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9" t="inlineStr">
        <is>
          <t>קבוצה 1</t>
        </is>
      </c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9" t="inlineStr">
        <is>
          <t>קבוצה 1</t>
        </is>
      </c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9" t="inlineStr">
        <is>
          <t>קבוצה 2</t>
        </is>
      </c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9" t="inlineStr">
        <is>
          <t>קבוצה 4</t>
        </is>
      </c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9" t="inlineStr">
        <is>
          <t>קבוצה 1</t>
        </is>
      </c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9" t="inlineStr">
        <is>
          <t>קבוצה 2</t>
        </is>
      </c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9" t="inlineStr">
        <is>
          <t>קבוצה 2</t>
        </is>
      </c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9" t="inlineStr">
        <is>
          <t>קבוצה 1</t>
        </is>
      </c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9" t="inlineStr">
        <is>
          <t>קבוצה 1</t>
        </is>
      </c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9" t="inlineStr">
        <is>
          <t>קבוצה 3</t>
        </is>
      </c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9" t="inlineStr">
        <is>
          <t>קבוצה 2</t>
        </is>
      </c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9" t="inlineStr">
        <is>
          <t>קבוצה 1</t>
        </is>
      </c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9" t="inlineStr">
        <is>
          <t>קבוצה 1</t>
        </is>
      </c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9" t="inlineStr">
        <is>
          <t>קבוצה 2</t>
        </is>
      </c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9" t="inlineStr">
        <is>
          <t>קבוצה 4</t>
        </is>
      </c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9" t="inlineStr">
        <is>
          <t>קבוצה 1</t>
        </is>
      </c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9" t="inlineStr">
        <is>
          <t>קבוצה 3</t>
        </is>
      </c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9" t="inlineStr">
        <is>
          <t>קבוצה 4</t>
        </is>
      </c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9" t="inlineStr">
        <is>
          <t>קבוצה 4</t>
        </is>
      </c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9" t="inlineStr">
        <is>
          <t>קבוצה 4</t>
        </is>
      </c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9" t="inlineStr">
        <is>
          <t>קבוצה 4</t>
        </is>
      </c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9" t="inlineStr">
        <is>
          <t>קבוצה 4</t>
        </is>
      </c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9" t="inlineStr">
        <is>
          <t>קבוצה 3</t>
        </is>
      </c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</row>
    <row r="38" ht="20" customHeight="1">
      <c r="A38" s="19" t="inlineStr">
        <is>
          <t>מישל דוד</t>
        </is>
      </c>
      <c r="B38" s="69" t="inlineStr">
        <is>
          <t>קבוצה 3</t>
        </is>
      </c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9" t="inlineStr">
        <is>
          <t>קבוצה 2</t>
        </is>
      </c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9" t="inlineStr">
        <is>
          <t>קבוצה 1</t>
        </is>
      </c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9" t="inlineStr">
        <is>
          <t>קבוצה 4</t>
        </is>
      </c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9" t="inlineStr">
        <is>
          <t>קבוצה 1</t>
        </is>
      </c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9" t="inlineStr">
        <is>
          <t>קבוצה 3</t>
        </is>
      </c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9" t="inlineStr">
        <is>
          <t>קבוצה 3</t>
        </is>
      </c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9" t="inlineStr">
        <is>
          <t>קבוצה 4</t>
        </is>
      </c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9" t="inlineStr">
        <is>
          <t>קבוצה 4</t>
        </is>
      </c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9" t="inlineStr">
        <is>
          <t>קבוצה 2</t>
        </is>
      </c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9" t="inlineStr">
        <is>
          <t>קבוצה 1</t>
        </is>
      </c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9" t="inlineStr">
        <is>
          <t>קבוצה 2</t>
        </is>
      </c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9" t="inlineStr">
        <is>
          <t>קבוצה 2</t>
        </is>
      </c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9" t="inlineStr">
        <is>
          <t>קבוצה 3</t>
        </is>
      </c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9" t="inlineStr">
        <is>
          <t>קבוצה 3</t>
        </is>
      </c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9" t="inlineStr">
        <is>
          <t>קבוצה 1</t>
        </is>
      </c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9" t="inlineStr">
        <is>
          <t>קבוצה 4</t>
        </is>
      </c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9" t="inlineStr">
        <is>
          <t>קבוצה 2</t>
        </is>
      </c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9" t="inlineStr">
        <is>
          <t>קבוצה 3</t>
        </is>
      </c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9" t="inlineStr">
        <is>
          <t>קבוצה 1</t>
        </is>
      </c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9" t="inlineStr">
        <is>
          <t>קבוצה 4</t>
        </is>
      </c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9" t="inlineStr">
        <is>
          <t>קבוצה 4</t>
        </is>
      </c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9" t="inlineStr">
        <is>
          <t>קבוצה 2</t>
        </is>
      </c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9" t="inlineStr">
        <is>
          <t>קבוצה 3</t>
        </is>
      </c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9" t="inlineStr">
        <is>
          <t>קבוצה 2</t>
        </is>
      </c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9" t="inlineStr">
        <is>
          <t>קבוצה 3</t>
        </is>
      </c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9" t="inlineStr">
        <is>
          <t>קבוצה 2</t>
        </is>
      </c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</row>
    <row r="74" ht="20" customHeight="1">
      <c r="A74" s="19" t="inlineStr">
        <is>
          <t>אביב רוזנטל</t>
        </is>
      </c>
      <c r="B74" s="69" t="inlineStr">
        <is>
          <t>קבוצה 1</t>
        </is>
      </c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</row>
    <row r="75" ht="20" customHeight="1">
      <c r="A75" s="19" t="inlineStr">
        <is>
          <t>אביה וייל</t>
        </is>
      </c>
      <c r="B75" s="69" t="inlineStr">
        <is>
          <t>קבוצה 2</t>
        </is>
      </c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</row>
    <row r="76" ht="20" customHeight="1">
      <c r="A76" s="19" t="inlineStr">
        <is>
          <t>אורי אסף</t>
        </is>
      </c>
      <c r="B76" s="69" t="inlineStr">
        <is>
          <t>קבוצה 1</t>
        </is>
      </c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</row>
    <row r="77" ht="20" customHeight="1">
      <c r="A77" s="19" t="inlineStr">
        <is>
          <t>איתי גוסטינר</t>
        </is>
      </c>
      <c r="B77" s="69" t="inlineStr">
        <is>
          <t>קבוצה 3</t>
        </is>
      </c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</row>
    <row r="78" ht="20" customHeight="1">
      <c r="A78" s="19" t="inlineStr">
        <is>
          <t>איתי רוס</t>
        </is>
      </c>
      <c r="B78" s="69" t="inlineStr">
        <is>
          <t>קבוצה 1</t>
        </is>
      </c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</row>
    <row r="79" ht="20" customHeight="1">
      <c r="A79" s="19" t="inlineStr">
        <is>
          <t>אלון דיין</t>
        </is>
      </c>
      <c r="B79" s="69" t="inlineStr">
        <is>
          <t>קבוצה 3</t>
        </is>
      </c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</row>
    <row r="80" ht="20" customHeight="1">
      <c r="A80" s="19" t="inlineStr">
        <is>
          <t>דנה שם טוב</t>
        </is>
      </c>
      <c r="B80" s="69" t="inlineStr">
        <is>
          <t>קבוצה 3</t>
        </is>
      </c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</row>
    <row r="81" ht="20" customHeight="1">
      <c r="A81" s="19" t="inlineStr">
        <is>
          <t>יאר אלפסי</t>
        </is>
      </c>
      <c r="B81" s="69" t="inlineStr">
        <is>
          <t>קבוצה 1</t>
        </is>
      </c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</row>
    <row r="82" ht="20" customHeight="1">
      <c r="A82" s="19" t="inlineStr">
        <is>
          <t>יערה ריס</t>
        </is>
      </c>
      <c r="B82" s="69" t="inlineStr">
        <is>
          <t>קבוצה 2</t>
        </is>
      </c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</row>
    <row r="83" ht="20" customHeight="1">
      <c r="A83" s="19" t="inlineStr">
        <is>
          <t>ליאור שימרלינג</t>
        </is>
      </c>
      <c r="B83" s="69" t="inlineStr">
        <is>
          <t>קבוצה 3</t>
        </is>
      </c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</row>
    <row r="84" ht="20" customHeight="1">
      <c r="A84" s="19" t="inlineStr">
        <is>
          <t>ליבי בוכריס</t>
        </is>
      </c>
      <c r="B84" s="69" t="inlineStr">
        <is>
          <t>קבוצה 2</t>
        </is>
      </c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</row>
    <row r="85" ht="20" customHeight="1">
      <c r="A85" s="19" t="inlineStr">
        <is>
          <t>ליעם גבע</t>
        </is>
      </c>
      <c r="B85" s="69" t="inlineStr">
        <is>
          <t>קבוצה 4</t>
        </is>
      </c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</row>
    <row r="86" ht="20" customHeight="1">
      <c r="A86" s="19" t="inlineStr">
        <is>
          <t>מאיה פקטר</t>
        </is>
      </c>
      <c r="B86" s="69" t="inlineStr">
        <is>
          <t>קבוצה 4</t>
        </is>
      </c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</row>
    <row r="87" ht="20" customHeight="1">
      <c r="A87" s="19" t="inlineStr">
        <is>
          <t>נוה גריינר</t>
        </is>
      </c>
      <c r="B87" s="69" t="inlineStr">
        <is>
          <t>קבוצה 2</t>
        </is>
      </c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</row>
    <row r="88" ht="20" customHeight="1">
      <c r="A88" s="19" t="inlineStr">
        <is>
          <t>נעמי פונקלשטיין</t>
        </is>
      </c>
      <c r="B88" s="69" t="inlineStr">
        <is>
          <t>קבוצה 4</t>
        </is>
      </c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</row>
    <row r="89" ht="20" customHeight="1">
      <c r="A89" s="19" t="inlineStr">
        <is>
          <t>עליזה בלום</t>
        </is>
      </c>
      <c r="B89" s="69" t="inlineStr">
        <is>
          <t>קבוצה 3</t>
        </is>
      </c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</row>
    <row r="90" ht="20" customHeight="1">
      <c r="A90" s="19" t="inlineStr">
        <is>
          <t>עפרי גזיאל</t>
        </is>
      </c>
      <c r="B90" s="69" t="inlineStr">
        <is>
          <t>קבוצה 2</t>
        </is>
      </c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</row>
    <row r="91" ht="20" customHeight="1">
      <c r="A91" s="19" t="inlineStr">
        <is>
          <t>עשהאל ירושלמי</t>
        </is>
      </c>
      <c r="B91" s="69" t="inlineStr">
        <is>
          <t>קבוצה 1</t>
        </is>
      </c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</row>
    <row r="92" ht="20" customHeight="1">
      <c r="A92" s="19" t="inlineStr">
        <is>
          <t>פרת פולס</t>
        </is>
      </c>
      <c r="B92" s="69" t="inlineStr">
        <is>
          <t>קבוצה 4</t>
        </is>
      </c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</row>
    <row r="93" ht="20" customHeight="1">
      <c r="A93" s="19" t="inlineStr">
        <is>
          <t>רגב שהם</t>
        </is>
      </c>
      <c r="B93" s="69" t="inlineStr">
        <is>
          <t>קבוצה 1</t>
        </is>
      </c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</row>
    <row r="94" ht="20" customHeight="1">
      <c r="A94" s="19" t="inlineStr">
        <is>
          <t>רוני כהן</t>
        </is>
      </c>
      <c r="B94" s="69" t="inlineStr">
        <is>
          <t>קבוצה 4</t>
        </is>
      </c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</row>
    <row r="133"/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'קבוצות'!$A$3:$A$8</formula1>
    </dataValidation>
    <dataValidation sqref="C3:C13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חבילת אחריות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קבוצה 1</t>
        </is>
      </c>
      <c r="B3" s="86" t="n"/>
      <c r="C3" s="69" t="inlineStr">
        <is>
          <t>ארוחות שבת</t>
        </is>
      </c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קבוצה 2</t>
        </is>
      </c>
      <c r="B4" s="86" t="n"/>
      <c r="C4" s="69" t="inlineStr">
        <is>
          <t>ארוחות שישי וסעודה שלישית</t>
        </is>
      </c>
      <c r="D4" s="87">
        <f>IF($A4="","",'חניכים'!$G$132&amp;"")</f>
        <v/>
      </c>
      <c r="E4" s="69" t="inlineStr">
        <is>
          <t>ים</t>
        </is>
      </c>
      <c r="F4" s="88">
        <f>IF($A4="","",COUNTIF('חניכים'!$B$3:$B$132,$A4))</f>
        <v/>
      </c>
    </row>
    <row r="5" ht="46" customHeight="1">
      <c r="A5" s="80" t="inlineStr">
        <is>
          <t>קבוצה 3</t>
        </is>
      </c>
      <c r="B5" s="86" t="n"/>
      <c r="C5" s="69" t="inlineStr">
        <is>
          <t>טיש ואחריות טכנית</t>
        </is>
      </c>
      <c r="D5" s="87">
        <f>IF($A5="","",'חניכים'!$H$132&amp;"")</f>
        <v/>
      </c>
      <c r="E5" s="69" t="inlineStr">
        <is>
          <t>ספארי</t>
        </is>
      </c>
      <c r="F5" s="88">
        <f>IF($A5="","",COUNTIF('חניכים'!$B$3:$B$132,$A5))</f>
        <v/>
      </c>
    </row>
    <row r="6" ht="46" customHeight="1">
      <c r="A6" s="80" t="inlineStr">
        <is>
          <t>קבוצה 4</t>
        </is>
      </c>
      <c r="B6" s="86" t="n"/>
      <c r="C6" s="69" t="inlineStr">
        <is>
          <t>קידוש ומאפים</t>
        </is>
      </c>
      <c r="D6" s="87">
        <f>IF($A6="","",'חניכים'!$I$132&amp;"")</f>
        <v/>
      </c>
      <c r="E6" s="69" t="inlineStr">
        <is>
          <t>שדה</t>
        </is>
      </c>
      <c r="F6" s="88">
        <f>IF($A6="","",COUNTIF('חניכים'!$B$3:$B$132,$A6))</f>
        <v/>
      </c>
    </row>
    <row r="7" ht="46" customHeight="1">
      <c r="A7" s="80" t="n"/>
      <c r="B7" s="86" t="n"/>
      <c r="C7" s="69" t="n"/>
      <c r="D7" s="87">
        <f>IF($A7="","",'חניכים'!$J$132&amp;"")</f>
        <v/>
      </c>
      <c r="E7" s="69" t="inlineStr">
        <is>
          <t>סגול</t>
        </is>
      </c>
      <c r="F7" s="88">
        <f>IF($A7="","",COUNTIF('חניכים'!$B$3:$B$132,$A7))</f>
        <v/>
      </c>
    </row>
    <row r="8" ht="46" customHeight="1">
      <c r="A8" s="80" t="n"/>
      <c r="B8" s="86" t="n"/>
      <c r="C8" s="69" t="n"/>
      <c r="D8" s="87">
        <f>IF($A8="","",'חניכים'!$K$132&amp;"")</f>
        <v/>
      </c>
      <c r="E8" s="69" t="inlineStr">
        <is>
          <t>ירוק</t>
        </is>
      </c>
      <c r="F8" s="88">
        <f>IF($A8="","",COUNTIF('חניכים'!$B$3:$B$132,$A8))</f>
        <v/>
      </c>
    </row>
    <row r="10" ht="28" customHeight="1">
      <c r="A10" s="24" t="inlineStr">
        <is>
          <t>שמות הקבוצות והמובילים נקבעים כאן. «חבילת אחריות» היא תחום האחריות של הקבוצה בשבת הזו. רשימת החניכים מחושבת מגיליון «חניכים» — אין מה להקליד בה. ערכת הצבע קובעת את צבע הכרטיסייה.</t>
        </is>
      </c>
    </row>
  </sheetData>
  <mergeCells count="2">
    <mergeCell ref="A1:F1"/>
    <mergeCell ref="A10:F10"/>
  </mergeCells>
  <dataValidations count="1">
    <dataValidation sqref="E3:E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2026-09-03T19:46:56Z</dcterms:created>
  <dcterms:modified xsi:type="dcterms:W3CDTF">2026-09-03T19:51:12Z</dcterms:modified>
</cp:coreProperties>
</file>