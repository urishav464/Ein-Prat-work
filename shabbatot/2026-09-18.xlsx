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לוח בקרה" sheetId="1" state="visible" r:id="rId1"/>
    <sheet name="לוז" sheetId="2" state="visible" r:id="rId2"/>
    <sheet name="משימות" sheetId="3" state="visible" r:id="rId3"/>
    <sheet name="קבוצות" sheetId="4" state="visible" r:id="rId4"/>
    <sheet name="חניכים" sheetId="5" state="visible" r:id="rId5"/>
    <sheet name="היסטוריה" sheetId="6" state="visible" r:id="rId6"/>
    <sheet name="מתכונים" sheetId="7" state="visible" r:id="rId7"/>
    <sheet name="קייטרינג" sheetId="8" state="visible" r:id="rId8"/>
    <sheet name="זמנים" sheetId="9" state="visible" r:id="rId9"/>
  </sheets>
  <definedNames/>
  <calcPr calcId="124519" fullCalcOnLoad="1"/>
</workbook>
</file>

<file path=xl/styles.xml><?xml version="1.0" encoding="utf-8"?>
<styleSheet xmlns="http://schemas.openxmlformats.org/spreadsheetml/2006/main">
  <numFmts count="3">
    <numFmt numFmtId="164" formatCode="dd/mm/yyyy"/>
    <numFmt numFmtId="165" formatCode="hh:mm"/>
    <numFmt numFmtId="166" formatCode="yyyy-mm-dd"/>
  </numFmts>
  <fonts count="14">
    <font>
      <name val="Calibri"/>
      <family val="2"/>
      <color theme="1"/>
      <sz val="11"/>
      <scheme val="minor"/>
    </font>
    <font>
      <name val="Arial"/>
      <b val="1"/>
      <color rgb="002E5C8A"/>
      <sz val="20"/>
    </font>
    <font>
      <name val="Arial"/>
      <i val="1"/>
      <color rgb="006B7280"/>
      <sz val="10"/>
    </font>
    <font>
      <name val="Arial"/>
      <b val="1"/>
      <color rgb="001F2430"/>
      <sz val="11"/>
    </font>
    <font>
      <name val="Arial"/>
      <b val="1"/>
      <color rgb="001F2430"/>
      <sz val="12"/>
    </font>
    <font>
      <name val="Arial"/>
      <b val="1"/>
      <color rgb="00FFFFFF"/>
      <sz val="11"/>
    </font>
    <font>
      <name val="Arial"/>
      <b val="1"/>
      <color rgb="002E5C8A"/>
      <sz val="13"/>
    </font>
    <font>
      <name val="Arial"/>
      <b val="1"/>
      <color rgb="002E5C8A"/>
      <sz val="11"/>
    </font>
    <font>
      <name val="Arial"/>
      <color rgb="001F2430"/>
      <sz val="11"/>
    </font>
    <font>
      <name val="Arial"/>
      <b val="1"/>
      <color rgb="002E5C8A"/>
      <sz val="12"/>
    </font>
    <font>
      <name val="Arial"/>
      <color rgb="006B7280"/>
      <sz val="10"/>
    </font>
    <font>
      <name val="Arial"/>
      <b val="1"/>
      <color rgb="002E5C8A"/>
      <sz val="18"/>
    </font>
    <font>
      <name val="Arial"/>
      <color rgb="001F2430"/>
      <sz val="10"/>
    </font>
    <font>
      <name val="Arial"/>
      <b val="1"/>
      <color rgb="002E5C8A"/>
      <sz val="16"/>
    </font>
  </fonts>
  <fills count="10">
    <fill>
      <patternFill/>
    </fill>
    <fill>
      <patternFill patternType="gray125"/>
    </fill>
    <fill>
      <patternFill patternType="solid">
        <fgColor rgb="00EDF1F6"/>
      </patternFill>
    </fill>
    <fill>
      <patternFill patternType="solid">
        <fgColor rgb="00EEF3F8"/>
      </patternFill>
    </fill>
    <fill>
      <patternFill patternType="solid">
        <fgColor rgb="002E5C8A"/>
      </patternFill>
    </fill>
    <fill>
      <patternFill patternType="solid">
        <fgColor rgb="00FFF9E3"/>
      </patternFill>
    </fill>
    <fill>
      <patternFill patternType="solid">
        <fgColor rgb="00E8F0F8"/>
      </patternFill>
    </fill>
    <fill>
      <patternFill patternType="solid">
        <fgColor rgb="00F3EDE3"/>
      </patternFill>
    </fill>
    <fill>
      <patternFill patternType="solid">
        <fgColor rgb="00E3F4F1"/>
      </patternFill>
    </fill>
    <fill>
      <patternFill patternType="solid">
        <fgColor rgb="00EDEAF5"/>
      </patternFill>
    </fill>
  </fills>
  <borders count="5">
    <border>
      <left/>
      <right/>
      <top/>
      <bottom/>
      <diagonal/>
    </border>
    <border>
      <left style="thin">
        <color rgb="00C9CFD8"/>
      </left>
      <right style="thin">
        <color rgb="00C9CFD8"/>
      </right>
      <top style="thin">
        <color rgb="00C9CFD8"/>
      </top>
      <bottom style="thin">
        <color rgb="00C9CFD8"/>
      </bottom>
    </border>
    <border>
      <left/>
      <right/>
      <top style="thin">
        <color rgb="00C9CFD8"/>
      </top>
      <bottom/>
      <diagonal/>
    </border>
    <border>
      <left/>
      <right style="thin">
        <color rgb="00C9CFD8"/>
      </right>
      <top style="thin">
        <color rgb="00C9CFD8"/>
      </top>
      <bottom/>
      <diagonal/>
    </border>
    <border>
      <left/>
      <right style="thin">
        <color rgb="00C9CFD8"/>
      </right>
      <top style="thin">
        <color rgb="00C9CFD8"/>
      </top>
      <bottom style="thin">
        <color rgb="00C9CFD8"/>
      </bottom>
      <diagonal/>
    </border>
  </borders>
  <cellStyleXfs count="1">
    <xf numFmtId="0" fontId="0" fillId="0" borderId="0"/>
  </cellStyleXfs>
  <cellXfs count="46">
    <xf numFmtId="0" fontId="0" fillId="0" borderId="0" pivotButton="0" quotePrefix="0" xfId="0"/>
    <xf numFmtId="0" fontId="1" fillId="0" borderId="0" applyAlignment="1" pivotButton="0" quotePrefix="0" xfId="0">
      <alignment horizontal="right" vertical="center" readingOrder="2"/>
    </xf>
    <xf numFmtId="0" fontId="2" fillId="0" borderId="0" applyAlignment="1" pivotButton="0" quotePrefix="0" xfId="0">
      <alignment horizontal="right" vertical="center" readingOrder="2"/>
    </xf>
    <xf numFmtId="0" fontId="3" fillId="2" borderId="1" applyAlignment="1" pivotButton="0" quotePrefix="0" xfId="0">
      <alignment horizontal="right" vertical="center" readingOrder="2"/>
    </xf>
    <xf numFmtId="164" fontId="4" fillId="3" borderId="1" applyAlignment="1" pivotButton="0" quotePrefix="0" xfId="0">
      <alignment horizontal="center" vertical="center" readingOrder="2"/>
    </xf>
    <xf numFmtId="0" fontId="6" fillId="0" borderId="0" applyAlignment="1" pivotButton="0" quotePrefix="0" xfId="0">
      <alignment horizontal="right" vertical="center" readingOrder="2"/>
    </xf>
    <xf numFmtId="165" fontId="4" fillId="3" borderId="1" applyAlignment="1" pivotButton="0" quotePrefix="0" xfId="0">
      <alignment horizontal="center" vertical="center" readingOrder="2"/>
    </xf>
    <xf numFmtId="0" fontId="7" fillId="0" borderId="0" applyAlignment="1" pivotButton="0" quotePrefix="0" xfId="0">
      <alignment horizontal="center" vertical="top" readingOrder="2"/>
    </xf>
    <xf numFmtId="0" fontId="8" fillId="0" borderId="0" applyAlignment="1" pivotButton="0" quotePrefix="0" xfId="0">
      <alignment horizontal="right" vertical="top" wrapText="1" readingOrder="2"/>
    </xf>
    <xf numFmtId="0" fontId="5" fillId="4" borderId="1" applyAlignment="1" pivotButton="0" quotePrefix="0" xfId="0">
      <alignment horizontal="center" vertical="center" wrapText="1" readingOrder="2"/>
    </xf>
    <xf numFmtId="0" fontId="0" fillId="0" borderId="4" pivotButton="0" quotePrefix="0" xfId="0"/>
    <xf numFmtId="0" fontId="4" fillId="3" borderId="1" applyAlignment="1" pivotButton="0" quotePrefix="0" xfId="0">
      <alignment horizontal="center" vertical="center" readingOrder="2"/>
    </xf>
    <xf numFmtId="0" fontId="2" fillId="0" borderId="1" applyAlignment="1" pivotButton="0" quotePrefix="0" xfId="0">
      <alignment horizontal="right" vertical="center" readingOrder="2"/>
    </xf>
    <xf numFmtId="164" fontId="4" fillId="5" borderId="1" applyAlignment="1" pivotButton="0" quotePrefix="0" xfId="0">
      <alignment horizontal="center" vertical="center" readingOrder="2"/>
    </xf>
    <xf numFmtId="0" fontId="8" fillId="3" borderId="1" applyAlignment="1" pivotButton="0" quotePrefix="0" xfId="0">
      <alignment horizontal="right" vertical="center" readingOrder="2"/>
    </xf>
    <xf numFmtId="165" fontId="9" fillId="3" borderId="1" applyAlignment="1" pivotButton="0" quotePrefix="0" xfId="0">
      <alignment horizontal="center" vertical="center" readingOrder="2"/>
    </xf>
    <xf numFmtId="0" fontId="3" fillId="6" borderId="1" applyAlignment="1" pivotButton="0" quotePrefix="0" xfId="0">
      <alignment horizontal="center" vertical="center" readingOrder="2"/>
    </xf>
    <xf numFmtId="165" fontId="4" fillId="5" borderId="1" applyAlignment="1" pivotButton="0" quotePrefix="0" xfId="0">
      <alignment horizontal="center" vertical="center" readingOrder="2"/>
    </xf>
    <xf numFmtId="0" fontId="3" fillId="5" borderId="1" applyAlignment="1" pivotButton="0" quotePrefix="0" xfId="0">
      <alignment horizontal="right" vertical="center" readingOrder="2"/>
    </xf>
    <xf numFmtId="0" fontId="8" fillId="5" borderId="1" applyAlignment="1" pivotButton="0" quotePrefix="0" xfId="0">
      <alignment horizontal="right" vertical="center" readingOrder="2"/>
    </xf>
    <xf numFmtId="0" fontId="8" fillId="5" borderId="1" applyAlignment="1" pivotButton="0" quotePrefix="0" xfId="0">
      <alignment horizontal="right" vertical="top" wrapText="1" readingOrder="2"/>
    </xf>
    <xf numFmtId="165" fontId="10" fillId="3" borderId="1" applyAlignment="1" pivotButton="0" quotePrefix="0" xfId="0">
      <alignment horizontal="center" vertical="center" readingOrder="2"/>
    </xf>
    <xf numFmtId="0" fontId="8" fillId="3" borderId="1" applyAlignment="1" pivotButton="0" quotePrefix="0" xfId="0">
      <alignment horizontal="center" vertical="center" readingOrder="2"/>
    </xf>
    <xf numFmtId="0" fontId="3" fillId="7"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2" fillId="0" borderId="0" applyAlignment="1" pivotButton="0" quotePrefix="0" xfId="0">
      <alignment horizontal="right" vertical="center" wrapText="1" readingOrder="2"/>
    </xf>
    <xf numFmtId="0" fontId="11" fillId="0" borderId="0" applyAlignment="1" pivotButton="0" quotePrefix="0" xfId="0">
      <alignment horizontal="right" vertical="center" readingOrder="2"/>
    </xf>
    <xf numFmtId="0" fontId="8" fillId="5" borderId="1" applyAlignment="1" pivotButton="0" quotePrefix="0" xfId="0">
      <alignment horizontal="center" vertical="center" readingOrder="2"/>
    </xf>
    <xf numFmtId="0" fontId="8" fillId="6" borderId="1" applyAlignment="1" pivotButton="0" quotePrefix="0" xfId="0">
      <alignment horizontal="center" vertical="center" readingOrder="2"/>
    </xf>
    <xf numFmtId="165" fontId="3" fillId="5" borderId="1" applyAlignment="1" pivotButton="0" quotePrefix="0" xfId="0">
      <alignment horizontal="center" vertical="center" readingOrder="2"/>
    </xf>
    <xf numFmtId="0" fontId="8" fillId="8" borderId="1" applyAlignment="1" pivotButton="0" quotePrefix="0" xfId="0">
      <alignment horizontal="right" vertical="top" wrapText="1" readingOrder="2"/>
    </xf>
    <xf numFmtId="0" fontId="8" fillId="7" borderId="1" applyAlignment="1" pivotButton="0" quotePrefix="0" xfId="0">
      <alignment horizontal="center" vertical="center" readingOrder="2"/>
    </xf>
    <xf numFmtId="0" fontId="8" fillId="9" borderId="1" applyAlignment="1" pivotButton="0" quotePrefix="0" xfId="0">
      <alignment horizontal="center" vertical="center" readingOrder="2"/>
    </xf>
    <xf numFmtId="0" fontId="8" fillId="8" borderId="1" applyAlignment="1" pivotButton="0" quotePrefix="0" xfId="0">
      <alignment horizontal="right" vertical="center" readingOrder="2"/>
    </xf>
    <xf numFmtId="0" fontId="8" fillId="8" borderId="1" applyAlignment="1" pivotButton="0" quotePrefix="0" xfId="0">
      <alignment horizontal="center" vertical="center" readingOrder="2"/>
    </xf>
    <xf numFmtId="164" fontId="12" fillId="0" borderId="0" applyAlignment="1" pivotButton="0" quotePrefix="0" xfId="0">
      <alignment horizontal="center" vertical="center" readingOrder="2"/>
    </xf>
    <xf numFmtId="0" fontId="12" fillId="0" borderId="0" applyAlignment="1" pivotButton="0" quotePrefix="0" xfId="0">
      <alignment horizontal="right" vertical="center" readingOrder="2"/>
    </xf>
    <xf numFmtId="0" fontId="12" fillId="0" borderId="0" applyAlignment="1" pivotButton="0" quotePrefix="0" xfId="0">
      <alignment horizontal="center" vertical="center" readingOrder="2"/>
    </xf>
    <xf numFmtId="0" fontId="13" fillId="0" borderId="0" applyAlignment="1" pivotButton="0" quotePrefix="0" xfId="0">
      <alignment horizontal="right" vertical="center" readingOrder="2"/>
    </xf>
    <xf numFmtId="164" fontId="8" fillId="0" borderId="1" applyAlignment="1" pivotButton="0" quotePrefix="0" xfId="0">
      <alignment horizontal="center" vertical="center" readingOrder="2"/>
    </xf>
    <xf numFmtId="0" fontId="8" fillId="0" borderId="1" applyAlignment="1" pivotButton="0" quotePrefix="0" xfId="0">
      <alignment horizontal="right" vertical="center" readingOrder="2"/>
    </xf>
    <xf numFmtId="165" fontId="8" fillId="5" borderId="1" applyAlignment="1" pivotButton="0" quotePrefix="0" xfId="0">
      <alignment horizontal="center" vertical="center" readingOrder="2"/>
    </xf>
    <xf numFmtId="0" fontId="2" fillId="0" borderId="0" applyAlignment="1" pivotButton="0" quotePrefix="0" xfId="0">
      <alignment horizontal="right" vertical="top" wrapText="1" readingOrder="2"/>
    </xf>
    <xf numFmtId="164" fontId="12" fillId="0" borderId="0" applyAlignment="1" pivotButton="0" quotePrefix="0" xfId="0">
      <alignment horizontal="center" vertical="center" readingOrder="2"/>
    </xf>
    <xf numFmtId="0" fontId="12" fillId="0" borderId="0" applyAlignment="1" pivotButton="0" quotePrefix="0" xfId="0">
      <alignment horizontal="right" vertical="center" readingOrder="2"/>
    </xf>
    <xf numFmtId="0" fontId="12" fillId="0" borderId="0" applyAlignment="1" pivotButton="0" quotePrefix="0" xfId="0">
      <alignment horizontal="center" vertical="center"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AA5B1"/>
    <outlinePr summaryBelow="1" summaryRight="1"/>
    <pageSetUpPr fitToPage="1"/>
  </sheetPr>
  <dimension ref="A1:E16"/>
  <sheetViews>
    <sheetView showGridLines="0" rightToLeft="1" workbookViewId="0">
      <selection activeCell="A1" sqref="A1"/>
    </sheetView>
  </sheetViews>
  <sheetFormatPr baseColWidth="8" defaultRowHeight="15"/>
  <cols>
    <col width="26" customWidth="1" min="1" max="1"/>
    <col width="14" customWidth="1" min="2" max="2"/>
    <col width="44" customWidth="1" min="3" max="3"/>
    <col width="4" customWidth="1" min="4" max="4"/>
    <col width="70" customWidth="1" min="5" max="5"/>
  </cols>
  <sheetData>
    <row r="1" ht="40" customHeight="1">
      <c r="A1" s="1" t="inlineStr">
        <is>
          <t>הכנת שבת — מדרשת עין פרת</t>
        </is>
      </c>
    </row>
    <row r="2">
      <c r="A2" s="2" t="inlineStr">
        <is>
          <t>צהוב = ממלאים · טורקיז = הסקריפט כותב · אפור = מחושב</t>
        </is>
      </c>
    </row>
    <row r="4" ht="22" customHeight="1">
      <c r="A4" s="3" t="inlineStr">
        <is>
          <t>שבת</t>
        </is>
      </c>
      <c r="B4" s="4">
        <f>IF('לוז'!B3="","— בחר תאריך ב«לוז» —",'לוז'!B3)</f>
        <v/>
      </c>
      <c r="E4" s="5" t="inlineStr">
        <is>
          <t>סדר העבודה</t>
        </is>
      </c>
    </row>
    <row r="5" ht="34" customHeight="1">
      <c r="A5" s="3" t="inlineStr">
        <is>
          <t>כניסת שבת</t>
        </is>
      </c>
      <c r="B5" s="6">
        <f>'לוז'!B4</f>
        <v/>
      </c>
      <c r="D5" s="7" t="inlineStr">
        <is>
          <t>1</t>
        </is>
      </c>
      <c r="E5" s="8" t="inlineStr">
        <is>
          <t>«לוז» — בוחרים תאריך, מתקנים שעות ומקומות. «הצעה» מתעדכנת לבד; «שעה» היא מה שנשלח.</t>
        </is>
      </c>
    </row>
    <row r="6" ht="34" customHeight="1">
      <c r="A6" s="3" t="inlineStr">
        <is>
          <t>צאת שבת</t>
        </is>
      </c>
      <c r="B6" s="6">
        <f>'לוז'!D4</f>
        <v/>
      </c>
      <c r="D6" s="7" t="inlineStr">
        <is>
          <t>2</t>
        </is>
      </c>
      <c r="E6" s="8" t="inlineStr">
        <is>
          <t>«משימות» — לכל משימה: שלב, יום, שעה, קבוצה, כמה אנשים, מתכון (לצוות הכנה), ניקוד ועוגן בלו"ז.</t>
        </is>
      </c>
    </row>
    <row r="7" ht="34" customHeight="1">
      <c r="D7" s="7" t="inlineStr">
        <is>
          <t>3</t>
        </is>
      </c>
      <c r="E7" s="8" t="inlineStr">
        <is>
          <t>python3 tools/assign_groups.py &lt;תאריך&gt; — ממלא «שמות», «קבוצות», «חניכים» ו«היסטוריה».</t>
        </is>
      </c>
    </row>
    <row r="8" ht="34" customHeight="1">
      <c r="A8" s="9" t="inlineStr">
        <is>
          <t>מצב ההכנה</t>
        </is>
      </c>
      <c r="B8" s="10" t="n"/>
      <c r="C8" s="9" t="inlineStr">
        <is>
          <t>הערה</t>
        </is>
      </c>
      <c r="D8" s="7" t="inlineStr">
        <is>
          <t>4</t>
        </is>
      </c>
      <c r="E8" s="8" t="inlineStr">
        <is>
          <t>python3 tools/export_pdf.py &lt;תאריך&gt; — לו"ז צל + פלייר לכל קבוצת עבודה. ערכת בשיטס? הורד כ-xlsx והרץ שוב.</t>
        </is>
      </c>
    </row>
    <row r="9" ht="22" customHeight="1">
      <c r="A9" s="3" t="inlineStr">
        <is>
          <t>נוכחים השבת</t>
        </is>
      </c>
      <c r="B9" s="11">
        <f>COUNTIF('חניכים'!$D$3:$D$132,"כן")+COUNTIF('חניכים'!$D$3:$D$132,"לא")</f>
        <v/>
      </c>
      <c r="C9" s="12" t="inlineStr">
        <is>
          <t>מתוך רשימת הנוכחות</t>
        </is>
      </c>
    </row>
    <row r="10" ht="22" customHeight="1">
      <c r="A10" s="3" t="inlineStr">
        <is>
          <t>זמינים לתורנות</t>
        </is>
      </c>
      <c r="B10" s="11">
        <f>COUNTIF('חניכים'!$D$3:$D$132,"כן")</f>
        <v/>
      </c>
      <c r="C10" s="12" t="n"/>
    </row>
    <row r="11" ht="22" customHeight="1">
      <c r="A11" s="3" t="inlineStr">
        <is>
          <t>בתורנות</t>
        </is>
      </c>
      <c r="B11" s="11">
        <f>COUNTA('חניכים'!$E$3:$E$132)</f>
        <v/>
      </c>
      <c r="C11" s="12" t="inlineStr">
        <is>
          <t>חניכים עם קבוצה אחת לפחות</t>
        </is>
      </c>
      <c r="E11" s="5" t="inlineStr">
        <is>
          <t>איך זה עובד</t>
        </is>
      </c>
    </row>
    <row r="12" ht="34" customHeight="1">
      <c r="A12" s="3" t="inlineStr">
        <is>
          <t>זמינים בלי תורנות</t>
        </is>
      </c>
      <c r="B12" s="11">
        <f>COUNTIFS('חניכים'!$D$3:$D$132,"כן",'חניכים'!$E$3:$E$132,"")</f>
        <v/>
      </c>
      <c r="C12" s="12" t="n"/>
      <c r="D12" s="7" t="inlineStr">
        <is>
          <t>•</t>
        </is>
      </c>
      <c r="E12" s="8" t="inlineStr">
        <is>
          <t>שלבים: הכנות שישי (בוקר) · תורנות שישי (צהריים–אחה"צ) · תורנות שבת (ערב ושבת). חניך יכול להיות בקבוצה אחת בכל שלב.</t>
        </is>
      </c>
    </row>
    <row r="13" ht="34" customHeight="1">
      <c r="A13" s="3" t="inlineStr">
        <is>
          <t>משימות</t>
        </is>
      </c>
      <c r="B13" s="11">
        <f>COUNTA('משימות'!$E$3:$E$122)</f>
        <v/>
      </c>
      <c r="C13" s="12" t="n"/>
      <c r="D13" s="7" t="inlineStr">
        <is>
          <t>•</t>
        </is>
      </c>
      <c r="E13" s="8" t="inlineStr">
        <is>
          <t>גודל קבוצה = שיא האנשים שנדרשים בו-זמנית במשימות שלה. משימה בלי שעה = כל הקבוצה. משימה בלי קבוצה = בלו"ז הצל בלי שמות.</t>
        </is>
      </c>
    </row>
    <row r="14" ht="34" customHeight="1">
      <c r="A14" s="3" t="inlineStr">
        <is>
          <t>משימות בלי שמות</t>
        </is>
      </c>
      <c r="B14" s="11">
        <f>COUNTA('משימות'!$E$3:$E$122)-COUNTA('משימות'!$G$3:$G$122)</f>
        <v/>
      </c>
      <c r="C14" s="12" t="inlineStr">
        <is>
          <t>להריץ שיבוץ, או להשלים ידנית</t>
        </is>
      </c>
      <c r="D14" s="7" t="inlineStr">
        <is>
          <t>•</t>
        </is>
      </c>
      <c r="E14" s="8" t="inlineStr">
        <is>
          <t>עוגן = האירוע בלו"ז שלידו המשימה מופיעה בלו"ז הצל. הרשימה הנגללת נלקחת מעמודת «אירוע» ב«לוז».</t>
        </is>
      </c>
    </row>
    <row r="15" ht="34" customHeight="1">
      <c r="A15" s="3" t="inlineStr">
        <is>
          <t>משימות בלי עוגן</t>
        </is>
      </c>
      <c r="B15" s="11">
        <f>COUNTA('משימות'!$E$3:$E$122)-COUNTA('משימות'!$I$3:$I$122)</f>
        <v/>
      </c>
      <c r="C15" s="12" t="inlineStr">
        <is>
          <t>לא יופיעו ליד אירוע בלו"ז הצל</t>
        </is>
      </c>
      <c r="D15" s="7" t="inlineStr">
        <is>
          <t>•</t>
        </is>
      </c>
      <c r="E15" s="8" t="inlineStr">
        <is>
          <t>«ניקוד» במשימה (1 רגיל, 2 קשה, 3 קשה מאוד) נצבר ל«חניכים» ול«היסטוריה» — מי שצבר פחות משובץ קודם.</t>
        </is>
      </c>
    </row>
    <row r="16" ht="34" customHeight="1">
      <c r="A16" s="3" t="inlineStr">
        <is>
          <t>קבוצות עבודה</t>
        </is>
      </c>
      <c r="B16" s="11">
        <f>COUNTA('קבוצות'!$A$3:$A$32)</f>
        <v/>
      </c>
      <c r="C16" s="12" t="inlineStr">
        <is>
          <t>פלייר לכל אחת</t>
        </is>
      </c>
      <c r="D16" s="7" t="inlineStr">
        <is>
          <t>•</t>
        </is>
      </c>
      <c r="E16" s="8" t="inlineStr">
        <is>
          <t>מתכון על הפלייר: ב«משימות» בוחרים מנה בעמודת «מתכון», והמתכון מ«מתכונים» מודפס בפלייר של הקבוצה.</t>
        </is>
      </c>
    </row>
  </sheetData>
  <mergeCells count="3">
    <mergeCell ref="A2:E2"/>
    <mergeCell ref="A8:B8"/>
    <mergeCell ref="A1:E1"/>
  </mergeCells>
  <pageMargins left="0.75" right="0.75" top="1" bottom="1" header="0.5" footer="0.5"/>
  <pageSetup paperSize="9" fitToHeight="0" fitToWidth="1"/>
</worksheet>
</file>

<file path=xl/worksheets/sheet2.xml><?xml version="1.0" encoding="utf-8"?>
<worksheet xmlns="http://schemas.openxmlformats.org/spreadsheetml/2006/main">
  <sheetPr>
    <tabColor rgb="00E8A33D"/>
    <outlinePr summaryBelow="1" summaryRight="1"/>
    <pageSetUpPr fitToPage="1"/>
  </sheetPr>
  <dimension ref="A1:G38"/>
  <sheetViews>
    <sheetView showGridLines="0" rightToLeft="1" workbookViewId="0">
      <pane ySplit="6" topLeftCell="A7" activePane="bottomLeft" state="frozen"/>
      <selection pane="bottomLeft" activeCell="A1" sqref="A1"/>
    </sheetView>
  </sheetViews>
  <sheetFormatPr baseColWidth="8" defaultRowHeight="15"/>
  <cols>
    <col width="12" customWidth="1" min="1" max="1"/>
    <col width="11" customWidth="1" min="2" max="2"/>
    <col width="30" customWidth="1" min="3" max="3"/>
    <col width="18" customWidth="1" min="4" max="4"/>
    <col width="32" customWidth="1" min="5" max="5"/>
    <col width="11" customWidth="1" min="6" max="6"/>
    <col width="10" customWidth="1" min="7" max="7"/>
  </cols>
  <sheetData>
    <row r="1" ht="40" customHeight="1">
      <c r="A1" s="1" t="inlineStr">
        <is>
          <t>לו"ז השבת</t>
        </is>
      </c>
    </row>
    <row r="3" ht="22" customHeight="1">
      <c r="A3" s="3" t="inlineStr">
        <is>
          <t>תאריך השבת</t>
        </is>
      </c>
      <c r="B3" s="13" t="n">
        <v>46283</v>
      </c>
      <c r="C3" s="3" t="inlineStr">
        <is>
          <t>פרשה</t>
        </is>
      </c>
      <c r="D3" s="14">
        <f>IFERROR(VLOOKUP($B$3,'זמנים'!$A$3:$D$400,2,FALSE),"")</f>
        <v/>
      </c>
      <c r="E3" s="2" t="inlineStr">
        <is>
          <t>בחר תאריך מהרשימה — כניסה, צאה ופרשה נטענות מ«זמנים»</t>
        </is>
      </c>
    </row>
    <row r="4" ht="22" customHeight="1">
      <c r="A4" s="3" t="inlineStr">
        <is>
          <t>כניסת שבת</t>
        </is>
      </c>
      <c r="B4" s="15">
        <f>IFERROR(VLOOKUP($B$3,'זמנים'!$A$3:$D$400,3,FALSE),"")</f>
        <v/>
      </c>
      <c r="C4" s="3" t="inlineStr">
        <is>
          <t>צאת שבת</t>
        </is>
      </c>
      <c r="D4" s="15">
        <f>IFERROR(VLOOKUP($B$3,'זמנים'!$A$3:$D$400,4,FALSE),"")</f>
        <v/>
      </c>
    </row>
    <row r="6" ht="24" customHeight="1">
      <c r="A6" s="9" t="inlineStr">
        <is>
          <t>יום</t>
        </is>
      </c>
      <c r="B6" s="9" t="inlineStr">
        <is>
          <t>שעה</t>
        </is>
      </c>
      <c r="C6" s="9" t="inlineStr">
        <is>
          <t>אירוע</t>
        </is>
      </c>
      <c r="D6" s="9" t="inlineStr">
        <is>
          <t>מקום</t>
        </is>
      </c>
      <c r="E6" s="9" t="inlineStr">
        <is>
          <t>הערה</t>
        </is>
      </c>
      <c r="F6" s="9" t="inlineStr">
        <is>
          <t>הצעה</t>
        </is>
      </c>
      <c r="G6" s="9" t="inlineStr">
        <is>
          <t>משימות</t>
        </is>
      </c>
    </row>
    <row r="7" ht="22" customHeight="1">
      <c r="A7" s="16" t="inlineStr">
        <is>
          <t>שישי</t>
        </is>
      </c>
      <c r="B7" s="17" t="n">
        <v>0.3333333333333333</v>
      </c>
      <c r="C7" s="18" t="inlineStr">
        <is>
          <t>תחילת עבודה</t>
        </is>
      </c>
      <c r="D7" s="19" t="n"/>
      <c r="E7" s="20" t="n"/>
      <c r="F7" s="21" t="n">
        <v>0.3333333333333333</v>
      </c>
      <c r="G7" s="22">
        <f>IF(C7="","",COUNTIF('משימות'!$I$3:$I$122,C7))</f>
        <v/>
      </c>
    </row>
    <row r="8" ht="22" customHeight="1">
      <c r="A8" s="16" t="inlineStr">
        <is>
          <t>שישי</t>
        </is>
      </c>
      <c r="B8" s="17" t="n">
        <v>0.5</v>
      </c>
      <c r="C8" s="18" t="inlineStr">
        <is>
          <t>ארוחת צהריים</t>
        </is>
      </c>
      <c r="D8" s="19" t="n"/>
      <c r="E8" s="20" t="n"/>
      <c r="F8" s="21" t="n">
        <v>0.5</v>
      </c>
      <c r="G8" s="22">
        <f>IF(C8="","",COUNTIF('משימות'!$I$3:$I$122,C8))</f>
        <v/>
      </c>
    </row>
    <row r="9" ht="22" customHeight="1">
      <c r="A9" s="16" t="inlineStr">
        <is>
          <t>שישי</t>
        </is>
      </c>
      <c r="B9" s="17" t="n">
        <v>0.7513888888888889</v>
      </c>
      <c r="C9" s="18" t="inlineStr">
        <is>
          <t>הדלקת נרות</t>
        </is>
      </c>
      <c r="D9" s="19" t="n"/>
      <c r="E9" s="20" t="n"/>
      <c r="F9" s="21">
        <f>IF($B$4="","",$B$4)</f>
        <v/>
      </c>
      <c r="G9" s="22">
        <f>IF(C9="","",COUNTIF('משימות'!$I$3:$I$122,C9))</f>
        <v/>
      </c>
    </row>
    <row r="10" ht="22" customHeight="1">
      <c r="A10" s="16" t="inlineStr">
        <is>
          <t>שישי</t>
        </is>
      </c>
      <c r="B10" s="17" t="n">
        <v>0.7569444444444444</v>
      </c>
      <c r="C10" s="18" t="inlineStr">
        <is>
          <t>קבלת שבת וערבית</t>
        </is>
      </c>
      <c r="D10" s="19" t="inlineStr">
        <is>
          <t>בית מיכאל</t>
        </is>
      </c>
      <c r="E10" s="20" t="n"/>
      <c r="F10" s="21">
        <f>IF($B$4="","",ROUND(($B$4+TIME(0,10,0))*288,0)/288)</f>
        <v/>
      </c>
      <c r="G10" s="22">
        <f>IF(C10="","",COUNTIF('משימות'!$I$3:$I$122,C10))</f>
        <v/>
      </c>
    </row>
    <row r="11" ht="22" customHeight="1">
      <c r="A11" s="16" t="inlineStr">
        <is>
          <t>שישי</t>
        </is>
      </c>
      <c r="B11" s="17" t="n">
        <v>0.8194444444444444</v>
      </c>
      <c r="C11" s="18" t="inlineStr">
        <is>
          <t>סעודת שבת</t>
        </is>
      </c>
      <c r="D11" s="19" t="inlineStr">
        <is>
          <t>חדר אוכל</t>
        </is>
      </c>
      <c r="E11" s="20" t="n"/>
      <c r="F11" s="21">
        <f>IF($B$4="","",ROUND(($B$4+TIME(1,40,0))*288,0)/288)</f>
        <v/>
      </c>
      <c r="G11" s="22">
        <f>IF(C11="","",COUNTIF('משימות'!$I$3:$I$122,C11))</f>
        <v/>
      </c>
    </row>
    <row r="12" ht="22" customHeight="1">
      <c r="A12" s="16" t="inlineStr">
        <is>
          <t>שישי</t>
        </is>
      </c>
      <c r="B12" s="17" t="n">
        <v>0.8819444444444444</v>
      </c>
      <c r="C12" s="18" t="inlineStr">
        <is>
          <t>טיש בחדר אוכל</t>
        </is>
      </c>
      <c r="D12" s="19" t="inlineStr">
        <is>
          <t>חדר אוכל</t>
        </is>
      </c>
      <c r="E12" s="20" t="n"/>
      <c r="F12" s="21">
        <f>IF($B$4="","",ROUND(($B$4+TIME(3,10,0))*288,0)/288)</f>
        <v/>
      </c>
      <c r="G12" s="22">
        <f>IF(C12="","",COUNTIF('משימות'!$I$3:$I$122,C12))</f>
        <v/>
      </c>
    </row>
    <row r="13" ht="22" customHeight="1">
      <c r="A13" s="23" t="inlineStr">
        <is>
          <t>שבת</t>
        </is>
      </c>
      <c r="B13" s="17" t="n">
        <v>0.4583333333333333</v>
      </c>
      <c r="C13" s="18" t="inlineStr">
        <is>
          <t>קידוש</t>
        </is>
      </c>
      <c r="D13" s="19" t="n"/>
      <c r="E13" s="20" t="n"/>
      <c r="F13" s="21" t="n">
        <v>0.4583333333333333</v>
      </c>
      <c r="G13" s="22">
        <f>IF(C13="","",COUNTIF('משימות'!$I$3:$I$122,C13))</f>
        <v/>
      </c>
    </row>
    <row r="14" ht="22" customHeight="1">
      <c r="A14" s="23" t="inlineStr">
        <is>
          <t>שבת</t>
        </is>
      </c>
      <c r="B14" s="17" t="n">
        <v>0.4895833333333333</v>
      </c>
      <c r="C14" s="18" t="inlineStr">
        <is>
          <t>חבורות</t>
        </is>
      </c>
      <c r="D14" s="19" t="n"/>
      <c r="E14" s="20" t="n"/>
      <c r="F14" s="21" t="n">
        <v>0.4895833333333333</v>
      </c>
      <c r="G14" s="22">
        <f>IF(C14="","",COUNTIF('משימות'!$I$3:$I$122,C14))</f>
        <v/>
      </c>
    </row>
    <row r="15" ht="22" customHeight="1">
      <c r="A15" s="23" t="inlineStr">
        <is>
          <t>שבת</t>
        </is>
      </c>
      <c r="B15" s="17" t="n">
        <v>0.5520833333333334</v>
      </c>
      <c r="C15" s="18" t="inlineStr">
        <is>
          <t>ארוחת צהריים</t>
        </is>
      </c>
      <c r="D15" s="19" t="inlineStr">
        <is>
          <t>חדר אוכל</t>
        </is>
      </c>
      <c r="E15" s="20" t="n"/>
      <c r="F15" s="21" t="n">
        <v>0.5520833333333334</v>
      </c>
      <c r="G15" s="22">
        <f>IF(C15="","",COUNTIF('משימות'!$I$3:$I$122,C15))</f>
        <v/>
      </c>
    </row>
    <row r="16" ht="22" customHeight="1">
      <c r="A16" s="23" t="inlineStr">
        <is>
          <t>שבת</t>
        </is>
      </c>
      <c r="B16" s="17" t="n">
        <v>0.7083333333333334</v>
      </c>
      <c r="C16" s="18" t="inlineStr">
        <is>
          <t>שיעור</t>
        </is>
      </c>
      <c r="D16" s="19" t="n"/>
      <c r="E16" s="20" t="n"/>
      <c r="F16" s="21" t="n">
        <v>0.7083333333333334</v>
      </c>
      <c r="G16" s="22">
        <f>IF(C16="","",COUNTIF('משימות'!$I$3:$I$122,C16))</f>
        <v/>
      </c>
    </row>
    <row r="17" ht="22" customHeight="1">
      <c r="A17" s="23" t="inlineStr">
        <is>
          <t>שבת</t>
        </is>
      </c>
      <c r="B17" s="17" t="n">
        <v>0.7361111111111112</v>
      </c>
      <c r="C17" s="18" t="inlineStr">
        <is>
          <t>סעודה שלישית</t>
        </is>
      </c>
      <c r="D17" s="19" t="n"/>
      <c r="E17" s="20" t="n"/>
      <c r="F17" s="21">
        <f>IF($D$4="","",ROUND(($D$4-TIME(1,40,0))*288,0)/288)</f>
        <v/>
      </c>
      <c r="G17" s="22">
        <f>IF(C17="","",COUNTIF('משימות'!$I$3:$I$122,C17))</f>
        <v/>
      </c>
    </row>
    <row r="18" ht="22" customHeight="1">
      <c r="A18" s="23" t="inlineStr">
        <is>
          <t>שבת</t>
        </is>
      </c>
      <c r="B18" s="17" t="n">
        <v>0.8055555555555556</v>
      </c>
      <c r="C18" s="18" t="inlineStr">
        <is>
          <t>הבדלה</t>
        </is>
      </c>
      <c r="D18" s="19" t="n"/>
      <c r="E18" s="20" t="n"/>
      <c r="F18" s="21">
        <f>IF($D$4="","",$D$4)</f>
        <v/>
      </c>
      <c r="G18" s="22">
        <f>IF(C18="","",COUNTIF('משימות'!$I$3:$I$122,C18))</f>
        <v/>
      </c>
    </row>
    <row r="19" ht="22" customHeight="1">
      <c r="A19" s="23" t="inlineStr">
        <is>
          <t>שבת</t>
        </is>
      </c>
      <c r="B19" s="17" t="n">
        <v>0.8194444444444444</v>
      </c>
      <c r="C19" s="18" t="inlineStr">
        <is>
          <t>ניקיונות מוצ"ש</t>
        </is>
      </c>
      <c r="D19" s="19" t="inlineStr">
        <is>
          <t>בית המדרש</t>
        </is>
      </c>
      <c r="E19" s="20" t="n"/>
      <c r="F19" s="21">
        <f>IF($D$4="","",ROUND(($D$4+TIME(0,20,0))*288,0)/288)</f>
        <v/>
      </c>
      <c r="G19" s="22">
        <f>IF(C19="","",COUNTIF('משימות'!$I$3:$I$122,C19))</f>
        <v/>
      </c>
    </row>
    <row r="20" ht="22" customHeight="1">
      <c r="A20" s="24" t="n"/>
      <c r="B20" s="17" t="n"/>
      <c r="C20" s="18" t="n"/>
      <c r="D20" s="19" t="n"/>
      <c r="E20" s="20" t="n"/>
      <c r="F20" s="21" t="n"/>
      <c r="G20" s="22">
        <f>IF(C20="","",COUNTIF('משימות'!$I$3:$I$122,C20))</f>
        <v/>
      </c>
    </row>
    <row r="21" ht="22" customHeight="1">
      <c r="A21" s="24" t="n"/>
      <c r="B21" s="17" t="n"/>
      <c r="C21" s="18" t="n"/>
      <c r="D21" s="19" t="n"/>
      <c r="E21" s="20" t="n"/>
      <c r="F21" s="21" t="n"/>
      <c r="G21" s="22">
        <f>IF(C21="","",COUNTIF('משימות'!$I$3:$I$122,C21))</f>
        <v/>
      </c>
    </row>
    <row r="22" ht="22" customHeight="1">
      <c r="A22" s="24" t="n"/>
      <c r="B22" s="17" t="n"/>
      <c r="C22" s="18" t="n"/>
      <c r="D22" s="19" t="n"/>
      <c r="E22" s="20" t="n"/>
      <c r="F22" s="21" t="n"/>
      <c r="G22" s="22">
        <f>IF(C22="","",COUNTIF('משימות'!$I$3:$I$122,C22))</f>
        <v/>
      </c>
    </row>
    <row r="23" ht="22" customHeight="1">
      <c r="A23" s="24" t="n"/>
      <c r="B23" s="17" t="n"/>
      <c r="C23" s="18" t="n"/>
      <c r="D23" s="19" t="n"/>
      <c r="E23" s="20" t="n"/>
      <c r="F23" s="21" t="n"/>
      <c r="G23" s="22">
        <f>IF(C23="","",COUNTIF('משימות'!$I$3:$I$122,C23))</f>
        <v/>
      </c>
    </row>
    <row r="24" ht="22" customHeight="1">
      <c r="A24" s="24" t="n"/>
      <c r="B24" s="17" t="n"/>
      <c r="C24" s="18" t="n"/>
      <c r="D24" s="19" t="n"/>
      <c r="E24" s="20" t="n"/>
      <c r="F24" s="21" t="n"/>
      <c r="G24" s="22">
        <f>IF(C24="","",COUNTIF('משימות'!$I$3:$I$122,C24))</f>
        <v/>
      </c>
    </row>
    <row r="25" ht="22" customHeight="1">
      <c r="A25" s="24" t="n"/>
      <c r="B25" s="17" t="n"/>
      <c r="C25" s="18" t="n"/>
      <c r="D25" s="19" t="n"/>
      <c r="E25" s="20" t="n"/>
      <c r="F25" s="21" t="n"/>
      <c r="G25" s="22">
        <f>IF(C25="","",COUNTIF('משימות'!$I$3:$I$122,C25))</f>
        <v/>
      </c>
    </row>
    <row r="26" ht="22" customHeight="1">
      <c r="A26" s="24" t="n"/>
      <c r="B26" s="17" t="n"/>
      <c r="C26" s="18" t="n"/>
      <c r="D26" s="19" t="n"/>
      <c r="E26" s="20" t="n"/>
      <c r="F26" s="21" t="n"/>
      <c r="G26" s="22">
        <f>IF(C26="","",COUNTIF('משימות'!$I$3:$I$122,C26))</f>
        <v/>
      </c>
    </row>
    <row r="27" ht="22" customHeight="1">
      <c r="A27" s="24" t="n"/>
      <c r="B27" s="17" t="n"/>
      <c r="C27" s="18" t="n"/>
      <c r="D27" s="19" t="n"/>
      <c r="E27" s="20" t="n"/>
      <c r="F27" s="21" t="n"/>
      <c r="G27" s="22">
        <f>IF(C27="","",COUNTIF('משימות'!$I$3:$I$122,C27))</f>
        <v/>
      </c>
    </row>
    <row r="28" ht="22" customHeight="1">
      <c r="A28" s="24" t="n"/>
      <c r="B28" s="17" t="n"/>
      <c r="C28" s="18" t="n"/>
      <c r="D28" s="19" t="n"/>
      <c r="E28" s="20" t="n"/>
      <c r="F28" s="21" t="n"/>
      <c r="G28" s="22">
        <f>IF(C28="","",COUNTIF('משימות'!$I$3:$I$122,C28))</f>
        <v/>
      </c>
    </row>
    <row r="29" ht="22" customHeight="1">
      <c r="A29" s="24" t="n"/>
      <c r="B29" s="17" t="n"/>
      <c r="C29" s="18" t="n"/>
      <c r="D29" s="19" t="n"/>
      <c r="E29" s="20" t="n"/>
      <c r="F29" s="21" t="n"/>
      <c r="G29" s="22">
        <f>IF(C29="","",COUNTIF('משימות'!$I$3:$I$122,C29))</f>
        <v/>
      </c>
    </row>
    <row r="30" ht="22" customHeight="1">
      <c r="A30" s="24" t="n"/>
      <c r="B30" s="17" t="n"/>
      <c r="C30" s="18" t="n"/>
      <c r="D30" s="19" t="n"/>
      <c r="E30" s="20" t="n"/>
      <c r="F30" s="21" t="n"/>
      <c r="G30" s="22">
        <f>IF(C30="","",COUNTIF('משימות'!$I$3:$I$122,C30))</f>
        <v/>
      </c>
    </row>
    <row r="31" ht="22" customHeight="1">
      <c r="A31" s="24" t="n"/>
      <c r="B31" s="17" t="n"/>
      <c r="C31" s="18" t="n"/>
      <c r="D31" s="19" t="n"/>
      <c r="E31" s="20" t="n"/>
      <c r="F31" s="21" t="n"/>
      <c r="G31" s="22">
        <f>IF(C31="","",COUNTIF('משימות'!$I$3:$I$122,C31))</f>
        <v/>
      </c>
    </row>
    <row r="32" ht="22" customHeight="1">
      <c r="A32" s="24" t="n"/>
      <c r="B32" s="17" t="n"/>
      <c r="C32" s="18" t="n"/>
      <c r="D32" s="19" t="n"/>
      <c r="E32" s="20" t="n"/>
      <c r="F32" s="21" t="n"/>
      <c r="G32" s="22">
        <f>IF(C32="","",COUNTIF('משימות'!$I$3:$I$122,C32))</f>
        <v/>
      </c>
    </row>
    <row r="33" ht="22" customHeight="1">
      <c r="A33" s="24" t="n"/>
      <c r="B33" s="17" t="n"/>
      <c r="C33" s="18" t="n"/>
      <c r="D33" s="19" t="n"/>
      <c r="E33" s="20" t="n"/>
      <c r="F33" s="21" t="n"/>
      <c r="G33" s="22">
        <f>IF(C33="","",COUNTIF('משימות'!$I$3:$I$122,C33))</f>
        <v/>
      </c>
    </row>
    <row r="34" ht="22" customHeight="1">
      <c r="A34" s="24" t="n"/>
      <c r="B34" s="17" t="n"/>
      <c r="C34" s="18" t="n"/>
      <c r="D34" s="19" t="n"/>
      <c r="E34" s="20" t="n"/>
      <c r="F34" s="21" t="n"/>
      <c r="G34" s="22">
        <f>IF(C34="","",COUNTIF('משימות'!$I$3:$I$122,C34))</f>
        <v/>
      </c>
    </row>
    <row r="35" ht="22" customHeight="1">
      <c r="A35" s="24" t="n"/>
      <c r="B35" s="17" t="n"/>
      <c r="C35" s="18" t="n"/>
      <c r="D35" s="19" t="n"/>
      <c r="E35" s="20" t="n"/>
      <c r="F35" s="21" t="n"/>
      <c r="G35" s="22">
        <f>IF(C35="","",COUNTIF('משימות'!$I$3:$I$122,C35))</f>
        <v/>
      </c>
    </row>
    <row r="36" ht="22" customHeight="1">
      <c r="A36" s="24" t="n"/>
      <c r="B36" s="17" t="n"/>
      <c r="C36" s="18" t="n"/>
      <c r="D36" s="19" t="n"/>
      <c r="E36" s="20" t="n"/>
      <c r="F36" s="21" t="n"/>
      <c r="G36" s="22">
        <f>IF(C36="","",COUNTIF('משימות'!$I$3:$I$122,C36))</f>
        <v/>
      </c>
    </row>
    <row r="38" ht="28" customHeight="1">
      <c r="A38" s="25" t="inlineStr">
        <is>
          <t>«שעה» היא הלו"ז שנשלח בפועל — עורכים בה חופשי. «הצעה» מחושבת מכניסת/צאת השבת (הכללים ב-data/schedule_template.csv). «משימות» = כמה משימות מעוגנות לאירוע בלו"ז הצל.</t>
        </is>
      </c>
    </row>
  </sheetData>
  <mergeCells count="2">
    <mergeCell ref="A38:G38"/>
    <mergeCell ref="A1:G1"/>
  </mergeCells>
  <dataValidations count="2">
    <dataValidation sqref="B3" showDropDown="0" showInputMessage="0" showErrorMessage="1" allowBlank="1" type="list">
      <formula1>'זמנים'!$A$3:$A$400</formula1>
    </dataValidation>
    <dataValidation sqref="A7:A36" showDropDown="0" showInputMessage="0" showErrorMessage="0" allowBlank="1" type="list">
      <formula1>"שישי,שבת,מוצאי שבת"</formula1>
    </dataValidation>
  </dataValidations>
  <pageMargins left="0.75" right="0.75" top="1" bottom="1" header="0.5" footer="0.5"/>
  <pageSetup paperSize="9" fitToHeight="0" fitToWidth="1"/>
</worksheet>
</file>

<file path=xl/worksheets/sheet3.xml><?xml version="1.0" encoding="utf-8"?>
<worksheet xmlns="http://schemas.openxmlformats.org/spreadsheetml/2006/main">
  <sheetPr>
    <tabColor rgb="00E8A33D"/>
    <outlinePr summaryBelow="1" summaryRight="1"/>
    <pageSetUpPr fitToPage="1"/>
  </sheetPr>
  <dimension ref="A1:J124"/>
  <sheetViews>
    <sheetView showGridLines="0" rightToLeft="1" workbookViewId="0">
      <pane ySplit="2" topLeftCell="A3" activePane="bottomLeft" state="frozen"/>
      <selection pane="bottomLeft" activeCell="A1" sqref="A1"/>
    </sheetView>
  </sheetViews>
  <sheetFormatPr baseColWidth="8" defaultRowHeight="15"/>
  <cols>
    <col width="13" customWidth="1" min="1" max="1"/>
    <col width="10" customWidth="1" min="2" max="2"/>
    <col width="8" customWidth="1" min="3" max="3"/>
    <col width="26" customWidth="1" min="4" max="4"/>
    <col width="50" customWidth="1" min="5" max="5"/>
    <col width="7" customWidth="1" min="6" max="6"/>
    <col width="42" customWidth="1" min="7" max="7"/>
    <col width="16" customWidth="1" min="8" max="8"/>
    <col width="18" customWidth="1" min="9" max="9"/>
    <col width="22" customWidth="1" min="10" max="10"/>
  </cols>
  <sheetData>
    <row r="1" ht="36" customHeight="1">
      <c r="A1" s="26" t="inlineStr">
        <is>
          <t>משימות השבת — מי עושה מה ומתי</t>
        </is>
      </c>
    </row>
    <row r="2" ht="24" customHeight="1">
      <c r="A2" s="9" t="inlineStr">
        <is>
          <t>שלב</t>
        </is>
      </c>
      <c r="B2" s="9" t="inlineStr">
        <is>
          <t>יום</t>
        </is>
      </c>
      <c r="C2" s="9" t="inlineStr">
        <is>
          <t>שעה</t>
        </is>
      </c>
      <c r="D2" s="9" t="inlineStr">
        <is>
          <t>קבוצה</t>
        </is>
      </c>
      <c r="E2" s="9" t="inlineStr">
        <is>
          <t>משימה</t>
        </is>
      </c>
      <c r="F2" s="9" t="inlineStr">
        <is>
          <t>אנשים</t>
        </is>
      </c>
      <c r="G2" s="9" t="inlineStr">
        <is>
          <t>שמות</t>
        </is>
      </c>
      <c r="H2" s="9" t="inlineStr">
        <is>
          <t>מתכון</t>
        </is>
      </c>
      <c r="I2" s="9" t="inlineStr">
        <is>
          <t>עוגן בלו"ז</t>
        </is>
      </c>
      <c r="J2" s="9" t="inlineStr">
        <is>
          <t>הערה</t>
        </is>
      </c>
    </row>
    <row r="3" ht="30" customHeight="1">
      <c r="A3" s="27" t="inlineStr">
        <is>
          <t>הכנות שישי</t>
        </is>
      </c>
      <c r="B3" s="28" t="inlineStr">
        <is>
          <t>שישי</t>
        </is>
      </c>
      <c r="C3" s="29" t="n">
        <v>0.3333333333333333</v>
      </c>
      <c r="D3" s="19" t="inlineStr">
        <is>
          <t>חלות</t>
        </is>
      </c>
      <c r="E3" s="20" t="inlineStr">
        <is>
          <t>לישה, התפחה, קליעה ואפייה</t>
        </is>
      </c>
      <c r="F3" s="27" t="n">
        <v>5</v>
      </c>
      <c r="G3" s="30" t="inlineStr">
        <is>
          <t>איתמר אסנהיים, איתן כהן, נועם ישראל קומפאס, תמר פרימור, יהב לוי</t>
        </is>
      </c>
      <c r="H3" s="19" t="inlineStr">
        <is>
          <t>חלות</t>
        </is>
      </c>
      <c r="I3" s="19" t="inlineStr">
        <is>
          <t>תחילת עבודה</t>
        </is>
      </c>
      <c r="J3" s="20" t="inlineStr">
        <is>
          <t>בסיום — לרשום «שנה ב'» על הנייר כסף / השקית</t>
        </is>
      </c>
    </row>
    <row r="4" ht="30" customHeight="1">
      <c r="A4" s="27" t="inlineStr">
        <is>
          <t>הכנות שישי</t>
        </is>
      </c>
      <c r="B4" s="28" t="inlineStr">
        <is>
          <t>שישי</t>
        </is>
      </c>
      <c r="C4" s="29" t="n">
        <v>0.3333333333333333</v>
      </c>
      <c r="D4" s="19" t="inlineStr">
        <is>
          <t>עוגות שמרים</t>
        </is>
      </c>
      <c r="E4" s="20" t="inlineStr">
        <is>
          <t>בצק, מילוי, קליעת קראנץ' ואפייה</t>
        </is>
      </c>
      <c r="F4" s="27" t="n">
        <v>4</v>
      </c>
      <c r="G4" s="30" t="inlineStr">
        <is>
          <t>חיים שמאי, טליה קור, ניצן שטיין, של״ו רובינשטיין</t>
        </is>
      </c>
      <c r="H4" s="19" t="inlineStr">
        <is>
          <t>עוגות שמרים (קראנץ' קינמון ושוקולד)</t>
        </is>
      </c>
      <c r="I4" s="19" t="inlineStr">
        <is>
          <t>תחילת עבודה</t>
        </is>
      </c>
      <c r="J4" s="20" t="inlineStr">
        <is>
          <t>בסיום — לרשום «שנה ב'» על הנייר כסף / השקית</t>
        </is>
      </c>
    </row>
    <row r="5" ht="30" customHeight="1">
      <c r="A5" s="27" t="inlineStr">
        <is>
          <t>הכנות שישי</t>
        </is>
      </c>
      <c r="B5" s="28" t="inlineStr">
        <is>
          <t>שישי</t>
        </is>
      </c>
      <c r="C5" s="29" t="n">
        <v>0.3333333333333333</v>
      </c>
      <c r="D5" s="19" t="inlineStr">
        <is>
          <t>מטבוחה</t>
        </is>
      </c>
      <c r="E5" s="20" t="inlineStr">
        <is>
          <t>בישול ארוך עד מרקם ריבתי</t>
        </is>
      </c>
      <c r="F5" s="27" t="n">
        <v>4</v>
      </c>
      <c r="G5" s="30" t="inlineStr">
        <is>
          <t>הלל פינגולד, אביב רוזנטל, נגה חוה כהן, אורי טילינגר</t>
        </is>
      </c>
      <c r="H5" s="19" t="inlineStr">
        <is>
          <t>מטבוחה</t>
        </is>
      </c>
      <c r="I5" s="19" t="inlineStr">
        <is>
          <t>תחילת עבודה</t>
        </is>
      </c>
      <c r="J5" s="20" t="inlineStr">
        <is>
          <t>בסיום — לרשום «שנה ב'» על הנייר כסף / השקית</t>
        </is>
      </c>
    </row>
    <row r="6" ht="30" customHeight="1">
      <c r="A6" s="27" t="inlineStr">
        <is>
          <t>הכנות שישי</t>
        </is>
      </c>
      <c r="B6" s="28" t="inlineStr">
        <is>
          <t>שישי</t>
        </is>
      </c>
      <c r="C6" s="29" t="n">
        <v>0.3333333333333333</v>
      </c>
      <c r="D6" s="19" t="inlineStr">
        <is>
          <t>עוגת דבש</t>
        </is>
      </c>
      <c r="E6" s="20" t="inlineStr">
        <is>
          <t>אפיית 10–12 תבניות אינגליש</t>
        </is>
      </c>
      <c r="F6" s="27" t="n">
        <v>2</v>
      </c>
      <c r="G6" s="30" t="inlineStr">
        <is>
          <t>איתי בן מנחם, משה אוברשטיין</t>
        </is>
      </c>
      <c r="H6" s="19" t="inlineStr">
        <is>
          <t>עוגת דבש</t>
        </is>
      </c>
      <c r="I6" s="19" t="inlineStr">
        <is>
          <t>תחילת עבודה</t>
        </is>
      </c>
      <c r="J6" s="20" t="inlineStr">
        <is>
          <t>בסיום — לרשום «שנה ב'» על הנייר כסף / השקית</t>
        </is>
      </c>
    </row>
    <row r="7" ht="30" customHeight="1">
      <c r="A7" s="27" t="inlineStr">
        <is>
          <t>הכנות שישי</t>
        </is>
      </c>
      <c r="B7" s="28" t="inlineStr">
        <is>
          <t>שישי</t>
        </is>
      </c>
      <c r="C7" s="29" t="n">
        <v>0.3333333333333333</v>
      </c>
      <c r="D7" s="19" t="inlineStr">
        <is>
          <t>עוגיות שוקולד צ'יפס</t>
        </is>
      </c>
      <c r="E7" s="20" t="inlineStr">
        <is>
          <t>הכנת הבצק, כדרור ואפייה</t>
        </is>
      </c>
      <c r="F7" s="27" t="n">
        <v>2</v>
      </c>
      <c r="G7" s="30" t="inlineStr">
        <is>
          <t>הילי אלפסי, נבו בלוך</t>
        </is>
      </c>
      <c r="H7" s="19" t="inlineStr">
        <is>
          <t>עוגיות שוקולד צ'יפס</t>
        </is>
      </c>
      <c r="I7" s="19" t="inlineStr">
        <is>
          <t>תחילת עבודה</t>
        </is>
      </c>
      <c r="J7" s="20" t="inlineStr">
        <is>
          <t>בסיום — לרשום «שנה ב'» על הנייר כסף / השקית</t>
        </is>
      </c>
    </row>
    <row r="8" ht="30" customHeight="1">
      <c r="A8" s="27" t="inlineStr">
        <is>
          <t>הכנות שישי</t>
        </is>
      </c>
      <c r="B8" s="28" t="inlineStr">
        <is>
          <t>שישי</t>
        </is>
      </c>
      <c r="C8" s="29" t="n">
        <v>0.3333333333333333</v>
      </c>
      <c r="D8" s="19" t="inlineStr">
        <is>
          <t>בראוניז ללא גלוטן</t>
        </is>
      </c>
      <c r="E8" s="20" t="inlineStr">
        <is>
          <t>המסה, ערבוב ואפייה</t>
        </is>
      </c>
      <c r="F8" s="27" t="n">
        <v>2</v>
      </c>
      <c r="G8" s="30" t="inlineStr">
        <is>
          <t>יובל רוזנברג, ארבל פרנקו</t>
        </is>
      </c>
      <c r="H8" s="19" t="inlineStr">
        <is>
          <t>בראוניז ללא גלוטן</t>
        </is>
      </c>
      <c r="I8" s="19" t="inlineStr">
        <is>
          <t>תחילת עבודה</t>
        </is>
      </c>
      <c r="J8" s="20" t="inlineStr">
        <is>
          <t>בסיום — לרשום «שנה ב'» על הנייר כסף / השקית</t>
        </is>
      </c>
    </row>
    <row r="9" ht="30" customHeight="1">
      <c r="A9" s="27" t="inlineStr">
        <is>
          <t>הכנות שישי</t>
        </is>
      </c>
      <c r="B9" s="28" t="inlineStr">
        <is>
          <t>שישי</t>
        </is>
      </c>
      <c r="C9" s="29" t="n">
        <v>0.3333333333333333</v>
      </c>
      <c r="D9" s="19" t="inlineStr">
        <is>
          <t>סלט חצילים</t>
        </is>
      </c>
      <c r="E9" s="20" t="inlineStr">
        <is>
          <t>קלייה, סינון, קיצוץ ותיבול</t>
        </is>
      </c>
      <c r="F9" s="27" t="n">
        <v>2</v>
      </c>
      <c r="G9" s="30" t="inlineStr">
        <is>
          <t>יובל יצחק, רוני כהן</t>
        </is>
      </c>
      <c r="H9" s="19" t="inlineStr">
        <is>
          <t>סלט חצילים קלויים</t>
        </is>
      </c>
      <c r="I9" s="19" t="inlineStr">
        <is>
          <t>תחילת עבודה</t>
        </is>
      </c>
      <c r="J9" s="20" t="inlineStr">
        <is>
          <t>בסיום — לרשום «שנה ב'» על הנייר כסף / השקית</t>
        </is>
      </c>
    </row>
    <row r="10" ht="30" customHeight="1">
      <c r="A10" s="27" t="inlineStr">
        <is>
          <t>הכנות שישי</t>
        </is>
      </c>
      <c r="B10" s="28" t="inlineStr">
        <is>
          <t>שישי</t>
        </is>
      </c>
      <c r="C10" s="29" t="n">
        <v>0.3333333333333333</v>
      </c>
      <c r="D10" s="19" t="inlineStr">
        <is>
          <t>ארוחת צהריים שישי</t>
        </is>
      </c>
      <c r="E10" s="20" t="inlineStr">
        <is>
          <t>הכנת החומוס</t>
        </is>
      </c>
      <c r="F10" s="27" t="n">
        <v>2</v>
      </c>
      <c r="G10" s="30" t="inlineStr">
        <is>
          <t>איתי גוסטינר, שירה אדלה לוזון</t>
        </is>
      </c>
      <c r="H10" s="19" t="n"/>
      <c r="I10" s="19" t="inlineStr">
        <is>
          <t>תחילת עבודה</t>
        </is>
      </c>
      <c r="J10" s="20" t="inlineStr">
        <is>
          <t>בסיום — לרשום «שנה ב'» על הנייר כסף / השקית</t>
        </is>
      </c>
    </row>
    <row r="11" ht="30" customHeight="1">
      <c r="A11" s="27" t="inlineStr">
        <is>
          <t>הכנות שישי</t>
        </is>
      </c>
      <c r="B11" s="28" t="inlineStr">
        <is>
          <t>שישי</t>
        </is>
      </c>
      <c r="C11" s="29" t="n">
        <v>0.5</v>
      </c>
      <c r="D11" s="19" t="inlineStr">
        <is>
          <t>ארוחת צהריים שישי</t>
        </is>
      </c>
      <c r="E11" s="20" t="inlineStr">
        <is>
          <t>הגשת ארוחת הצהריים</t>
        </is>
      </c>
      <c r="F11" s="27" t="n">
        <v>2</v>
      </c>
      <c r="G11" s="30" t="inlineStr">
        <is>
          <t>איתי גוסטינר, שירה אדלה לוזון</t>
        </is>
      </c>
      <c r="H11" s="19" t="n"/>
      <c r="I11" s="19" t="inlineStr">
        <is>
          <t>ארוחת צהריים</t>
        </is>
      </c>
      <c r="J11" s="20" t="n"/>
    </row>
    <row r="12" ht="30" customHeight="1">
      <c r="A12" s="27" t="inlineStr">
        <is>
          <t>הכנות שישי</t>
        </is>
      </c>
      <c r="B12" s="28" t="inlineStr">
        <is>
          <t>שישי</t>
        </is>
      </c>
      <c r="C12" s="29" t="n">
        <v>0.5416666666666666</v>
      </c>
      <c r="D12" s="19" t="inlineStr">
        <is>
          <t>ארוחת צהריים שישי</t>
        </is>
      </c>
      <c r="E12" s="20" t="inlineStr">
        <is>
          <t>קיפול הארוחה, שטיפת כלים</t>
        </is>
      </c>
      <c r="F12" s="27" t="n">
        <v>2</v>
      </c>
      <c r="G12" s="30" t="inlineStr">
        <is>
          <t>איתי גוסטינר, שירה אדלה לוזון</t>
        </is>
      </c>
      <c r="H12" s="19" t="n"/>
      <c r="I12" s="19" t="inlineStr">
        <is>
          <t>ארוחת צהריים</t>
        </is>
      </c>
      <c r="J12" s="20" t="n"/>
    </row>
    <row r="13" ht="30" customHeight="1">
      <c r="A13" s="27" t="inlineStr">
        <is>
          <t>תורנות שישי</t>
        </is>
      </c>
      <c r="B13" s="28" t="inlineStr">
        <is>
          <t>שישי</t>
        </is>
      </c>
      <c r="C13" s="29" t="n">
        <v>0.3333333333333333</v>
      </c>
      <c r="D13" s="19" t="inlineStr">
        <is>
          <t>בית מדרש</t>
        </is>
      </c>
      <c r="E13" s="20" t="inlineStr">
        <is>
          <t>העברת שולחנות לכיתת בית המדרש — לא בגרירה</t>
        </is>
      </c>
      <c r="F13" s="27" t="n">
        <v>6</v>
      </c>
      <c r="G13" s="30" t="inlineStr">
        <is>
          <t>אלרואי גרינברג, עומר יוסף גנון, תמר פרידמן, רועי צבי סרי, פרת פולס, ליבי בוכריס</t>
        </is>
      </c>
      <c r="H13" s="19" t="n"/>
      <c r="I13" s="19" t="inlineStr">
        <is>
          <t>תחילת עבודה</t>
        </is>
      </c>
      <c r="J13" s="20" t="n"/>
    </row>
    <row r="14" ht="30" customHeight="1">
      <c r="A14" s="27" t="inlineStr">
        <is>
          <t>תורנות שישי</t>
        </is>
      </c>
      <c r="B14" s="28" t="inlineStr">
        <is>
          <t>שישי</t>
        </is>
      </c>
      <c r="C14" s="29" t="n">
        <v>0.3333333333333333</v>
      </c>
      <c r="D14" s="19" t="inlineStr">
        <is>
          <t>בית מדרש</t>
        </is>
      </c>
      <c r="E14" s="20" t="inlineStr">
        <is>
          <t>טאטוא ושטיפת רצפה</t>
        </is>
      </c>
      <c r="F14" s="27" t="n">
        <v>3</v>
      </c>
      <c r="G14" s="30" t="inlineStr">
        <is>
          <t>ניצן גמלא, אלה מאיר, עשהאל ירושלמי</t>
        </is>
      </c>
      <c r="H14" s="19" t="n"/>
      <c r="I14" s="19" t="inlineStr">
        <is>
          <t>תחילת עבודה</t>
        </is>
      </c>
      <c r="J14" s="20" t="n"/>
    </row>
    <row r="15" ht="30" customHeight="1">
      <c r="A15" s="27" t="inlineStr">
        <is>
          <t>תורנות שישי</t>
        </is>
      </c>
      <c r="B15" s="28" t="inlineStr">
        <is>
          <t>שישי</t>
        </is>
      </c>
      <c r="C15" s="29" t="n">
        <v>0.3333333333333333</v>
      </c>
      <c r="D15" s="19" t="inlineStr">
        <is>
          <t>בית מדרש</t>
        </is>
      </c>
      <c r="E15" s="20" t="inlineStr">
        <is>
          <t>תליית מחיצה</t>
        </is>
      </c>
      <c r="F15" s="27" t="n">
        <v>2</v>
      </c>
      <c r="G15" s="30" t="inlineStr">
        <is>
          <t>איתי רוס, עופר בביוף</t>
        </is>
      </c>
      <c r="H15" s="19" t="n"/>
      <c r="I15" s="19" t="inlineStr">
        <is>
          <t>תחילת עבודה</t>
        </is>
      </c>
      <c r="J15" s="20" t="n"/>
    </row>
    <row r="16" ht="30" customHeight="1">
      <c r="A16" s="27" t="inlineStr">
        <is>
          <t>תורנות שישי</t>
        </is>
      </c>
      <c r="B16" s="28" t="inlineStr">
        <is>
          <t>שישי</t>
        </is>
      </c>
      <c r="C16" s="29" t="n">
        <v>0.3333333333333333</v>
      </c>
      <c r="D16" s="19" t="inlineStr">
        <is>
          <t>בית מדרש</t>
        </is>
      </c>
      <c r="E16" s="20" t="inlineStr">
        <is>
          <t>סידור כסאות בשורות — כולל 3 שורות עזרת ישראל</t>
        </is>
      </c>
      <c r="F16" s="27" t="n">
        <v>4</v>
      </c>
      <c r="G16" s="30" t="inlineStr">
        <is>
          <t>איתי בן יהודה, הילה לביא, אנה עזריאל, ירדן בן שחר</t>
        </is>
      </c>
      <c r="H16" s="19" t="n"/>
      <c r="I16" s="19" t="inlineStr">
        <is>
          <t>תחילת עבודה</t>
        </is>
      </c>
      <c r="J16" s="20" t="n"/>
    </row>
    <row r="17" ht="30" customHeight="1">
      <c r="A17" s="27" t="inlineStr">
        <is>
          <t>תורנות שישי</t>
        </is>
      </c>
      <c r="B17" s="28" t="inlineStr">
        <is>
          <t>שישי</t>
        </is>
      </c>
      <c r="C17" s="29" t="n">
        <v>0.3333333333333333</v>
      </c>
      <c r="D17" s="19" t="inlineStr">
        <is>
          <t>בית מדרש</t>
        </is>
      </c>
      <c r="E17" s="20" t="inlineStr">
        <is>
          <t>הנחת סידורים על הכסאות</t>
        </is>
      </c>
      <c r="F17" s="27" t="n">
        <v>1</v>
      </c>
      <c r="G17" s="30" t="inlineStr">
        <is>
          <t>שליו שישו</t>
        </is>
      </c>
      <c r="H17" s="19" t="n"/>
      <c r="I17" s="19" t="inlineStr">
        <is>
          <t>תחילת עבודה</t>
        </is>
      </c>
      <c r="J17" s="20" t="n"/>
    </row>
    <row r="18" ht="30" customHeight="1">
      <c r="A18" s="27" t="inlineStr">
        <is>
          <t>תורנות שישי</t>
        </is>
      </c>
      <c r="B18" s="28" t="inlineStr">
        <is>
          <t>שישי</t>
        </is>
      </c>
      <c r="C18" s="29" t="n">
        <v>0.4166666666666667</v>
      </c>
      <c r="D18" s="19" t="inlineStr">
        <is>
          <t>בית מדרש</t>
        </is>
      </c>
      <c r="E18" s="20" t="inlineStr">
        <is>
          <t>עזרה בהכנת החלות</t>
        </is>
      </c>
      <c r="F18" s="27" t="n">
        <v>8</v>
      </c>
      <c r="G18" s="30" t="inlineStr">
        <is>
          <t>אלרואי גרינברג, עומר יוסף גנון, תמר פרידמן, רועי צבי סרי, פרת פולס, ליבי בוכריס, ניצן גמלא, אלה מאיר</t>
        </is>
      </c>
      <c r="H18" s="19" t="n"/>
      <c r="I18" s="19" t="inlineStr">
        <is>
          <t>תחילת עבודה</t>
        </is>
      </c>
      <c r="J18" s="20" t="n"/>
    </row>
    <row r="19" ht="30" customHeight="1">
      <c r="A19" s="27" t="inlineStr">
        <is>
          <t>תורנות שישי</t>
        </is>
      </c>
      <c r="B19" s="28" t="inlineStr">
        <is>
          <t>שישי</t>
        </is>
      </c>
      <c r="C19" s="29" t="n">
        <v>0.4166666666666667</v>
      </c>
      <c r="D19" s="19" t="inlineStr">
        <is>
          <t>בית מדרש</t>
        </is>
      </c>
      <c r="E19" s="20" t="inlineStr">
        <is>
          <t>עזרה בהכנת עוגות השמרים</t>
        </is>
      </c>
      <c r="F19" s="27" t="n">
        <v>8</v>
      </c>
      <c r="G19" s="30" t="inlineStr">
        <is>
          <t>עשהאל ירושלמי, איתי רוס, עופר בביוף, איתי בן יהודה, הילה לביא, אנה עזריאל, ירדן בן שחר, שליו שישו</t>
        </is>
      </c>
      <c r="H19" s="19" t="n"/>
      <c r="I19" s="19" t="inlineStr">
        <is>
          <t>תחילת עבודה</t>
        </is>
      </c>
      <c r="J19" s="20" t="n"/>
    </row>
    <row r="20" ht="30" customHeight="1">
      <c r="A20" s="27" t="inlineStr">
        <is>
          <t>תורנות שבת</t>
        </is>
      </c>
      <c r="B20" s="28" t="inlineStr">
        <is>
          <t>שישי</t>
        </is>
      </c>
      <c r="C20" s="29" t="n">
        <v>0.5833333333333334</v>
      </c>
      <c r="D20" s="19" t="inlineStr">
        <is>
          <t>ארוחת ערב</t>
        </is>
      </c>
      <c r="E20" s="20" t="inlineStr">
        <is>
          <t>פריקת האוכל למקרר — אוכל ארוחת צהריים שבת: כתף בקר, אורז לבן, תפו"א ובטטה, אנטי פסטי, שווארמה טבעונית</t>
        </is>
      </c>
      <c r="F20" s="27" t="n">
        <v>3</v>
      </c>
      <c r="G20" s="30" t="inlineStr">
        <is>
          <t>מישל דוד, איתן וינסטון, זואי כהן</t>
        </is>
      </c>
      <c r="H20" s="19" t="n"/>
      <c r="I20" s="19" t="inlineStr">
        <is>
          <t>הדלקת נרות</t>
        </is>
      </c>
      <c r="J20" s="20" t="inlineStr">
        <is>
          <t>הגסטרונומים המסומנים 2 — שנה ב'</t>
        </is>
      </c>
    </row>
    <row r="21" ht="30" customHeight="1">
      <c r="A21" s="27" t="inlineStr">
        <is>
          <t>תורנות שבת</t>
        </is>
      </c>
      <c r="B21" s="28" t="inlineStr">
        <is>
          <t>שישי</t>
        </is>
      </c>
      <c r="C21" s="29" t="n">
        <v>0.7083333333333334</v>
      </c>
      <c r="D21" s="19" t="inlineStr">
        <is>
          <t>ארוחת ערב</t>
        </is>
      </c>
      <c r="E21" s="20" t="inlineStr">
        <is>
          <t>הכנסת הגסטרונומים של ארוחת הערב מהמקרר לתנור החימום: פרגית בגריל, קוסקוס, לקט קוסקוס, מוקפץ טבעוני · וחיבור מיחמים בפינת קפה</t>
        </is>
      </c>
      <c r="F21" s="27" t="n">
        <v>3</v>
      </c>
      <c r="G21" s="30" t="inlineStr">
        <is>
          <t>שירה ספונוב, אורי אסף, יונתן לירז</t>
        </is>
      </c>
      <c r="H21" s="19" t="n"/>
      <c r="I21" s="19" t="inlineStr">
        <is>
          <t>הדלקת נרות</t>
        </is>
      </c>
      <c r="J21" s="20" t="inlineStr">
        <is>
          <t>הגסטרונומים המסומנים 2 — שנה ב'</t>
        </is>
      </c>
    </row>
    <row r="22" ht="30" customHeight="1">
      <c r="A22" s="27" t="inlineStr">
        <is>
          <t>תורנות שבת</t>
        </is>
      </c>
      <c r="B22" s="28" t="inlineStr">
        <is>
          <t>שישי</t>
        </is>
      </c>
      <c r="C22" s="29" t="n">
        <v>0.8125</v>
      </c>
      <c r="D22" s="19" t="inlineStr">
        <is>
          <t>ארוחת ערב</t>
        </is>
      </c>
      <c r="E22" s="20" t="inlineStr">
        <is>
          <t>הוצאת הגסטרונומים מתנור החימום</t>
        </is>
      </c>
      <c r="F22" s="27" t="n">
        <v>3</v>
      </c>
      <c r="G22" s="30" t="inlineStr">
        <is>
          <t>אלה גוטליב, עמית שי אברהם, מישל דוד</t>
        </is>
      </c>
      <c r="H22" s="19" t="n"/>
      <c r="I22" s="19" t="inlineStr">
        <is>
          <t>סעודת שבת</t>
        </is>
      </c>
      <c r="J22" s="20" t="n"/>
    </row>
    <row r="23" ht="30" customHeight="1">
      <c r="A23" s="27" t="inlineStr">
        <is>
          <t>תורנות שבת</t>
        </is>
      </c>
      <c r="B23" s="28" t="inlineStr">
        <is>
          <t>שישי</t>
        </is>
      </c>
      <c r="C23" s="29" t="n">
        <v>0.8125</v>
      </c>
      <c r="D23" s="19" t="inlineStr">
        <is>
          <t>ארוחת ערב</t>
        </is>
      </c>
      <c r="E23" s="20" t="inlineStr">
        <is>
          <t>עריכת שולחן: הכנת סלט כרוב וסלט טחינה, סלטי קייטרינג (סלק אדום, ירקות מוחמצים, בטטה, כרוב במיונז, חומוס), חצי מהמטבוחה, חצי מהחלות, צלחות וסכו"ם</t>
        </is>
      </c>
      <c r="F23" s="27" t="n">
        <v>5</v>
      </c>
      <c r="G23" s="30" t="inlineStr">
        <is>
          <t>איתן וינסטון, זואי כהן, שירה ספונוב, אורי אסף, יונתן לירז</t>
        </is>
      </c>
      <c r="H23" s="19" t="n"/>
      <c r="I23" s="19" t="inlineStr">
        <is>
          <t>סעודת שבת</t>
        </is>
      </c>
      <c r="J23" s="20" t="n"/>
    </row>
    <row r="24" ht="30" customHeight="1">
      <c r="A24" s="27" t="inlineStr">
        <is>
          <t>תורנות שבת</t>
        </is>
      </c>
      <c r="B24" s="28" t="inlineStr">
        <is>
          <t>שישי</t>
        </is>
      </c>
      <c r="C24" s="29" t="n"/>
      <c r="D24" s="19" t="inlineStr">
        <is>
          <t>ארוחת ערב</t>
        </is>
      </c>
      <c r="E24" s="20" t="inlineStr">
        <is>
          <t>שטיפת הגסטרונומים בסיום הטיש</t>
        </is>
      </c>
      <c r="F24" s="27" t="n"/>
      <c r="G24" s="30" t="inlineStr">
        <is>
          <t>מישל דוד, איתן וינסטון, זואי כהן, שירה ספונוב, אורי אסף, יונתן לירז, אלה גוטליב, עמית שי אברהם</t>
        </is>
      </c>
      <c r="H24" s="19" t="n"/>
      <c r="I24" s="19" t="inlineStr">
        <is>
          <t>טיש בחדר אוכל</t>
        </is>
      </c>
      <c r="J24" s="20" t="n"/>
    </row>
    <row r="25" ht="30" customHeight="1">
      <c r="A25" s="27" t="inlineStr">
        <is>
          <t>תורנות שבת</t>
        </is>
      </c>
      <c r="B25" s="28" t="inlineStr">
        <is>
          <t>שישי</t>
        </is>
      </c>
      <c r="C25" s="29" t="n">
        <v>0.875</v>
      </c>
      <c r="D25" s="19" t="inlineStr">
        <is>
          <t>טיש</t>
        </is>
      </c>
      <c r="E25" s="20" t="inlineStr">
        <is>
          <t>חימום העוגות: 7 פסי עוגת דבש, 4 קראנצ'ים וחצי מהבראוניז — הכל פרווה</t>
        </is>
      </c>
      <c r="F25" s="27" t="n">
        <v>2</v>
      </c>
      <c r="G25" s="30" t="inlineStr">
        <is>
          <t>מעיין רחל דינר, הדר עמדי</t>
        </is>
      </c>
      <c r="H25" s="19" t="n"/>
      <c r="I25" s="19" t="inlineStr">
        <is>
          <t>טיש בחדר אוכל</t>
        </is>
      </c>
      <c r="J25" s="20" t="n"/>
    </row>
    <row r="26" ht="30" customHeight="1">
      <c r="A26" s="27" t="inlineStr">
        <is>
          <t>תורנות שבת</t>
        </is>
      </c>
      <c r="B26" s="28" t="inlineStr">
        <is>
          <t>שישי</t>
        </is>
      </c>
      <c r="C26" s="29" t="n">
        <v>0.875</v>
      </c>
      <c r="D26" s="19" t="inlineStr">
        <is>
          <t>טיש</t>
        </is>
      </c>
      <c r="E26" s="20" t="inlineStr">
        <is>
          <t>חיתוך 10 תפוחים</t>
        </is>
      </c>
      <c r="F26" s="27" t="n">
        <v>1</v>
      </c>
      <c r="G26" s="30" t="inlineStr">
        <is>
          <t>רגב שהם</t>
        </is>
      </c>
      <c r="H26" s="19" t="n"/>
      <c r="I26" s="19" t="inlineStr">
        <is>
          <t>טיש בחדר אוכל</t>
        </is>
      </c>
      <c r="J26" s="20" t="n"/>
    </row>
    <row r="27" ht="30" customHeight="1">
      <c r="A27" s="27" t="inlineStr">
        <is>
          <t>תורנות שבת</t>
        </is>
      </c>
      <c r="B27" s="28" t="inlineStr">
        <is>
          <t>שישי</t>
        </is>
      </c>
      <c r="C27" s="29" t="n">
        <v>0.8958333333333334</v>
      </c>
      <c r="D27" s="19" t="inlineStr">
        <is>
          <t>טיש</t>
        </is>
      </c>
      <c r="E27" s="20" t="inlineStr">
        <is>
          <t>פריסת שולחן במרכז: העוגות, גרעינים, חצי מהענבים ו-10 התפוחים</t>
        </is>
      </c>
      <c r="F27" s="27" t="n">
        <v>3</v>
      </c>
      <c r="G27" s="30" t="inlineStr">
        <is>
          <t>אחיה נחמני, מעיין יוספי, מעיין רחל דינר</t>
        </is>
      </c>
      <c r="H27" s="19" t="n"/>
      <c r="I27" s="19" t="inlineStr">
        <is>
          <t>טיש בחדר אוכל</t>
        </is>
      </c>
      <c r="J27" s="20" t="n"/>
    </row>
    <row r="28" ht="30" customHeight="1">
      <c r="A28" s="27" t="inlineStr">
        <is>
          <t>תורנות שבת</t>
        </is>
      </c>
      <c r="B28" s="28" t="inlineStr">
        <is>
          <t>שישי</t>
        </is>
      </c>
      <c r="C28" s="29" t="n">
        <v>0.8958333333333334</v>
      </c>
      <c r="D28" s="19" t="inlineStr">
        <is>
          <t>טיש</t>
        </is>
      </c>
      <c r="E28" s="20" t="inlineStr">
        <is>
          <t>סידור המרחב: שולחנות בקוביה במרכז, כיסאות במעגל מסביב</t>
        </is>
      </c>
      <c r="F28" s="27" t="n">
        <v>2</v>
      </c>
      <c r="G28" s="30" t="inlineStr">
        <is>
          <t>הדר עמדי, רגב שהם</t>
        </is>
      </c>
      <c r="H28" s="19" t="n"/>
      <c r="I28" s="19" t="inlineStr">
        <is>
          <t>טיש בחדר אוכל</t>
        </is>
      </c>
      <c r="J28" s="20" t="n"/>
    </row>
    <row r="29" ht="30" customHeight="1">
      <c r="A29" s="27" t="inlineStr">
        <is>
          <t>תורנות שבת</t>
        </is>
      </c>
      <c r="B29" s="28" t="inlineStr">
        <is>
          <t>שישי</t>
        </is>
      </c>
      <c r="C29" s="29" t="n"/>
      <c r="D29" s="19" t="inlineStr">
        <is>
          <t>טיש</t>
        </is>
      </c>
      <c r="E29" s="20" t="inlineStr">
        <is>
          <t>טאטוא חדר האוכל וניקוי השולחנות בסיום הטיש</t>
        </is>
      </c>
      <c r="F29" s="27" t="n"/>
      <c r="G29" s="30" t="inlineStr">
        <is>
          <t>מעיין רחל דינר, הדר עמדי, רגב שהם, אחיה נחמני, מעיין יוספי</t>
        </is>
      </c>
      <c r="H29" s="19" t="n"/>
      <c r="I29" s="19" t="inlineStr">
        <is>
          <t>טיש בחדר אוכל</t>
        </is>
      </c>
      <c r="J29" s="20" t="n"/>
    </row>
    <row r="30" ht="30" customHeight="1">
      <c r="A30" s="27" t="inlineStr">
        <is>
          <t>תורנות שבת</t>
        </is>
      </c>
      <c r="B30" s="31" t="inlineStr">
        <is>
          <t>שבת</t>
        </is>
      </c>
      <c r="C30" s="29" t="n">
        <v>0.4375</v>
      </c>
      <c r="D30" s="19" t="inlineStr">
        <is>
          <t>קידוש</t>
        </is>
      </c>
      <c r="E30" s="20" t="inlineStr">
        <is>
          <t>סידור וניקיון פינת קפה — להוציא חלב, למלא קפה וסוכר</t>
        </is>
      </c>
      <c r="F30" s="27" t="n">
        <v>1</v>
      </c>
      <c r="G30" s="30" t="inlineStr">
        <is>
          <t>עמרי קולטון</t>
        </is>
      </c>
      <c r="H30" s="19" t="n"/>
      <c r="I30" s="19" t="inlineStr">
        <is>
          <t>קידוש</t>
        </is>
      </c>
      <c r="J30" s="20" t="n"/>
    </row>
    <row r="31" ht="30" customHeight="1">
      <c r="A31" s="27" t="inlineStr">
        <is>
          <t>תורנות שבת</t>
        </is>
      </c>
      <c r="B31" s="31" t="inlineStr">
        <is>
          <t>שבת</t>
        </is>
      </c>
      <c r="C31" s="29" t="n">
        <v>0.4375</v>
      </c>
      <c r="D31" s="19" t="inlineStr">
        <is>
          <t>קידוש</t>
        </is>
      </c>
      <c r="E31" s="20" t="inlineStr">
        <is>
          <t>חימום העוגות</t>
        </is>
      </c>
      <c r="F31" s="27" t="n">
        <v>1</v>
      </c>
      <c r="G31" s="30" t="inlineStr">
        <is>
          <t>ליאור שימרלינג</t>
        </is>
      </c>
      <c r="H31" s="19" t="n"/>
      <c r="I31" s="19" t="inlineStr">
        <is>
          <t>קידוש</t>
        </is>
      </c>
      <c r="J31" s="20" t="n"/>
    </row>
    <row r="32" ht="30" customHeight="1">
      <c r="A32" s="27" t="inlineStr">
        <is>
          <t>תורנות שבת</t>
        </is>
      </c>
      <c r="B32" s="31" t="inlineStr">
        <is>
          <t>שבת</t>
        </is>
      </c>
      <c r="C32" s="29" t="n">
        <v>0.4375</v>
      </c>
      <c r="D32" s="19" t="inlineStr">
        <is>
          <t>קידוש</t>
        </is>
      </c>
      <c r="E32" s="20" t="inlineStr">
        <is>
          <t>טאטוא הרצפה, סידור כיסאות וארגון המרחב</t>
        </is>
      </c>
      <c r="F32" s="27" t="n">
        <v>1</v>
      </c>
      <c r="G32" s="30" t="inlineStr">
        <is>
          <t>יעל ברחד</t>
        </is>
      </c>
      <c r="H32" s="19" t="n"/>
      <c r="I32" s="19" t="inlineStr">
        <is>
          <t>קידוש</t>
        </is>
      </c>
      <c r="J32" s="20" t="n"/>
    </row>
    <row r="33" ht="30" customHeight="1">
      <c r="A33" s="27" t="inlineStr">
        <is>
          <t>תורנות שבת</t>
        </is>
      </c>
      <c r="B33" s="31" t="inlineStr">
        <is>
          <t>שבת</t>
        </is>
      </c>
      <c r="C33" s="29" t="n">
        <v>0.4375</v>
      </c>
      <c r="D33" s="19" t="inlineStr">
        <is>
          <t>קידוש</t>
        </is>
      </c>
      <c r="E33" s="20" t="inlineStr">
        <is>
          <t>הוצאת העוגות: 4 פסי עוגת דבש, 3 קראנצ'ים, העוגיות וחצי מהבראוניז</t>
        </is>
      </c>
      <c r="F33" s="27" t="n">
        <v>1</v>
      </c>
      <c r="G33" s="30" t="inlineStr">
        <is>
          <t>אריאלה מרכוס</t>
        </is>
      </c>
      <c r="H33" s="19" t="n"/>
      <c r="I33" s="19" t="inlineStr">
        <is>
          <t>קידוש</t>
        </is>
      </c>
      <c r="J33" s="20" t="n"/>
    </row>
    <row r="34" ht="30" customHeight="1">
      <c r="A34" s="27" t="inlineStr">
        <is>
          <t>תורנות שבת</t>
        </is>
      </c>
      <c r="B34" s="31" t="inlineStr">
        <is>
          <t>שבת</t>
        </is>
      </c>
      <c r="C34" s="29" t="n">
        <v>0.4375</v>
      </c>
      <c r="D34" s="19" t="inlineStr">
        <is>
          <t>קידוש</t>
        </is>
      </c>
      <c r="E34" s="20" t="inlineStr">
        <is>
          <t>הוצאת חלב, קורנפלקס וחצי מהענבים</t>
        </is>
      </c>
      <c r="F34" s="27" t="n">
        <v>1</v>
      </c>
      <c r="G34" s="30" t="inlineStr">
        <is>
          <t>דנה שם טוב</t>
        </is>
      </c>
      <c r="H34" s="19" t="n"/>
      <c r="I34" s="19" t="inlineStr">
        <is>
          <t>קידוש</t>
        </is>
      </c>
      <c r="J34" s="20" t="n"/>
    </row>
    <row r="35" ht="30" customHeight="1">
      <c r="A35" s="27" t="inlineStr">
        <is>
          <t>תורנות שבת</t>
        </is>
      </c>
      <c r="B35" s="31" t="inlineStr">
        <is>
          <t>שבת</t>
        </is>
      </c>
      <c r="C35" s="29" t="n">
        <v>0.4583333333333333</v>
      </c>
      <c r="D35" s="19" t="inlineStr">
        <is>
          <t>ארוחת צהריים שבת</t>
        </is>
      </c>
      <c r="E35" s="20" t="inlineStr">
        <is>
          <t>הכנסת האוכל לתנור החימום: כתף בקר, אורז לבן, תפו"א ובטטה, אנטי פסטי, שווארמה טבעונית</t>
        </is>
      </c>
      <c r="F35" s="27" t="n">
        <v>2</v>
      </c>
      <c r="G35" s="30" t="inlineStr">
        <is>
          <t>איתמר אסנהיים, נעמי פונקלשטיין</t>
        </is>
      </c>
      <c r="H35" s="19" t="n"/>
      <c r="I35" s="19" t="inlineStr">
        <is>
          <t>קידוש</t>
        </is>
      </c>
      <c r="J35" s="20" t="inlineStr">
        <is>
          <t>הגסטרונומים המסומנים 2 — שנה ב'</t>
        </is>
      </c>
    </row>
    <row r="36" ht="30" customHeight="1">
      <c r="A36" s="27" t="inlineStr">
        <is>
          <t>תורנות שבת</t>
        </is>
      </c>
      <c r="B36" s="31" t="inlineStr">
        <is>
          <t>שבת</t>
        </is>
      </c>
      <c r="C36" s="29" t="n">
        <v>0.5208333333333334</v>
      </c>
      <c r="D36" s="19" t="inlineStr">
        <is>
          <t>ארוחת צהריים שבת</t>
        </is>
      </c>
      <c r="E36" s="20" t="inlineStr">
        <is>
          <t>עריכת השולחן: הכנת סלט כרוב וסלט טחינה, והוצאת סלט חצילים, מטבוחה, סלטי קייטרינג (סלק אדום, ירקות מוחמצים, בטטה, כרוב במיונז, חומוס) וחלות</t>
        </is>
      </c>
      <c r="F36" s="27" t="n">
        <v>3</v>
      </c>
      <c r="G36" s="30" t="inlineStr">
        <is>
          <t>נדב טוקר, נגה שוהם, עפרי גזיאל</t>
        </is>
      </c>
      <c r="H36" s="19" t="n"/>
      <c r="I36" s="19" t="inlineStr">
        <is>
          <t>ארוחת צהריים</t>
        </is>
      </c>
      <c r="J36" s="20" t="inlineStr">
        <is>
          <t>לוודא שהכל של שנה ב'</t>
        </is>
      </c>
    </row>
    <row r="37" ht="30" customHeight="1">
      <c r="A37" s="27" t="inlineStr">
        <is>
          <t>תורנות שבת</t>
        </is>
      </c>
      <c r="B37" s="31" t="inlineStr">
        <is>
          <t>שבת</t>
        </is>
      </c>
      <c r="C37" s="29" t="n">
        <v>0.5208333333333334</v>
      </c>
      <c r="D37" s="19" t="inlineStr">
        <is>
          <t>ארוחת צהריים שבת</t>
        </is>
      </c>
      <c r="E37" s="20" t="inlineStr">
        <is>
          <t>פריסת האוכל, כפות הגשה, צלחות וסכו"ם, וסידור שולחנות וכיסאות</t>
        </is>
      </c>
      <c r="F37" s="27" t="n">
        <v>2</v>
      </c>
      <c r="G37" s="30" t="inlineStr">
        <is>
          <t>איתמר אסנהיים, נעמי פונקלשטיין</t>
        </is>
      </c>
      <c r="H37" s="19" t="n"/>
      <c r="I37" s="19" t="inlineStr">
        <is>
          <t>ארוחת צהריים</t>
        </is>
      </c>
      <c r="J37" s="20" t="n"/>
    </row>
    <row r="38" ht="30" customHeight="1">
      <c r="A38" s="27" t="inlineStr">
        <is>
          <t>תורנות שבת</t>
        </is>
      </c>
      <c r="B38" s="31" t="inlineStr">
        <is>
          <t>שבת</t>
        </is>
      </c>
      <c r="C38" s="29" t="n"/>
      <c r="D38" s="19" t="inlineStr">
        <is>
          <t>ארוחת צהריים שבת</t>
        </is>
      </c>
      <c r="E38" s="20" t="inlineStr">
        <is>
          <t>פינוי השולחנות ושטיפת הגסטרונומים בסיום הארוחה</t>
        </is>
      </c>
      <c r="F38" s="27" t="n"/>
      <c r="G38" s="30" t="inlineStr">
        <is>
          <t>איתמר אסנהיים, נעמי פונקלשטיין, נדב טוקר, נגה שוהם, עפרי גזיאל</t>
        </is>
      </c>
      <c r="H38" s="19" t="n"/>
      <c r="I38" s="19" t="inlineStr">
        <is>
          <t>ארוחת צהריים</t>
        </is>
      </c>
      <c r="J38" s="20" t="n"/>
    </row>
    <row r="39" ht="30" customHeight="1">
      <c r="A39" s="27" t="inlineStr">
        <is>
          <t>תורנות שבת</t>
        </is>
      </c>
      <c r="B39" s="32" t="inlineStr">
        <is>
          <t>מוצאי שבת</t>
        </is>
      </c>
      <c r="C39" s="29" t="n"/>
      <c r="D39" s="19" t="n"/>
      <c r="E39" s="20" t="inlineStr">
        <is>
          <t>כולם בבית המדרש לחלוקת גזרות</t>
        </is>
      </c>
      <c r="F39" s="27" t="n"/>
      <c r="G39" s="30" t="n"/>
      <c r="H39" s="19" t="n"/>
      <c r="I39" s="19" t="inlineStr">
        <is>
          <t>ניקיונות מוצ"ש</t>
        </is>
      </c>
      <c r="J39" s="20" t="n"/>
    </row>
    <row r="40" ht="18" customHeight="1">
      <c r="A40" s="27" t="n"/>
      <c r="B40" s="27" t="n"/>
      <c r="C40" s="29" t="n"/>
      <c r="D40" s="19" t="n"/>
      <c r="E40" s="20" t="n"/>
      <c r="F40" s="27" t="n"/>
      <c r="G40" s="30" t="n"/>
      <c r="H40" s="19" t="n"/>
      <c r="I40" s="19" t="n"/>
      <c r="J40" s="20" t="n"/>
    </row>
    <row r="41" ht="18" customHeight="1">
      <c r="A41" s="27" t="n"/>
      <c r="B41" s="27" t="n"/>
      <c r="C41" s="29" t="n"/>
      <c r="D41" s="19" t="n"/>
      <c r="E41" s="20" t="n"/>
      <c r="F41" s="27" t="n"/>
      <c r="G41" s="30" t="n"/>
      <c r="H41" s="19" t="n"/>
      <c r="I41" s="19" t="n"/>
      <c r="J41" s="20" t="n"/>
    </row>
    <row r="42" ht="18" customHeight="1">
      <c r="A42" s="27" t="n"/>
      <c r="B42" s="27" t="n"/>
      <c r="C42" s="29" t="n"/>
      <c r="D42" s="19" t="n"/>
      <c r="E42" s="20" t="n"/>
      <c r="F42" s="27" t="n"/>
      <c r="G42" s="30" t="n"/>
      <c r="H42" s="19" t="n"/>
      <c r="I42" s="19" t="n"/>
      <c r="J42" s="20" t="n"/>
    </row>
    <row r="43" ht="18" customHeight="1">
      <c r="A43" s="27" t="n"/>
      <c r="B43" s="27" t="n"/>
      <c r="C43" s="29" t="n"/>
      <c r="D43" s="19" t="n"/>
      <c r="E43" s="20" t="n"/>
      <c r="F43" s="27" t="n"/>
      <c r="G43" s="30" t="n"/>
      <c r="H43" s="19" t="n"/>
      <c r="I43" s="19" t="n"/>
      <c r="J43" s="20" t="n"/>
    </row>
    <row r="44" ht="18" customHeight="1">
      <c r="A44" s="27" t="n"/>
      <c r="B44" s="27" t="n"/>
      <c r="C44" s="29" t="n"/>
      <c r="D44" s="19" t="n"/>
      <c r="E44" s="20" t="n"/>
      <c r="F44" s="27" t="n"/>
      <c r="G44" s="30" t="n"/>
      <c r="H44" s="19" t="n"/>
      <c r="I44" s="19" t="n"/>
      <c r="J44" s="20" t="n"/>
    </row>
    <row r="45" ht="18" customHeight="1">
      <c r="A45" s="27" t="n"/>
      <c r="B45" s="27" t="n"/>
      <c r="C45" s="29" t="n"/>
      <c r="D45" s="19" t="n"/>
      <c r="E45" s="20" t="n"/>
      <c r="F45" s="27" t="n"/>
      <c r="G45" s="30" t="n"/>
      <c r="H45" s="19" t="n"/>
      <c r="I45" s="19" t="n"/>
      <c r="J45" s="20" t="n"/>
    </row>
    <row r="46" ht="18" customHeight="1">
      <c r="A46" s="27" t="n"/>
      <c r="B46" s="27" t="n"/>
      <c r="C46" s="29" t="n"/>
      <c r="D46" s="19" t="n"/>
      <c r="E46" s="20" t="n"/>
      <c r="F46" s="27" t="n"/>
      <c r="G46" s="30" t="n"/>
      <c r="H46" s="19" t="n"/>
      <c r="I46" s="19" t="n"/>
      <c r="J46" s="20" t="n"/>
    </row>
    <row r="47" ht="18" customHeight="1">
      <c r="A47" s="27" t="n"/>
      <c r="B47" s="27" t="n"/>
      <c r="C47" s="29" t="n"/>
      <c r="D47" s="19" t="n"/>
      <c r="E47" s="20" t="n"/>
      <c r="F47" s="27" t="n"/>
      <c r="G47" s="30" t="n"/>
      <c r="H47" s="19" t="n"/>
      <c r="I47" s="19" t="n"/>
      <c r="J47" s="20" t="n"/>
    </row>
    <row r="48" ht="18" customHeight="1">
      <c r="A48" s="27" t="n"/>
      <c r="B48" s="27" t="n"/>
      <c r="C48" s="29" t="n"/>
      <c r="D48" s="19" t="n"/>
      <c r="E48" s="20" t="n"/>
      <c r="F48" s="27" t="n"/>
      <c r="G48" s="30" t="n"/>
      <c r="H48" s="19" t="n"/>
      <c r="I48" s="19" t="n"/>
      <c r="J48" s="20" t="n"/>
    </row>
    <row r="49" ht="18" customHeight="1">
      <c r="A49" s="27" t="n"/>
      <c r="B49" s="27" t="n"/>
      <c r="C49" s="29" t="n"/>
      <c r="D49" s="19" t="n"/>
      <c r="E49" s="20" t="n"/>
      <c r="F49" s="27" t="n"/>
      <c r="G49" s="30" t="n"/>
      <c r="H49" s="19" t="n"/>
      <c r="I49" s="19" t="n"/>
      <c r="J49" s="20" t="n"/>
    </row>
    <row r="50" ht="18" customHeight="1">
      <c r="A50" s="27" t="n"/>
      <c r="B50" s="27" t="n"/>
      <c r="C50" s="29" t="n"/>
      <c r="D50" s="19" t="n"/>
      <c r="E50" s="20" t="n"/>
      <c r="F50" s="27" t="n"/>
      <c r="G50" s="30" t="n"/>
      <c r="H50" s="19" t="n"/>
      <c r="I50" s="19" t="n"/>
      <c r="J50" s="20" t="n"/>
    </row>
    <row r="51" ht="18" customHeight="1">
      <c r="A51" s="27" t="n"/>
      <c r="B51" s="27" t="n"/>
      <c r="C51" s="29" t="n"/>
      <c r="D51" s="19" t="n"/>
      <c r="E51" s="20" t="n"/>
      <c r="F51" s="27" t="n"/>
      <c r="G51" s="30" t="n"/>
      <c r="H51" s="19" t="n"/>
      <c r="I51" s="19" t="n"/>
      <c r="J51" s="20" t="n"/>
    </row>
    <row r="52" ht="18" customHeight="1">
      <c r="A52" s="27" t="n"/>
      <c r="B52" s="27" t="n"/>
      <c r="C52" s="29" t="n"/>
      <c r="D52" s="19" t="n"/>
      <c r="E52" s="20" t="n"/>
      <c r="F52" s="27" t="n"/>
      <c r="G52" s="30" t="n"/>
      <c r="H52" s="19" t="n"/>
      <c r="I52" s="19" t="n"/>
      <c r="J52" s="20" t="n"/>
    </row>
    <row r="53" ht="18" customHeight="1">
      <c r="A53" s="27" t="n"/>
      <c r="B53" s="27" t="n"/>
      <c r="C53" s="29" t="n"/>
      <c r="D53" s="19" t="n"/>
      <c r="E53" s="20" t="n"/>
      <c r="F53" s="27" t="n"/>
      <c r="G53" s="30" t="n"/>
      <c r="H53" s="19" t="n"/>
      <c r="I53" s="19" t="n"/>
      <c r="J53" s="20" t="n"/>
    </row>
    <row r="54" ht="18" customHeight="1">
      <c r="A54" s="27" t="n"/>
      <c r="B54" s="27" t="n"/>
      <c r="C54" s="29" t="n"/>
      <c r="D54" s="19" t="n"/>
      <c r="E54" s="20" t="n"/>
      <c r="F54" s="27" t="n"/>
      <c r="G54" s="30" t="n"/>
      <c r="H54" s="19" t="n"/>
      <c r="I54" s="19" t="n"/>
      <c r="J54" s="20" t="n"/>
    </row>
    <row r="55" ht="18" customHeight="1">
      <c r="A55" s="27" t="n"/>
      <c r="B55" s="27" t="n"/>
      <c r="C55" s="29" t="n"/>
      <c r="D55" s="19" t="n"/>
      <c r="E55" s="20" t="n"/>
      <c r="F55" s="27" t="n"/>
      <c r="G55" s="30" t="n"/>
      <c r="H55" s="19" t="n"/>
      <c r="I55" s="19" t="n"/>
      <c r="J55" s="20" t="n"/>
    </row>
    <row r="56" ht="18" customHeight="1">
      <c r="A56" s="27" t="n"/>
      <c r="B56" s="27" t="n"/>
      <c r="C56" s="29" t="n"/>
      <c r="D56" s="19" t="n"/>
      <c r="E56" s="20" t="n"/>
      <c r="F56" s="27" t="n"/>
      <c r="G56" s="30" t="n"/>
      <c r="H56" s="19" t="n"/>
      <c r="I56" s="19" t="n"/>
      <c r="J56" s="20" t="n"/>
    </row>
    <row r="57" ht="18" customHeight="1">
      <c r="A57" s="27" t="n"/>
      <c r="B57" s="27" t="n"/>
      <c r="C57" s="29" t="n"/>
      <c r="D57" s="19" t="n"/>
      <c r="E57" s="20" t="n"/>
      <c r="F57" s="27" t="n"/>
      <c r="G57" s="30" t="n"/>
      <c r="H57" s="19" t="n"/>
      <c r="I57" s="19" t="n"/>
      <c r="J57" s="20" t="n"/>
    </row>
    <row r="58" ht="18" customHeight="1">
      <c r="A58" s="27" t="n"/>
      <c r="B58" s="27" t="n"/>
      <c r="C58" s="29" t="n"/>
      <c r="D58" s="19" t="n"/>
      <c r="E58" s="20" t="n"/>
      <c r="F58" s="27" t="n"/>
      <c r="G58" s="30" t="n"/>
      <c r="H58" s="19" t="n"/>
      <c r="I58" s="19" t="n"/>
      <c r="J58" s="20" t="n"/>
    </row>
    <row r="59" ht="18" customHeight="1">
      <c r="A59" s="27" t="n"/>
      <c r="B59" s="27" t="n"/>
      <c r="C59" s="29" t="n"/>
      <c r="D59" s="19" t="n"/>
      <c r="E59" s="20" t="n"/>
      <c r="F59" s="27" t="n"/>
      <c r="G59" s="30" t="n"/>
      <c r="H59" s="19" t="n"/>
      <c r="I59" s="19" t="n"/>
      <c r="J59" s="20" t="n"/>
    </row>
    <row r="60" ht="18" customHeight="1">
      <c r="A60" s="27" t="n"/>
      <c r="B60" s="27" t="n"/>
      <c r="C60" s="29" t="n"/>
      <c r="D60" s="19" t="n"/>
      <c r="E60" s="20" t="n"/>
      <c r="F60" s="27" t="n"/>
      <c r="G60" s="30" t="n"/>
      <c r="H60" s="19" t="n"/>
      <c r="I60" s="19" t="n"/>
      <c r="J60" s="20" t="n"/>
    </row>
    <row r="61" ht="18" customHeight="1">
      <c r="A61" s="27" t="n"/>
      <c r="B61" s="27" t="n"/>
      <c r="C61" s="29" t="n"/>
      <c r="D61" s="19" t="n"/>
      <c r="E61" s="20" t="n"/>
      <c r="F61" s="27" t="n"/>
      <c r="G61" s="30" t="n"/>
      <c r="H61" s="19" t="n"/>
      <c r="I61" s="19" t="n"/>
      <c r="J61" s="20" t="n"/>
    </row>
    <row r="62" ht="18" customHeight="1">
      <c r="A62" s="27" t="n"/>
      <c r="B62" s="27" t="n"/>
      <c r="C62" s="29" t="n"/>
      <c r="D62" s="19" t="n"/>
      <c r="E62" s="20" t="n"/>
      <c r="F62" s="27" t="n"/>
      <c r="G62" s="30" t="n"/>
      <c r="H62" s="19" t="n"/>
      <c r="I62" s="19" t="n"/>
      <c r="J62" s="20" t="n"/>
    </row>
    <row r="63" ht="18" customHeight="1">
      <c r="A63" s="27" t="n"/>
      <c r="B63" s="27" t="n"/>
      <c r="C63" s="29" t="n"/>
      <c r="D63" s="19" t="n"/>
      <c r="E63" s="20" t="n"/>
      <c r="F63" s="27" t="n"/>
      <c r="G63" s="30" t="n"/>
      <c r="H63" s="19" t="n"/>
      <c r="I63" s="19" t="n"/>
      <c r="J63" s="20" t="n"/>
    </row>
    <row r="64" ht="18" customHeight="1">
      <c r="A64" s="27" t="n"/>
      <c r="B64" s="27" t="n"/>
      <c r="C64" s="29" t="n"/>
      <c r="D64" s="19" t="n"/>
      <c r="E64" s="20" t="n"/>
      <c r="F64" s="27" t="n"/>
      <c r="G64" s="30" t="n"/>
      <c r="H64" s="19" t="n"/>
      <c r="I64" s="19" t="n"/>
      <c r="J64" s="20" t="n"/>
    </row>
    <row r="65" ht="18" customHeight="1">
      <c r="A65" s="27" t="n"/>
      <c r="B65" s="27" t="n"/>
      <c r="C65" s="29" t="n"/>
      <c r="D65" s="19" t="n"/>
      <c r="E65" s="20" t="n"/>
      <c r="F65" s="27" t="n"/>
      <c r="G65" s="30" t="n"/>
      <c r="H65" s="19" t="n"/>
      <c r="I65" s="19" t="n"/>
      <c r="J65" s="20" t="n"/>
    </row>
    <row r="66" ht="18" customHeight="1">
      <c r="A66" s="27" t="n"/>
      <c r="B66" s="27" t="n"/>
      <c r="C66" s="29" t="n"/>
      <c r="D66" s="19" t="n"/>
      <c r="E66" s="20" t="n"/>
      <c r="F66" s="27" t="n"/>
      <c r="G66" s="30" t="n"/>
      <c r="H66" s="19" t="n"/>
      <c r="I66" s="19" t="n"/>
      <c r="J66" s="20" t="n"/>
    </row>
    <row r="67" ht="18" customHeight="1">
      <c r="A67" s="27" t="n"/>
      <c r="B67" s="27" t="n"/>
      <c r="C67" s="29" t="n"/>
      <c r="D67" s="19" t="n"/>
      <c r="E67" s="20" t="n"/>
      <c r="F67" s="27" t="n"/>
      <c r="G67" s="30" t="n"/>
      <c r="H67" s="19" t="n"/>
      <c r="I67" s="19" t="n"/>
      <c r="J67" s="20" t="n"/>
    </row>
    <row r="68" ht="18" customHeight="1">
      <c r="A68" s="27" t="n"/>
      <c r="B68" s="27" t="n"/>
      <c r="C68" s="29" t="n"/>
      <c r="D68" s="19" t="n"/>
      <c r="E68" s="20" t="n"/>
      <c r="F68" s="27" t="n"/>
      <c r="G68" s="30" t="n"/>
      <c r="H68" s="19" t="n"/>
      <c r="I68" s="19" t="n"/>
      <c r="J68" s="20" t="n"/>
    </row>
    <row r="69" ht="18" customHeight="1">
      <c r="A69" s="27" t="n"/>
      <c r="B69" s="27" t="n"/>
      <c r="C69" s="29" t="n"/>
      <c r="D69" s="19" t="n"/>
      <c r="E69" s="20" t="n"/>
      <c r="F69" s="27" t="n"/>
      <c r="G69" s="30" t="n"/>
      <c r="H69" s="19" t="n"/>
      <c r="I69" s="19" t="n"/>
      <c r="J69" s="20" t="n"/>
    </row>
    <row r="70" ht="18" customHeight="1">
      <c r="A70" s="27" t="n"/>
      <c r="B70" s="27" t="n"/>
      <c r="C70" s="29" t="n"/>
      <c r="D70" s="19" t="n"/>
      <c r="E70" s="20" t="n"/>
      <c r="F70" s="27" t="n"/>
      <c r="G70" s="30" t="n"/>
      <c r="H70" s="19" t="n"/>
      <c r="I70" s="19" t="n"/>
      <c r="J70" s="20" t="n"/>
    </row>
    <row r="71" ht="18" customHeight="1">
      <c r="A71" s="27" t="n"/>
      <c r="B71" s="27" t="n"/>
      <c r="C71" s="29" t="n"/>
      <c r="D71" s="19" t="n"/>
      <c r="E71" s="20" t="n"/>
      <c r="F71" s="27" t="n"/>
      <c r="G71" s="30" t="n"/>
      <c r="H71" s="19" t="n"/>
      <c r="I71" s="19" t="n"/>
      <c r="J71" s="20" t="n"/>
    </row>
    <row r="72" ht="18" customHeight="1">
      <c r="A72" s="27" t="n"/>
      <c r="B72" s="27" t="n"/>
      <c r="C72" s="29" t="n"/>
      <c r="D72" s="19" t="n"/>
      <c r="E72" s="20" t="n"/>
      <c r="F72" s="27" t="n"/>
      <c r="G72" s="30" t="n"/>
      <c r="H72" s="19" t="n"/>
      <c r="I72" s="19" t="n"/>
      <c r="J72" s="20" t="n"/>
    </row>
    <row r="73" ht="18" customHeight="1">
      <c r="A73" s="27" t="n"/>
      <c r="B73" s="27" t="n"/>
      <c r="C73" s="29" t="n"/>
      <c r="D73" s="19" t="n"/>
      <c r="E73" s="20" t="n"/>
      <c r="F73" s="27" t="n"/>
      <c r="G73" s="30" t="n"/>
      <c r="H73" s="19" t="n"/>
      <c r="I73" s="19" t="n"/>
      <c r="J73" s="20" t="n"/>
    </row>
    <row r="74" ht="18" customHeight="1">
      <c r="A74" s="27" t="n"/>
      <c r="B74" s="27" t="n"/>
      <c r="C74" s="29" t="n"/>
      <c r="D74" s="19" t="n"/>
      <c r="E74" s="20" t="n"/>
      <c r="F74" s="27" t="n"/>
      <c r="G74" s="30" t="n"/>
      <c r="H74" s="19" t="n"/>
      <c r="I74" s="19" t="n"/>
      <c r="J74" s="20" t="n"/>
    </row>
    <row r="75" ht="18" customHeight="1">
      <c r="A75" s="27" t="n"/>
      <c r="B75" s="27" t="n"/>
      <c r="C75" s="29" t="n"/>
      <c r="D75" s="19" t="n"/>
      <c r="E75" s="20" t="n"/>
      <c r="F75" s="27" t="n"/>
      <c r="G75" s="30" t="n"/>
      <c r="H75" s="19" t="n"/>
      <c r="I75" s="19" t="n"/>
      <c r="J75" s="20" t="n"/>
    </row>
    <row r="76" ht="18" customHeight="1">
      <c r="A76" s="27" t="n"/>
      <c r="B76" s="27" t="n"/>
      <c r="C76" s="29" t="n"/>
      <c r="D76" s="19" t="n"/>
      <c r="E76" s="20" t="n"/>
      <c r="F76" s="27" t="n"/>
      <c r="G76" s="30" t="n"/>
      <c r="H76" s="19" t="n"/>
      <c r="I76" s="19" t="n"/>
      <c r="J76" s="20" t="n"/>
    </row>
    <row r="77" ht="18" customHeight="1">
      <c r="A77" s="27" t="n"/>
      <c r="B77" s="27" t="n"/>
      <c r="C77" s="29" t="n"/>
      <c r="D77" s="19" t="n"/>
      <c r="E77" s="20" t="n"/>
      <c r="F77" s="27" t="n"/>
      <c r="G77" s="30" t="n"/>
      <c r="H77" s="19" t="n"/>
      <c r="I77" s="19" t="n"/>
      <c r="J77" s="20" t="n"/>
    </row>
    <row r="78" ht="18" customHeight="1">
      <c r="A78" s="27" t="n"/>
      <c r="B78" s="27" t="n"/>
      <c r="C78" s="29" t="n"/>
      <c r="D78" s="19" t="n"/>
      <c r="E78" s="20" t="n"/>
      <c r="F78" s="27" t="n"/>
      <c r="G78" s="30" t="n"/>
      <c r="H78" s="19" t="n"/>
      <c r="I78" s="19" t="n"/>
      <c r="J78" s="20" t="n"/>
    </row>
    <row r="79" ht="18" customHeight="1">
      <c r="A79" s="27" t="n"/>
      <c r="B79" s="27" t="n"/>
      <c r="C79" s="29" t="n"/>
      <c r="D79" s="19" t="n"/>
      <c r="E79" s="20" t="n"/>
      <c r="F79" s="27" t="n"/>
      <c r="G79" s="30" t="n"/>
      <c r="H79" s="19" t="n"/>
      <c r="I79" s="19" t="n"/>
      <c r="J79" s="20" t="n"/>
    </row>
    <row r="80" ht="18" customHeight="1">
      <c r="A80" s="27" t="n"/>
      <c r="B80" s="27" t="n"/>
      <c r="C80" s="29" t="n"/>
      <c r="D80" s="19" t="n"/>
      <c r="E80" s="20" t="n"/>
      <c r="F80" s="27" t="n"/>
      <c r="G80" s="30" t="n"/>
      <c r="H80" s="19" t="n"/>
      <c r="I80" s="19" t="n"/>
      <c r="J80" s="20" t="n"/>
    </row>
    <row r="81" ht="18" customHeight="1">
      <c r="A81" s="27" t="n"/>
      <c r="B81" s="27" t="n"/>
      <c r="C81" s="29" t="n"/>
      <c r="D81" s="19" t="n"/>
      <c r="E81" s="20" t="n"/>
      <c r="F81" s="27" t="n"/>
      <c r="G81" s="30" t="n"/>
      <c r="H81" s="19" t="n"/>
      <c r="I81" s="19" t="n"/>
      <c r="J81" s="20" t="n"/>
    </row>
    <row r="82" ht="18" customHeight="1">
      <c r="A82" s="27" t="n"/>
      <c r="B82" s="27" t="n"/>
      <c r="C82" s="29" t="n"/>
      <c r="D82" s="19" t="n"/>
      <c r="E82" s="20" t="n"/>
      <c r="F82" s="27" t="n"/>
      <c r="G82" s="30" t="n"/>
      <c r="H82" s="19" t="n"/>
      <c r="I82" s="19" t="n"/>
      <c r="J82" s="20" t="n"/>
    </row>
    <row r="83" ht="18" customHeight="1">
      <c r="A83" s="27" t="n"/>
      <c r="B83" s="27" t="n"/>
      <c r="C83" s="29" t="n"/>
      <c r="D83" s="19" t="n"/>
      <c r="E83" s="20" t="n"/>
      <c r="F83" s="27" t="n"/>
      <c r="G83" s="30" t="n"/>
      <c r="H83" s="19" t="n"/>
      <c r="I83" s="19" t="n"/>
      <c r="J83" s="20" t="n"/>
    </row>
    <row r="84" ht="18" customHeight="1">
      <c r="A84" s="27" t="n"/>
      <c r="B84" s="27" t="n"/>
      <c r="C84" s="29" t="n"/>
      <c r="D84" s="19" t="n"/>
      <c r="E84" s="20" t="n"/>
      <c r="F84" s="27" t="n"/>
      <c r="G84" s="30" t="n"/>
      <c r="H84" s="19" t="n"/>
      <c r="I84" s="19" t="n"/>
      <c r="J84" s="20" t="n"/>
    </row>
    <row r="85" ht="18" customHeight="1">
      <c r="A85" s="27" t="n"/>
      <c r="B85" s="27" t="n"/>
      <c r="C85" s="29" t="n"/>
      <c r="D85" s="19" t="n"/>
      <c r="E85" s="20" t="n"/>
      <c r="F85" s="27" t="n"/>
      <c r="G85" s="30" t="n"/>
      <c r="H85" s="19" t="n"/>
      <c r="I85" s="19" t="n"/>
      <c r="J85" s="20" t="n"/>
    </row>
    <row r="86" ht="18" customHeight="1">
      <c r="A86" s="27" t="n"/>
      <c r="B86" s="27" t="n"/>
      <c r="C86" s="29" t="n"/>
      <c r="D86" s="19" t="n"/>
      <c r="E86" s="20" t="n"/>
      <c r="F86" s="27" t="n"/>
      <c r="G86" s="30" t="n"/>
      <c r="H86" s="19" t="n"/>
      <c r="I86" s="19" t="n"/>
      <c r="J86" s="20" t="n"/>
    </row>
    <row r="87" ht="18" customHeight="1">
      <c r="A87" s="27" t="n"/>
      <c r="B87" s="27" t="n"/>
      <c r="C87" s="29" t="n"/>
      <c r="D87" s="19" t="n"/>
      <c r="E87" s="20" t="n"/>
      <c r="F87" s="27" t="n"/>
      <c r="G87" s="30" t="n"/>
      <c r="H87" s="19" t="n"/>
      <c r="I87" s="19" t="n"/>
      <c r="J87" s="20" t="n"/>
    </row>
    <row r="88" ht="18" customHeight="1">
      <c r="A88" s="27" t="n"/>
      <c r="B88" s="27" t="n"/>
      <c r="C88" s="29" t="n"/>
      <c r="D88" s="19" t="n"/>
      <c r="E88" s="20" t="n"/>
      <c r="F88" s="27" t="n"/>
      <c r="G88" s="30" t="n"/>
      <c r="H88" s="19" t="n"/>
      <c r="I88" s="19" t="n"/>
      <c r="J88" s="20" t="n"/>
    </row>
    <row r="89" ht="18" customHeight="1">
      <c r="A89" s="27" t="n"/>
      <c r="B89" s="27" t="n"/>
      <c r="C89" s="29" t="n"/>
      <c r="D89" s="19" t="n"/>
      <c r="E89" s="20" t="n"/>
      <c r="F89" s="27" t="n"/>
      <c r="G89" s="30" t="n"/>
      <c r="H89" s="19" t="n"/>
      <c r="I89" s="19" t="n"/>
      <c r="J89" s="20" t="n"/>
    </row>
    <row r="90" ht="18" customHeight="1">
      <c r="A90" s="27" t="n"/>
      <c r="B90" s="27" t="n"/>
      <c r="C90" s="29" t="n"/>
      <c r="D90" s="19" t="n"/>
      <c r="E90" s="20" t="n"/>
      <c r="F90" s="27" t="n"/>
      <c r="G90" s="30" t="n"/>
      <c r="H90" s="19" t="n"/>
      <c r="I90" s="19" t="n"/>
      <c r="J90" s="20" t="n"/>
    </row>
    <row r="91" ht="18" customHeight="1">
      <c r="A91" s="27" t="n"/>
      <c r="B91" s="27" t="n"/>
      <c r="C91" s="29" t="n"/>
      <c r="D91" s="19" t="n"/>
      <c r="E91" s="20" t="n"/>
      <c r="F91" s="27" t="n"/>
      <c r="G91" s="30" t="n"/>
      <c r="H91" s="19" t="n"/>
      <c r="I91" s="19" t="n"/>
      <c r="J91" s="20" t="n"/>
    </row>
    <row r="92" ht="18" customHeight="1">
      <c r="A92" s="27" t="n"/>
      <c r="B92" s="27" t="n"/>
      <c r="C92" s="29" t="n"/>
      <c r="D92" s="19" t="n"/>
      <c r="E92" s="20" t="n"/>
      <c r="F92" s="27" t="n"/>
      <c r="G92" s="30" t="n"/>
      <c r="H92" s="19" t="n"/>
      <c r="I92" s="19" t="n"/>
      <c r="J92" s="20" t="n"/>
    </row>
    <row r="93" ht="18" customHeight="1">
      <c r="A93" s="27" t="n"/>
      <c r="B93" s="27" t="n"/>
      <c r="C93" s="29" t="n"/>
      <c r="D93" s="19" t="n"/>
      <c r="E93" s="20" t="n"/>
      <c r="F93" s="27" t="n"/>
      <c r="G93" s="30" t="n"/>
      <c r="H93" s="19" t="n"/>
      <c r="I93" s="19" t="n"/>
      <c r="J93" s="20" t="n"/>
    </row>
    <row r="94" ht="18" customHeight="1">
      <c r="A94" s="27" t="n"/>
      <c r="B94" s="27" t="n"/>
      <c r="C94" s="29" t="n"/>
      <c r="D94" s="19" t="n"/>
      <c r="E94" s="20" t="n"/>
      <c r="F94" s="27" t="n"/>
      <c r="G94" s="30" t="n"/>
      <c r="H94" s="19" t="n"/>
      <c r="I94" s="19" t="n"/>
      <c r="J94" s="20" t="n"/>
    </row>
    <row r="95" ht="18" customHeight="1">
      <c r="A95" s="27" t="n"/>
      <c r="B95" s="27" t="n"/>
      <c r="C95" s="29" t="n"/>
      <c r="D95" s="19" t="n"/>
      <c r="E95" s="20" t="n"/>
      <c r="F95" s="27" t="n"/>
      <c r="G95" s="30" t="n"/>
      <c r="H95" s="19" t="n"/>
      <c r="I95" s="19" t="n"/>
      <c r="J95" s="20" t="n"/>
    </row>
    <row r="96" ht="18" customHeight="1">
      <c r="A96" s="27" t="n"/>
      <c r="B96" s="27" t="n"/>
      <c r="C96" s="29" t="n"/>
      <c r="D96" s="19" t="n"/>
      <c r="E96" s="20" t="n"/>
      <c r="F96" s="27" t="n"/>
      <c r="G96" s="30" t="n"/>
      <c r="H96" s="19" t="n"/>
      <c r="I96" s="19" t="n"/>
      <c r="J96" s="20" t="n"/>
    </row>
    <row r="97" ht="18" customHeight="1">
      <c r="A97" s="27" t="n"/>
      <c r="B97" s="27" t="n"/>
      <c r="C97" s="29" t="n"/>
      <c r="D97" s="19" t="n"/>
      <c r="E97" s="20" t="n"/>
      <c r="F97" s="27" t="n"/>
      <c r="G97" s="30" t="n"/>
      <c r="H97" s="19" t="n"/>
      <c r="I97" s="19" t="n"/>
      <c r="J97" s="20" t="n"/>
    </row>
    <row r="98" ht="18" customHeight="1">
      <c r="A98" s="27" t="n"/>
      <c r="B98" s="27" t="n"/>
      <c r="C98" s="29" t="n"/>
      <c r="D98" s="19" t="n"/>
      <c r="E98" s="20" t="n"/>
      <c r="F98" s="27" t="n"/>
      <c r="G98" s="30" t="n"/>
      <c r="H98" s="19" t="n"/>
      <c r="I98" s="19" t="n"/>
      <c r="J98" s="20" t="n"/>
    </row>
    <row r="99" ht="18" customHeight="1">
      <c r="A99" s="27" t="n"/>
      <c r="B99" s="27" t="n"/>
      <c r="C99" s="29" t="n"/>
      <c r="D99" s="19" t="n"/>
      <c r="E99" s="20" t="n"/>
      <c r="F99" s="27" t="n"/>
      <c r="G99" s="30" t="n"/>
      <c r="H99" s="19" t="n"/>
      <c r="I99" s="19" t="n"/>
      <c r="J99" s="20" t="n"/>
    </row>
    <row r="100" ht="18" customHeight="1">
      <c r="A100" s="27" t="n"/>
      <c r="B100" s="27" t="n"/>
      <c r="C100" s="29" t="n"/>
      <c r="D100" s="19" t="n"/>
      <c r="E100" s="20" t="n"/>
      <c r="F100" s="27" t="n"/>
      <c r="G100" s="30" t="n"/>
      <c r="H100" s="19" t="n"/>
      <c r="I100" s="19" t="n"/>
      <c r="J100" s="20" t="n"/>
    </row>
    <row r="101" ht="18" customHeight="1">
      <c r="A101" s="27" t="n"/>
      <c r="B101" s="27" t="n"/>
      <c r="C101" s="29" t="n"/>
      <c r="D101" s="19" t="n"/>
      <c r="E101" s="20" t="n"/>
      <c r="F101" s="27" t="n"/>
      <c r="G101" s="30" t="n"/>
      <c r="H101" s="19" t="n"/>
      <c r="I101" s="19" t="n"/>
      <c r="J101" s="20" t="n"/>
    </row>
    <row r="102" ht="18" customHeight="1">
      <c r="A102" s="27" t="n"/>
      <c r="B102" s="27" t="n"/>
      <c r="C102" s="29" t="n"/>
      <c r="D102" s="19" t="n"/>
      <c r="E102" s="20" t="n"/>
      <c r="F102" s="27" t="n"/>
      <c r="G102" s="30" t="n"/>
      <c r="H102" s="19" t="n"/>
      <c r="I102" s="19" t="n"/>
      <c r="J102" s="20" t="n"/>
    </row>
    <row r="103" ht="18" customHeight="1">
      <c r="A103" s="27" t="n"/>
      <c r="B103" s="27" t="n"/>
      <c r="C103" s="29" t="n"/>
      <c r="D103" s="19" t="n"/>
      <c r="E103" s="20" t="n"/>
      <c r="F103" s="27" t="n"/>
      <c r="G103" s="30" t="n"/>
      <c r="H103" s="19" t="n"/>
      <c r="I103" s="19" t="n"/>
      <c r="J103" s="20" t="n"/>
    </row>
    <row r="104" ht="18" customHeight="1">
      <c r="A104" s="27" t="n"/>
      <c r="B104" s="27" t="n"/>
      <c r="C104" s="29" t="n"/>
      <c r="D104" s="19" t="n"/>
      <c r="E104" s="20" t="n"/>
      <c r="F104" s="27" t="n"/>
      <c r="G104" s="30" t="n"/>
      <c r="H104" s="19" t="n"/>
      <c r="I104" s="19" t="n"/>
      <c r="J104" s="20" t="n"/>
    </row>
    <row r="105" ht="18" customHeight="1">
      <c r="A105" s="27" t="n"/>
      <c r="B105" s="27" t="n"/>
      <c r="C105" s="29" t="n"/>
      <c r="D105" s="19" t="n"/>
      <c r="E105" s="20" t="n"/>
      <c r="F105" s="27" t="n"/>
      <c r="G105" s="30" t="n"/>
      <c r="H105" s="19" t="n"/>
      <c r="I105" s="19" t="n"/>
      <c r="J105" s="20" t="n"/>
    </row>
    <row r="106" ht="18" customHeight="1">
      <c r="A106" s="27" t="n"/>
      <c r="B106" s="27" t="n"/>
      <c r="C106" s="29" t="n"/>
      <c r="D106" s="19" t="n"/>
      <c r="E106" s="20" t="n"/>
      <c r="F106" s="27" t="n"/>
      <c r="G106" s="30" t="n"/>
      <c r="H106" s="19" t="n"/>
      <c r="I106" s="19" t="n"/>
      <c r="J106" s="20" t="n"/>
    </row>
    <row r="107" ht="18" customHeight="1">
      <c r="A107" s="27" t="n"/>
      <c r="B107" s="27" t="n"/>
      <c r="C107" s="29" t="n"/>
      <c r="D107" s="19" t="n"/>
      <c r="E107" s="20" t="n"/>
      <c r="F107" s="27" t="n"/>
      <c r="G107" s="30" t="n"/>
      <c r="H107" s="19" t="n"/>
      <c r="I107" s="19" t="n"/>
      <c r="J107" s="20" t="n"/>
    </row>
    <row r="108" ht="18" customHeight="1">
      <c r="A108" s="27" t="n"/>
      <c r="B108" s="27" t="n"/>
      <c r="C108" s="29" t="n"/>
      <c r="D108" s="19" t="n"/>
      <c r="E108" s="20" t="n"/>
      <c r="F108" s="27" t="n"/>
      <c r="G108" s="30" t="n"/>
      <c r="H108" s="19" t="n"/>
      <c r="I108" s="19" t="n"/>
      <c r="J108" s="20" t="n"/>
    </row>
    <row r="109" ht="18" customHeight="1">
      <c r="A109" s="27" t="n"/>
      <c r="B109" s="27" t="n"/>
      <c r="C109" s="29" t="n"/>
      <c r="D109" s="19" t="n"/>
      <c r="E109" s="20" t="n"/>
      <c r="F109" s="27" t="n"/>
      <c r="G109" s="30" t="n"/>
      <c r="H109" s="19" t="n"/>
      <c r="I109" s="19" t="n"/>
      <c r="J109" s="20" t="n"/>
    </row>
    <row r="110" ht="18" customHeight="1">
      <c r="A110" s="27" t="n"/>
      <c r="B110" s="27" t="n"/>
      <c r="C110" s="29" t="n"/>
      <c r="D110" s="19" t="n"/>
      <c r="E110" s="20" t="n"/>
      <c r="F110" s="27" t="n"/>
      <c r="G110" s="30" t="n"/>
      <c r="H110" s="19" t="n"/>
      <c r="I110" s="19" t="n"/>
      <c r="J110" s="20" t="n"/>
    </row>
    <row r="111" ht="18" customHeight="1">
      <c r="A111" s="27" t="n"/>
      <c r="B111" s="27" t="n"/>
      <c r="C111" s="29" t="n"/>
      <c r="D111" s="19" t="n"/>
      <c r="E111" s="20" t="n"/>
      <c r="F111" s="27" t="n"/>
      <c r="G111" s="30" t="n"/>
      <c r="H111" s="19" t="n"/>
      <c r="I111" s="19" t="n"/>
      <c r="J111" s="20" t="n"/>
    </row>
    <row r="112" ht="18" customHeight="1">
      <c r="A112" s="27" t="n"/>
      <c r="B112" s="27" t="n"/>
      <c r="C112" s="29" t="n"/>
      <c r="D112" s="19" t="n"/>
      <c r="E112" s="20" t="n"/>
      <c r="F112" s="27" t="n"/>
      <c r="G112" s="30" t="n"/>
      <c r="H112" s="19" t="n"/>
      <c r="I112" s="19" t="n"/>
      <c r="J112" s="20" t="n"/>
    </row>
    <row r="113" ht="18" customHeight="1">
      <c r="A113" s="27" t="n"/>
      <c r="B113" s="27" t="n"/>
      <c r="C113" s="29" t="n"/>
      <c r="D113" s="19" t="n"/>
      <c r="E113" s="20" t="n"/>
      <c r="F113" s="27" t="n"/>
      <c r="G113" s="30" t="n"/>
      <c r="H113" s="19" t="n"/>
      <c r="I113" s="19" t="n"/>
      <c r="J113" s="20" t="n"/>
    </row>
    <row r="114" ht="18" customHeight="1">
      <c r="A114" s="27" t="n"/>
      <c r="B114" s="27" t="n"/>
      <c r="C114" s="29" t="n"/>
      <c r="D114" s="19" t="n"/>
      <c r="E114" s="20" t="n"/>
      <c r="F114" s="27" t="n"/>
      <c r="G114" s="30" t="n"/>
      <c r="H114" s="19" t="n"/>
      <c r="I114" s="19" t="n"/>
      <c r="J114" s="20" t="n"/>
    </row>
    <row r="115" ht="18" customHeight="1">
      <c r="A115" s="27" t="n"/>
      <c r="B115" s="27" t="n"/>
      <c r="C115" s="29" t="n"/>
      <c r="D115" s="19" t="n"/>
      <c r="E115" s="20" t="n"/>
      <c r="F115" s="27" t="n"/>
      <c r="G115" s="30" t="n"/>
      <c r="H115" s="19" t="n"/>
      <c r="I115" s="19" t="n"/>
      <c r="J115" s="20" t="n"/>
    </row>
    <row r="116" ht="18" customHeight="1">
      <c r="A116" s="27" t="n"/>
      <c r="B116" s="27" t="n"/>
      <c r="C116" s="29" t="n"/>
      <c r="D116" s="19" t="n"/>
      <c r="E116" s="20" t="n"/>
      <c r="F116" s="27" t="n"/>
      <c r="G116" s="30" t="n"/>
      <c r="H116" s="19" t="n"/>
      <c r="I116" s="19" t="n"/>
      <c r="J116" s="20" t="n"/>
    </row>
    <row r="117" ht="18" customHeight="1">
      <c r="A117" s="27" t="n"/>
      <c r="B117" s="27" t="n"/>
      <c r="C117" s="29" t="n"/>
      <c r="D117" s="19" t="n"/>
      <c r="E117" s="20" t="n"/>
      <c r="F117" s="27" t="n"/>
      <c r="G117" s="30" t="n"/>
      <c r="H117" s="19" t="n"/>
      <c r="I117" s="19" t="n"/>
      <c r="J117" s="20" t="n"/>
    </row>
    <row r="118" ht="18" customHeight="1">
      <c r="A118" s="27" t="n"/>
      <c r="B118" s="27" t="n"/>
      <c r="C118" s="29" t="n"/>
      <c r="D118" s="19" t="n"/>
      <c r="E118" s="20" t="n"/>
      <c r="F118" s="27" t="n"/>
      <c r="G118" s="30" t="n"/>
      <c r="H118" s="19" t="n"/>
      <c r="I118" s="19" t="n"/>
      <c r="J118" s="20" t="n"/>
    </row>
    <row r="119" ht="18" customHeight="1">
      <c r="A119" s="27" t="n"/>
      <c r="B119" s="27" t="n"/>
      <c r="C119" s="29" t="n"/>
      <c r="D119" s="19" t="n"/>
      <c r="E119" s="20" t="n"/>
      <c r="F119" s="27" t="n"/>
      <c r="G119" s="30" t="n"/>
      <c r="H119" s="19" t="n"/>
      <c r="I119" s="19" t="n"/>
      <c r="J119" s="20" t="n"/>
    </row>
    <row r="120" ht="18" customHeight="1">
      <c r="A120" s="27" t="n"/>
      <c r="B120" s="27" t="n"/>
      <c r="C120" s="29" t="n"/>
      <c r="D120" s="19" t="n"/>
      <c r="E120" s="20" t="n"/>
      <c r="F120" s="27" t="n"/>
      <c r="G120" s="30" t="n"/>
      <c r="H120" s="19" t="n"/>
      <c r="I120" s="19" t="n"/>
      <c r="J120" s="20" t="n"/>
    </row>
    <row r="121" ht="18" customHeight="1">
      <c r="A121" s="27" t="n"/>
      <c r="B121" s="27" t="n"/>
      <c r="C121" s="29" t="n"/>
      <c r="D121" s="19" t="n"/>
      <c r="E121" s="20" t="n"/>
      <c r="F121" s="27" t="n"/>
      <c r="G121" s="30" t="n"/>
      <c r="H121" s="19" t="n"/>
      <c r="I121" s="19" t="n"/>
      <c r="J121" s="20" t="n"/>
    </row>
    <row r="122" ht="18" customHeight="1">
      <c r="A122" s="27" t="n"/>
      <c r="B122" s="27" t="n"/>
      <c r="C122" s="29" t="n"/>
      <c r="D122" s="19" t="n"/>
      <c r="E122" s="20" t="n"/>
      <c r="F122" s="27" t="n"/>
      <c r="G122" s="30" t="n"/>
      <c r="H122" s="19" t="n"/>
      <c r="I122" s="19" t="n"/>
      <c r="J122" s="20" t="n"/>
    </row>
    <row r="123"/>
    <row r="124" ht="28" customHeight="1">
      <c r="A124" s="25" t="inlineStr">
        <is>
          <t>«אנשים» = כמה צריך למשימה; ריק = כל הקבוצה. «שמות» מתמלא ע"י השיבוץ ואפשר לתקן ידנית. «מתכון» = מנה מ«מתכונים» (מודפסת על הפלייר רק עם --with-recipes). «עוגן» = האירוע בלו"ז שלידו המשימה תופיע בלו"ז הצל. הניקוד יושב ב«קבוצות».</t>
        </is>
      </c>
    </row>
  </sheetData>
  <mergeCells count="2">
    <mergeCell ref="A1:J1"/>
    <mergeCell ref="A124:J124"/>
  </mergeCells>
  <dataValidations count="5">
    <dataValidation sqref="A3:A122" showDropDown="0" showInputMessage="0" showErrorMessage="0" allowBlank="1" type="list">
      <formula1>"הכנות שישי,תורנות שישי,תורנות שבת"</formula1>
    </dataValidation>
    <dataValidation sqref="B3:B122" showDropDown="0" showInputMessage="0" showErrorMessage="0" allowBlank="1" type="list">
      <formula1>"שישי,שבת,מוצאי שבת"</formula1>
    </dataValidation>
    <dataValidation sqref="D3:D122" showDropDown="0" showInputMessage="0" showErrorMessage="0" allowBlank="1" type="list">
      <formula1>'קבוצות'!$A$3:$A$32</formula1>
    </dataValidation>
    <dataValidation sqref="H3:H122" showDropDown="0" showInputMessage="0" showErrorMessage="0" allowBlank="1" type="list">
      <formula1>'מתכונים'!$B$3:$B$82</formula1>
    </dataValidation>
    <dataValidation sqref="I3:I122" showDropDown="0" showInputMessage="0" showErrorMessage="0" allowBlank="1" type="list">
      <formula1>'לוז'!$C$7:$C$36</formula1>
    </dataValidation>
  </dataValidations>
  <pageMargins left="0.75" right="0.75" top="1" bottom="1" header="0.5" footer="0.5"/>
  <pageSetup paperSize="9" fitToHeight="0" fitToWidth="1"/>
</worksheet>
</file>

<file path=xl/worksheets/sheet4.xml><?xml version="1.0" encoding="utf-8"?>
<worksheet xmlns="http://schemas.openxmlformats.org/spreadsheetml/2006/main">
  <sheetPr>
    <tabColor rgb="00E8A33D"/>
    <outlinePr summaryBelow="1" summaryRight="1"/>
    <pageSetUpPr fitToPage="1"/>
  </sheetPr>
  <dimension ref="A1:G34"/>
  <sheetViews>
    <sheetView showGridLines="0" rightToLeft="1" workbookViewId="0">
      <pane ySplit="2" topLeftCell="A3" activePane="bottomLeft" state="frozen"/>
      <selection pane="bottomLeft" activeCell="A1" sqref="A1"/>
    </sheetView>
  </sheetViews>
  <sheetFormatPr baseColWidth="8" defaultRowHeight="15"/>
  <cols>
    <col width="28" customWidth="1" min="1" max="1"/>
    <col width="14" customWidth="1" min="2" max="2"/>
    <col width="8" customWidth="1" min="3" max="3"/>
    <col width="18" customWidth="1" min="4" max="4"/>
    <col width="58" customWidth="1" min="5" max="5"/>
    <col width="8" customWidth="1" min="6" max="6"/>
    <col width="10" customWidth="1" min="7" max="7"/>
  </cols>
  <sheetData>
    <row r="1" ht="36" customHeight="1">
      <c r="A1" s="26" t="inlineStr">
        <is>
          <t>קבוצות העבודה השבת</t>
        </is>
      </c>
    </row>
    <row r="2" ht="24" customHeight="1">
      <c r="A2" s="9" t="inlineStr">
        <is>
          <t>קבוצה</t>
        </is>
      </c>
      <c r="B2" s="9" t="inlineStr">
        <is>
          <t>שלב</t>
        </is>
      </c>
      <c r="C2" s="9" t="inlineStr">
        <is>
          <t>ניקוד</t>
        </is>
      </c>
      <c r="D2" s="9" t="inlineStr">
        <is>
          <t>אחראי/ת</t>
        </is>
      </c>
      <c r="E2" s="9" t="inlineStr">
        <is>
          <t>חניכים</t>
        </is>
      </c>
      <c r="F2" s="9" t="inlineStr">
        <is>
          <t>גודל</t>
        </is>
      </c>
      <c r="G2" s="9" t="inlineStr">
        <is>
          <t>משימות</t>
        </is>
      </c>
    </row>
    <row r="3" ht="30" customHeight="1">
      <c r="A3" s="18" t="inlineStr">
        <is>
          <t>חלות</t>
        </is>
      </c>
      <c r="B3" s="27" t="inlineStr">
        <is>
          <t>הכנות שישי</t>
        </is>
      </c>
      <c r="C3" s="27" t="n">
        <v>3</v>
      </c>
      <c r="D3" s="33" t="inlineStr">
        <is>
          <t>איתמר אסנהיים</t>
        </is>
      </c>
      <c r="E3" s="30" t="inlineStr">
        <is>
          <t>איתמר אסנהיים, איתן כהן, נועם ישראל קומפאס, תמר פרימור, יהב לוי</t>
        </is>
      </c>
      <c r="F3" s="22">
        <f>IF(E3="","",LEN(E3)-LEN(SUBSTITUTE(E3,",",""))+1)</f>
        <v/>
      </c>
      <c r="G3" s="22">
        <f>IF(A3="","",COUNTIF('משימות'!$D$3:$D$122,A3))</f>
        <v/>
      </c>
    </row>
    <row r="4" ht="30" customHeight="1">
      <c r="A4" s="18" t="inlineStr">
        <is>
          <t>עוגות שמרים</t>
        </is>
      </c>
      <c r="B4" s="27" t="inlineStr">
        <is>
          <t>הכנות שישי</t>
        </is>
      </c>
      <c r="C4" s="27" t="n">
        <v>3</v>
      </c>
      <c r="D4" s="33" t="inlineStr">
        <is>
          <t>חיים שמאי</t>
        </is>
      </c>
      <c r="E4" s="30" t="inlineStr">
        <is>
          <t>חיים שמאי, טליה קור, ניצן שטיין, של״ו רובינשטיין</t>
        </is>
      </c>
      <c r="F4" s="22">
        <f>IF(E4="","",LEN(E4)-LEN(SUBSTITUTE(E4,",",""))+1)</f>
        <v/>
      </c>
      <c r="G4" s="22">
        <f>IF(A4="","",COUNTIF('משימות'!$D$3:$D$122,A4))</f>
        <v/>
      </c>
    </row>
    <row r="5" ht="30" customHeight="1">
      <c r="A5" s="18" t="inlineStr">
        <is>
          <t>מטבוחה</t>
        </is>
      </c>
      <c r="B5" s="27" t="inlineStr">
        <is>
          <t>הכנות שישי</t>
        </is>
      </c>
      <c r="C5" s="27" t="n">
        <v>3</v>
      </c>
      <c r="D5" s="33" t="n"/>
      <c r="E5" s="30" t="inlineStr">
        <is>
          <t>הלל פינגולד, אביב רוזנטל, נגה חוה כהן, אורי טילינגר</t>
        </is>
      </c>
      <c r="F5" s="22">
        <f>IF(E5="","",LEN(E5)-LEN(SUBSTITUTE(E5,",",""))+1)</f>
        <v/>
      </c>
      <c r="G5" s="22">
        <f>IF(A5="","",COUNTIF('משימות'!$D$3:$D$122,A5))</f>
        <v/>
      </c>
    </row>
    <row r="6" ht="30" customHeight="1">
      <c r="A6" s="18" t="inlineStr">
        <is>
          <t>עוגת דבש</t>
        </is>
      </c>
      <c r="B6" s="27" t="inlineStr">
        <is>
          <t>הכנות שישי</t>
        </is>
      </c>
      <c r="C6" s="27" t="n">
        <v>3</v>
      </c>
      <c r="D6" s="33" t="n"/>
      <c r="E6" s="30" t="inlineStr">
        <is>
          <t>איתי בן מנחם, משה אוברשטיין</t>
        </is>
      </c>
      <c r="F6" s="22">
        <f>IF(E6="","",LEN(E6)-LEN(SUBSTITUTE(E6,",",""))+1)</f>
        <v/>
      </c>
      <c r="G6" s="22">
        <f>IF(A6="","",COUNTIF('משימות'!$D$3:$D$122,A6))</f>
        <v/>
      </c>
    </row>
    <row r="7" ht="30" customHeight="1">
      <c r="A7" s="18" t="inlineStr">
        <is>
          <t>עוגיות שוקולד צ'יפס</t>
        </is>
      </c>
      <c r="B7" s="27" t="inlineStr">
        <is>
          <t>הכנות שישי</t>
        </is>
      </c>
      <c r="C7" s="27" t="n">
        <v>3</v>
      </c>
      <c r="D7" s="33" t="n"/>
      <c r="E7" s="30" t="inlineStr">
        <is>
          <t>הילי אלפסי, נבו בלוך</t>
        </is>
      </c>
      <c r="F7" s="22">
        <f>IF(E7="","",LEN(E7)-LEN(SUBSTITUTE(E7,",",""))+1)</f>
        <v/>
      </c>
      <c r="G7" s="22">
        <f>IF(A7="","",COUNTIF('משימות'!$D$3:$D$122,A7))</f>
        <v/>
      </c>
    </row>
    <row r="8" ht="30" customHeight="1">
      <c r="A8" s="18" t="inlineStr">
        <is>
          <t>בראוניז ללא גלוטן</t>
        </is>
      </c>
      <c r="B8" s="27" t="inlineStr">
        <is>
          <t>הכנות שישי</t>
        </is>
      </c>
      <c r="C8" s="27" t="n">
        <v>3</v>
      </c>
      <c r="D8" s="33" t="n"/>
      <c r="E8" s="30" t="inlineStr">
        <is>
          <t>יובל רוזנברג, ארבל פרנקו</t>
        </is>
      </c>
      <c r="F8" s="22">
        <f>IF(E8="","",LEN(E8)-LEN(SUBSTITUTE(E8,",",""))+1)</f>
        <v/>
      </c>
      <c r="G8" s="22">
        <f>IF(A8="","",COUNTIF('משימות'!$D$3:$D$122,A8))</f>
        <v/>
      </c>
    </row>
    <row r="9" ht="30" customHeight="1">
      <c r="A9" s="18" t="inlineStr">
        <is>
          <t>סלט חצילים</t>
        </is>
      </c>
      <c r="B9" s="27" t="inlineStr">
        <is>
          <t>הכנות שישי</t>
        </is>
      </c>
      <c r="C9" s="27" t="n">
        <v>3</v>
      </c>
      <c r="D9" s="33" t="inlineStr">
        <is>
          <t>יובל יצחק</t>
        </is>
      </c>
      <c r="E9" s="30" t="inlineStr">
        <is>
          <t>יובל יצחק, רוני כהן</t>
        </is>
      </c>
      <c r="F9" s="22">
        <f>IF(E9="","",LEN(E9)-LEN(SUBSTITUTE(E9,",",""))+1)</f>
        <v/>
      </c>
      <c r="G9" s="22">
        <f>IF(A9="","",COUNTIF('משימות'!$D$3:$D$122,A9))</f>
        <v/>
      </c>
    </row>
    <row r="10" ht="30" customHeight="1">
      <c r="A10" s="18" t="inlineStr">
        <is>
          <t>ארוחת צהריים שישי</t>
        </is>
      </c>
      <c r="B10" s="27" t="inlineStr">
        <is>
          <t>הכנות שישי</t>
        </is>
      </c>
      <c r="C10" s="27" t="n">
        <v>3</v>
      </c>
      <c r="D10" s="33" t="n"/>
      <c r="E10" s="30" t="inlineStr">
        <is>
          <t>איתי גוסטינר, שירה אדלה לוזון</t>
        </is>
      </c>
      <c r="F10" s="22">
        <f>IF(E10="","",LEN(E10)-LEN(SUBSTITUTE(E10,",",""))+1)</f>
        <v/>
      </c>
      <c r="G10" s="22">
        <f>IF(A10="","",COUNTIF('משימות'!$D$3:$D$122,A10))</f>
        <v/>
      </c>
    </row>
    <row r="11" ht="30" customHeight="1">
      <c r="A11" s="18" t="inlineStr">
        <is>
          <t>בית מדרש</t>
        </is>
      </c>
      <c r="B11" s="27" t="inlineStr">
        <is>
          <t>תורנות שישי</t>
        </is>
      </c>
      <c r="C11" s="27" t="n">
        <v>3</v>
      </c>
      <c r="D11" s="33" t="n"/>
      <c r="E11" s="30" t="inlineStr">
        <is>
          <t>אלרואי גרינברג, עומר יוסף גנון, תמר פרידמן, רועי צבי סרי, פרת פולס, ליבי בוכריס, ניצן גמלא, אלה מאיר, עשהאל ירושלמי, איתי רוס, עופר בביוף, איתי בן יהודה, הילה לביא, אנה עזריאל, ירדן בן שחר, שליו שישו</t>
        </is>
      </c>
      <c r="F11" s="22">
        <f>IF(E11="","",LEN(E11)-LEN(SUBSTITUTE(E11,",",""))+1)</f>
        <v/>
      </c>
      <c r="G11" s="22">
        <f>IF(A11="","",COUNTIF('משימות'!$D$3:$D$122,A11))</f>
        <v/>
      </c>
    </row>
    <row r="12" ht="30" customHeight="1">
      <c r="A12" s="18" t="inlineStr">
        <is>
          <t>ארוחת ערב</t>
        </is>
      </c>
      <c r="B12" s="27" t="inlineStr">
        <is>
          <t>תורנות שבת</t>
        </is>
      </c>
      <c r="C12" s="27" t="n">
        <v>2</v>
      </c>
      <c r="D12" s="33" t="inlineStr">
        <is>
          <t>מישל דוד</t>
        </is>
      </c>
      <c r="E12" s="30" t="inlineStr">
        <is>
          <t>מישל דוד, איתן וינסטון, זואי כהן, שירה ספונוב, אורי אסף, יונתן לירז, אלה גוטליב, עמית שי אברהם</t>
        </is>
      </c>
      <c r="F12" s="22">
        <f>IF(E12="","",LEN(E12)-LEN(SUBSTITUTE(E12,",",""))+1)</f>
        <v/>
      </c>
      <c r="G12" s="22">
        <f>IF(A12="","",COUNTIF('משימות'!$D$3:$D$122,A12))</f>
        <v/>
      </c>
    </row>
    <row r="13" ht="30" customHeight="1">
      <c r="A13" s="18" t="inlineStr">
        <is>
          <t>טיש</t>
        </is>
      </c>
      <c r="B13" s="27" t="inlineStr">
        <is>
          <t>תורנות שבת</t>
        </is>
      </c>
      <c r="C13" s="27" t="n">
        <v>1</v>
      </c>
      <c r="D13" s="33" t="inlineStr">
        <is>
          <t>מעיין רחל דינר</t>
        </is>
      </c>
      <c r="E13" s="30" t="inlineStr">
        <is>
          <t>מעיין רחל דינר, הדר עמדי, רגב שהם, אחיה נחמני, מעיין יוספי</t>
        </is>
      </c>
      <c r="F13" s="22">
        <f>IF(E13="","",LEN(E13)-LEN(SUBSTITUTE(E13,",",""))+1)</f>
        <v/>
      </c>
      <c r="G13" s="22">
        <f>IF(A13="","",COUNTIF('משימות'!$D$3:$D$122,A13))</f>
        <v/>
      </c>
    </row>
    <row r="14" ht="30" customHeight="1">
      <c r="A14" s="18" t="inlineStr">
        <is>
          <t>קידוש</t>
        </is>
      </c>
      <c r="B14" s="27" t="inlineStr">
        <is>
          <t>תורנות שבת</t>
        </is>
      </c>
      <c r="C14" s="27" t="n">
        <v>1</v>
      </c>
      <c r="D14" s="33" t="inlineStr">
        <is>
          <t>עמרי קולטון</t>
        </is>
      </c>
      <c r="E14" s="30" t="inlineStr">
        <is>
          <t>עמרי קולטון, ליאור שימרלינג, יעל ברחד, אריאלה מרכוס, דנה שם טוב</t>
        </is>
      </c>
      <c r="F14" s="22">
        <f>IF(E14="","",LEN(E14)-LEN(SUBSTITUTE(E14,",",""))+1)</f>
        <v/>
      </c>
      <c r="G14" s="22">
        <f>IF(A14="","",COUNTIF('משימות'!$D$3:$D$122,A14))</f>
        <v/>
      </c>
    </row>
    <row r="15" ht="30" customHeight="1">
      <c r="A15" s="18" t="inlineStr">
        <is>
          <t>ארוחת צהריים שבת</t>
        </is>
      </c>
      <c r="B15" s="27" t="inlineStr">
        <is>
          <t>תורנות שבת</t>
        </is>
      </c>
      <c r="C15" s="27" t="n">
        <v>2</v>
      </c>
      <c r="D15" s="33" t="inlineStr">
        <is>
          <t>איתמר אסנהיים</t>
        </is>
      </c>
      <c r="E15" s="30" t="inlineStr">
        <is>
          <t>איתמר אסנהיים, נעמי פונקלשטיין, נדב טוקר, נגה שוהם, עפרי גזיאל</t>
        </is>
      </c>
      <c r="F15" s="22">
        <f>IF(E15="","",LEN(E15)-LEN(SUBSTITUTE(E15,",",""))+1)</f>
        <v/>
      </c>
      <c r="G15" s="22">
        <f>IF(A15="","",COUNTIF('משימות'!$D$3:$D$122,A15))</f>
        <v/>
      </c>
    </row>
    <row r="16" ht="18" customHeight="1">
      <c r="A16" s="18" t="n"/>
      <c r="B16" s="27" t="n"/>
      <c r="C16" s="27" t="n"/>
      <c r="D16" s="33" t="n"/>
      <c r="E16" s="30" t="n"/>
      <c r="F16" s="22">
        <f>IF(E16="","",LEN(E16)-LEN(SUBSTITUTE(E16,",",""))+1)</f>
        <v/>
      </c>
      <c r="G16" s="22">
        <f>IF(A16="","",COUNTIF('משימות'!$D$3:$D$122,A16))</f>
        <v/>
      </c>
    </row>
    <row r="17" ht="18" customHeight="1">
      <c r="A17" s="18" t="n"/>
      <c r="B17" s="27" t="n"/>
      <c r="C17" s="27" t="n"/>
      <c r="D17" s="33" t="n"/>
      <c r="E17" s="30" t="n"/>
      <c r="F17" s="22">
        <f>IF(E17="","",LEN(E17)-LEN(SUBSTITUTE(E17,",",""))+1)</f>
        <v/>
      </c>
      <c r="G17" s="22">
        <f>IF(A17="","",COUNTIF('משימות'!$D$3:$D$122,A17))</f>
        <v/>
      </c>
    </row>
    <row r="18" ht="18" customHeight="1">
      <c r="A18" s="18" t="n"/>
      <c r="B18" s="27" t="n"/>
      <c r="C18" s="27" t="n"/>
      <c r="D18" s="33" t="n"/>
      <c r="E18" s="30" t="n"/>
      <c r="F18" s="22">
        <f>IF(E18="","",LEN(E18)-LEN(SUBSTITUTE(E18,",",""))+1)</f>
        <v/>
      </c>
      <c r="G18" s="22">
        <f>IF(A18="","",COUNTIF('משימות'!$D$3:$D$122,A18))</f>
        <v/>
      </c>
    </row>
    <row r="19" ht="18" customHeight="1">
      <c r="A19" s="18" t="n"/>
      <c r="B19" s="27" t="n"/>
      <c r="C19" s="27" t="n"/>
      <c r="D19" s="33" t="n"/>
      <c r="E19" s="30" t="n"/>
      <c r="F19" s="22">
        <f>IF(E19="","",LEN(E19)-LEN(SUBSTITUTE(E19,",",""))+1)</f>
        <v/>
      </c>
      <c r="G19" s="22">
        <f>IF(A19="","",COUNTIF('משימות'!$D$3:$D$122,A19))</f>
        <v/>
      </c>
    </row>
    <row r="20" ht="18" customHeight="1">
      <c r="A20" s="18" t="n"/>
      <c r="B20" s="27" t="n"/>
      <c r="C20" s="27" t="n"/>
      <c r="D20" s="33" t="n"/>
      <c r="E20" s="30" t="n"/>
      <c r="F20" s="22">
        <f>IF(E20="","",LEN(E20)-LEN(SUBSTITUTE(E20,",",""))+1)</f>
        <v/>
      </c>
      <c r="G20" s="22">
        <f>IF(A20="","",COUNTIF('משימות'!$D$3:$D$122,A20))</f>
        <v/>
      </c>
    </row>
    <row r="21" ht="18" customHeight="1">
      <c r="A21" s="18" t="n"/>
      <c r="B21" s="27" t="n"/>
      <c r="C21" s="27" t="n"/>
      <c r="D21" s="33" t="n"/>
      <c r="E21" s="30" t="n"/>
      <c r="F21" s="22">
        <f>IF(E21="","",LEN(E21)-LEN(SUBSTITUTE(E21,",",""))+1)</f>
        <v/>
      </c>
      <c r="G21" s="22">
        <f>IF(A21="","",COUNTIF('משימות'!$D$3:$D$122,A21))</f>
        <v/>
      </c>
    </row>
    <row r="22" ht="18" customHeight="1">
      <c r="A22" s="18" t="n"/>
      <c r="B22" s="27" t="n"/>
      <c r="C22" s="27" t="n"/>
      <c r="D22" s="33" t="n"/>
      <c r="E22" s="30" t="n"/>
      <c r="F22" s="22">
        <f>IF(E22="","",LEN(E22)-LEN(SUBSTITUTE(E22,",",""))+1)</f>
        <v/>
      </c>
      <c r="G22" s="22">
        <f>IF(A22="","",COUNTIF('משימות'!$D$3:$D$122,A22))</f>
        <v/>
      </c>
    </row>
    <row r="23" ht="18" customHeight="1">
      <c r="A23" s="18" t="n"/>
      <c r="B23" s="27" t="n"/>
      <c r="C23" s="27" t="n"/>
      <c r="D23" s="33" t="n"/>
      <c r="E23" s="30" t="n"/>
      <c r="F23" s="22">
        <f>IF(E23="","",LEN(E23)-LEN(SUBSTITUTE(E23,",",""))+1)</f>
        <v/>
      </c>
      <c r="G23" s="22">
        <f>IF(A23="","",COUNTIF('משימות'!$D$3:$D$122,A23))</f>
        <v/>
      </c>
    </row>
    <row r="24" ht="18" customHeight="1">
      <c r="A24" s="18" t="n"/>
      <c r="B24" s="27" t="n"/>
      <c r="C24" s="27" t="n"/>
      <c r="D24" s="33" t="n"/>
      <c r="E24" s="30" t="n"/>
      <c r="F24" s="22">
        <f>IF(E24="","",LEN(E24)-LEN(SUBSTITUTE(E24,",",""))+1)</f>
        <v/>
      </c>
      <c r="G24" s="22">
        <f>IF(A24="","",COUNTIF('משימות'!$D$3:$D$122,A24))</f>
        <v/>
      </c>
    </row>
    <row r="25" ht="18" customHeight="1">
      <c r="A25" s="18" t="n"/>
      <c r="B25" s="27" t="n"/>
      <c r="C25" s="27" t="n"/>
      <c r="D25" s="33" t="n"/>
      <c r="E25" s="30" t="n"/>
      <c r="F25" s="22">
        <f>IF(E25="","",LEN(E25)-LEN(SUBSTITUTE(E25,",",""))+1)</f>
        <v/>
      </c>
      <c r="G25" s="22">
        <f>IF(A25="","",COUNTIF('משימות'!$D$3:$D$122,A25))</f>
        <v/>
      </c>
    </row>
    <row r="26" ht="18" customHeight="1">
      <c r="A26" s="18" t="n"/>
      <c r="B26" s="27" t="n"/>
      <c r="C26" s="27" t="n"/>
      <c r="D26" s="33" t="n"/>
      <c r="E26" s="30" t="n"/>
      <c r="F26" s="22">
        <f>IF(E26="","",LEN(E26)-LEN(SUBSTITUTE(E26,",",""))+1)</f>
        <v/>
      </c>
      <c r="G26" s="22">
        <f>IF(A26="","",COUNTIF('משימות'!$D$3:$D$122,A26))</f>
        <v/>
      </c>
    </row>
    <row r="27" ht="18" customHeight="1">
      <c r="A27" s="18" t="n"/>
      <c r="B27" s="27" t="n"/>
      <c r="C27" s="27" t="n"/>
      <c r="D27" s="33" t="n"/>
      <c r="E27" s="30" t="n"/>
      <c r="F27" s="22">
        <f>IF(E27="","",LEN(E27)-LEN(SUBSTITUTE(E27,",",""))+1)</f>
        <v/>
      </c>
      <c r="G27" s="22">
        <f>IF(A27="","",COUNTIF('משימות'!$D$3:$D$122,A27))</f>
        <v/>
      </c>
    </row>
    <row r="28" ht="18" customHeight="1">
      <c r="A28" s="18" t="n"/>
      <c r="B28" s="27" t="n"/>
      <c r="C28" s="27" t="n"/>
      <c r="D28" s="33" t="n"/>
      <c r="E28" s="30" t="n"/>
      <c r="F28" s="22">
        <f>IF(E28="","",LEN(E28)-LEN(SUBSTITUTE(E28,",",""))+1)</f>
        <v/>
      </c>
      <c r="G28" s="22">
        <f>IF(A28="","",COUNTIF('משימות'!$D$3:$D$122,A28))</f>
        <v/>
      </c>
    </row>
    <row r="29" ht="18" customHeight="1">
      <c r="A29" s="18" t="n"/>
      <c r="B29" s="27" t="n"/>
      <c r="C29" s="27" t="n"/>
      <c r="D29" s="33" t="n"/>
      <c r="E29" s="30" t="n"/>
      <c r="F29" s="22">
        <f>IF(E29="","",LEN(E29)-LEN(SUBSTITUTE(E29,",",""))+1)</f>
        <v/>
      </c>
      <c r="G29" s="22">
        <f>IF(A29="","",COUNTIF('משימות'!$D$3:$D$122,A29))</f>
        <v/>
      </c>
    </row>
    <row r="30" ht="18" customHeight="1">
      <c r="A30" s="18" t="n"/>
      <c r="B30" s="27" t="n"/>
      <c r="C30" s="27" t="n"/>
      <c r="D30" s="33" t="n"/>
      <c r="E30" s="30" t="n"/>
      <c r="F30" s="22">
        <f>IF(E30="","",LEN(E30)-LEN(SUBSTITUTE(E30,",",""))+1)</f>
        <v/>
      </c>
      <c r="G30" s="22">
        <f>IF(A30="","",COUNTIF('משימות'!$D$3:$D$122,A30))</f>
        <v/>
      </c>
    </row>
    <row r="31" ht="18" customHeight="1">
      <c r="A31" s="18" t="n"/>
      <c r="B31" s="27" t="n"/>
      <c r="C31" s="27" t="n"/>
      <c r="D31" s="33" t="n"/>
      <c r="E31" s="30" t="n"/>
      <c r="F31" s="22">
        <f>IF(E31="","",LEN(E31)-LEN(SUBSTITUTE(E31,",",""))+1)</f>
        <v/>
      </c>
      <c r="G31" s="22">
        <f>IF(A31="","",COUNTIF('משימות'!$D$3:$D$122,A31))</f>
        <v/>
      </c>
    </row>
    <row r="32" ht="18" customHeight="1">
      <c r="A32" s="18" t="n"/>
      <c r="B32" s="27" t="n"/>
      <c r="C32" s="27" t="n"/>
      <c r="D32" s="33" t="n"/>
      <c r="E32" s="30" t="n"/>
      <c r="F32" s="22">
        <f>IF(E32="","",LEN(E32)-LEN(SUBSTITUTE(E32,",",""))+1)</f>
        <v/>
      </c>
      <c r="G32" s="22">
        <f>IF(A32="","",COUNTIF('משימות'!$D$3:$D$122,A32))</f>
        <v/>
      </c>
    </row>
    <row r="33"/>
    <row r="34" ht="28" customHeight="1">
      <c r="A34" s="25" t="n"/>
    </row>
  </sheetData>
  <mergeCells count="2">
    <mergeCell ref="A1:G1"/>
    <mergeCell ref="A34:G34"/>
  </mergeCells>
  <dataValidations count="2">
    <dataValidation sqref="B3:B32" showDropDown="0" showInputMessage="0" showErrorMessage="0" allowBlank="1" type="list">
      <formula1>"הכנות שישי,תורנות שישי,תורנות שבת"</formula1>
    </dataValidation>
    <dataValidation sqref="C3:C32" showDropDown="0" showInputMessage="0" showErrorMessage="0" allowBlank="1" type="list">
      <formula1>"1,2,3"</formula1>
    </dataValidation>
  </dataValidations>
  <pageMargins left="0.75" right="0.75" top="1" bottom="1" header="0.5" footer="0.5"/>
  <pageSetup paperSize="9" fitToHeight="0" fitToWidth="1"/>
</worksheet>
</file>

<file path=xl/worksheets/sheet5.xml><?xml version="1.0" encoding="utf-8"?>
<worksheet xmlns="http://schemas.openxmlformats.org/spreadsheetml/2006/main">
  <sheetPr>
    <tabColor rgb="003BA48C"/>
    <outlinePr summaryBelow="1" summaryRight="1"/>
    <pageSetUpPr fitToPage="1"/>
  </sheetPr>
  <dimension ref="A1:I134"/>
  <sheetViews>
    <sheetView showGridLines="0" rightToLeft="1" workbookViewId="0">
      <pane ySplit="2" topLeftCell="A3"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42" customWidth="1" min="5" max="5"/>
    <col width="9" customWidth="1" min="6" max="6"/>
    <col width="9" customWidth="1" min="7" max="7"/>
    <col width="9" customWidth="1" min="8" max="8"/>
    <col width="28" customWidth="1" min="9" max="9"/>
  </cols>
  <sheetData>
    <row r="1" ht="36" customHeight="1">
      <c r="A1" s="26" t="inlineStr">
        <is>
          <t>חניכים — מי נמצא, מי בתורנות, וכמה עומס</t>
        </is>
      </c>
    </row>
    <row r="2" ht="24" customHeight="1">
      <c r="A2" s="9" t="inlineStr">
        <is>
          <t>שם</t>
        </is>
      </c>
      <c r="B2" s="9" t="inlineStr">
        <is>
          <t>תוכנית</t>
        </is>
      </c>
      <c r="C2" s="9" t="inlineStr">
        <is>
          <t>חבורה</t>
        </is>
      </c>
      <c r="D2" s="9" t="inlineStr">
        <is>
          <t>זמין/ה</t>
        </is>
      </c>
      <c r="E2" s="9" t="inlineStr">
        <is>
          <t>קבוצות השבת</t>
        </is>
      </c>
      <c r="F2" s="9" t="inlineStr">
        <is>
          <t>משימות השבת</t>
        </is>
      </c>
      <c r="G2" s="9" t="inlineStr">
        <is>
          <t>ניקוד השבת</t>
        </is>
      </c>
      <c r="H2" s="9" t="inlineStr">
        <is>
          <t>ניקוד מצטבר</t>
        </is>
      </c>
      <c r="I2" s="9" t="inlineStr">
        <is>
          <t>הערה</t>
        </is>
      </c>
    </row>
    <row r="3">
      <c r="A3" s="19" t="inlineStr">
        <is>
          <t>ניתאי שלום</t>
        </is>
      </c>
      <c r="B3" s="27" t="inlineStr">
        <is>
          <t>מדרשה</t>
        </is>
      </c>
      <c r="C3" s="34" t="inlineStr">
        <is>
          <t>אבי</t>
        </is>
      </c>
      <c r="D3" s="34" t="inlineStr">
        <is>
          <t>כן</t>
        </is>
      </c>
      <c r="E3" s="33" t="n"/>
      <c r="F3" s="22">
        <f>IF(A3="","",COUNTIF('משימות'!$G$3:$G$122,"*"&amp;A3&amp;"*"))</f>
        <v/>
      </c>
      <c r="G3" s="34" t="n"/>
      <c r="H3" s="22">
        <f>IF(A3="","",SUMIF('היסטוריה'!$B$3:$B$3002,A3,'היסטוריה'!$E$3:$E$3002))</f>
        <v/>
      </c>
      <c r="I3" s="33" t="n"/>
    </row>
    <row r="4">
      <c r="A4" s="19" t="inlineStr">
        <is>
          <t>איתן וינסטון</t>
        </is>
      </c>
      <c r="B4" s="27" t="inlineStr">
        <is>
          <t>מדרשה</t>
        </is>
      </c>
      <c r="C4" s="34" t="inlineStr">
        <is>
          <t>אבי</t>
        </is>
      </c>
      <c r="D4" s="34" t="inlineStr">
        <is>
          <t>כן</t>
        </is>
      </c>
      <c r="E4" s="33" t="inlineStr">
        <is>
          <t>ארוחת ערב</t>
        </is>
      </c>
      <c r="F4" s="22">
        <f>IF(A4="","",COUNTIF('משימות'!$G$3:$G$122,"*"&amp;A4&amp;"*"))</f>
        <v/>
      </c>
      <c r="G4" s="34" t="n">
        <v>2</v>
      </c>
      <c r="H4" s="22">
        <f>IF(A4="","",SUMIF('היסטוריה'!$B$3:$B$3002,A4,'היסטוריה'!$E$3:$E$3002))</f>
        <v/>
      </c>
      <c r="I4" s="33" t="n"/>
    </row>
    <row r="5">
      <c r="A5" s="19" t="inlineStr">
        <is>
          <t>יובל יצחק</t>
        </is>
      </c>
      <c r="B5" s="27" t="inlineStr">
        <is>
          <t>מדרשה</t>
        </is>
      </c>
      <c r="C5" s="34" t="inlineStr">
        <is>
          <t>בניה</t>
        </is>
      </c>
      <c r="D5" s="34" t="inlineStr">
        <is>
          <t>כן</t>
        </is>
      </c>
      <c r="E5" s="33" t="inlineStr">
        <is>
          <t>סלט חצילים</t>
        </is>
      </c>
      <c r="F5" s="22">
        <f>IF(A5="","",COUNTIF('משימות'!$G$3:$G$122,"*"&amp;A5&amp;"*"))</f>
        <v/>
      </c>
      <c r="G5" s="34" t="n">
        <v>3</v>
      </c>
      <c r="H5" s="22">
        <f>IF(A5="","",SUMIF('היסטוריה'!$B$3:$B$3002,A5,'היסטוריה'!$E$3:$E$3002))</f>
        <v/>
      </c>
      <c r="I5" s="33" t="n"/>
    </row>
    <row r="6">
      <c r="A6" s="19" t="inlineStr">
        <is>
          <t>הילי אלפסי</t>
        </is>
      </c>
      <c r="B6" s="27" t="inlineStr">
        <is>
          <t>מדרשה</t>
        </is>
      </c>
      <c r="C6" s="34" t="inlineStr">
        <is>
          <t>הילה</t>
        </is>
      </c>
      <c r="D6" s="34" t="inlineStr">
        <is>
          <t>כן</t>
        </is>
      </c>
      <c r="E6" s="33" t="inlineStr">
        <is>
          <t>עוגיות שוקולד צ'יפס</t>
        </is>
      </c>
      <c r="F6" s="22">
        <f>IF(A6="","",COUNTIF('משימות'!$G$3:$G$122,"*"&amp;A6&amp;"*"))</f>
        <v/>
      </c>
      <c r="G6" s="34" t="n">
        <v>3</v>
      </c>
      <c r="H6" s="22">
        <f>IF(A6="","",SUMIF('היסטוריה'!$B$3:$B$3002,A6,'היסטוריה'!$E$3:$E$3002))</f>
        <v/>
      </c>
      <c r="I6" s="33" t="n"/>
    </row>
    <row r="7">
      <c r="A7" s="19" t="inlineStr">
        <is>
          <t>יהב לוי</t>
        </is>
      </c>
      <c r="B7" s="27" t="inlineStr">
        <is>
          <t>מדרשה</t>
        </is>
      </c>
      <c r="C7" s="34" t="inlineStr">
        <is>
          <t>יואב</t>
        </is>
      </c>
      <c r="D7" s="34" t="inlineStr">
        <is>
          <t>כן</t>
        </is>
      </c>
      <c r="E7" s="33" t="inlineStr">
        <is>
          <t>חלות</t>
        </is>
      </c>
      <c r="F7" s="22">
        <f>IF(A7="","",COUNTIF('משימות'!$G$3:$G$122,"*"&amp;A7&amp;"*"))</f>
        <v/>
      </c>
      <c r="G7" s="34" t="n">
        <v>3</v>
      </c>
      <c r="H7" s="22">
        <f>IF(A7="","",SUMIF('היסטוריה'!$B$3:$B$3002,A7,'היסטוריה'!$E$3:$E$3002))</f>
        <v/>
      </c>
      <c r="I7" s="33" t="n"/>
    </row>
    <row r="8">
      <c r="A8" s="19" t="inlineStr">
        <is>
          <t>שחר קרן</t>
        </is>
      </c>
      <c r="B8" s="27" t="inlineStr">
        <is>
          <t>מדרשה</t>
        </is>
      </c>
      <c r="C8" s="34" t="inlineStr">
        <is>
          <t>הילה</t>
        </is>
      </c>
      <c r="D8" s="34" t="inlineStr">
        <is>
          <t>כן</t>
        </is>
      </c>
      <c r="E8" s="33" t="n"/>
      <c r="F8" s="22">
        <f>IF(A8="","",COUNTIF('משימות'!$G$3:$G$122,"*"&amp;A8&amp;"*"))</f>
        <v/>
      </c>
      <c r="G8" s="34" t="n"/>
      <c r="H8" s="22">
        <f>IF(A8="","",SUMIF('היסטוריה'!$B$3:$B$3002,A8,'היסטוריה'!$E$3:$E$3002))</f>
        <v/>
      </c>
      <c r="I8" s="33" t="n"/>
    </row>
    <row r="9">
      <c r="A9" s="19" t="inlineStr">
        <is>
          <t>ירדן בן שחר</t>
        </is>
      </c>
      <c r="B9" s="27" t="inlineStr">
        <is>
          <t>מדרשה</t>
        </is>
      </c>
      <c r="C9" s="34" t="inlineStr">
        <is>
          <t>הילה</t>
        </is>
      </c>
      <c r="D9" s="34" t="inlineStr">
        <is>
          <t>כן</t>
        </is>
      </c>
      <c r="E9" s="33" t="inlineStr">
        <is>
          <t>בית מדרש</t>
        </is>
      </c>
      <c r="F9" s="22">
        <f>IF(A9="","",COUNTIF('משימות'!$G$3:$G$122,"*"&amp;A9&amp;"*"))</f>
        <v/>
      </c>
      <c r="G9" s="34" t="n">
        <v>3</v>
      </c>
      <c r="H9" s="22">
        <f>IF(A9="","",SUMIF('היסטוריה'!$B$3:$B$3002,A9,'היסטוריה'!$E$3:$E$3002))</f>
        <v/>
      </c>
      <c r="I9" s="33" t="n"/>
    </row>
    <row r="10">
      <c r="A10" s="19" t="inlineStr">
        <is>
          <t>אחיה נחמני</t>
        </is>
      </c>
      <c r="B10" s="27" t="inlineStr">
        <is>
          <t>מדרשה</t>
        </is>
      </c>
      <c r="C10" s="34" t="inlineStr">
        <is>
          <t>אבי</t>
        </is>
      </c>
      <c r="D10" s="34" t="inlineStr">
        <is>
          <t>כן</t>
        </is>
      </c>
      <c r="E10" s="33" t="inlineStr">
        <is>
          <t>טיש</t>
        </is>
      </c>
      <c r="F10" s="22">
        <f>IF(A10="","",COUNTIF('משימות'!$G$3:$G$122,"*"&amp;A10&amp;"*"))</f>
        <v/>
      </c>
      <c r="G10" s="34" t="n">
        <v>1</v>
      </c>
      <c r="H10" s="22">
        <f>IF(A10="","",SUMIF('היסטוריה'!$B$3:$B$3002,A10,'היסטוריה'!$E$3:$E$3002))</f>
        <v/>
      </c>
      <c r="I10" s="33" t="n"/>
    </row>
    <row r="11">
      <c r="A11" s="19" t="inlineStr">
        <is>
          <t>ניצן שטיין</t>
        </is>
      </c>
      <c r="B11" s="27" t="inlineStr">
        <is>
          <t>מדרשה</t>
        </is>
      </c>
      <c r="C11" s="34" t="inlineStr">
        <is>
          <t>יואב</t>
        </is>
      </c>
      <c r="D11" s="34" t="inlineStr">
        <is>
          <t>כן</t>
        </is>
      </c>
      <c r="E11" s="33" t="inlineStr">
        <is>
          <t>עוגות שמרים</t>
        </is>
      </c>
      <c r="F11" s="22">
        <f>IF(A11="","",COUNTIF('משימות'!$G$3:$G$122,"*"&amp;A11&amp;"*"))</f>
        <v/>
      </c>
      <c r="G11" s="34" t="n">
        <v>3</v>
      </c>
      <c r="H11" s="22">
        <f>IF(A11="","",SUMIF('היסטוריה'!$B$3:$B$3002,A11,'היסטוריה'!$E$3:$E$3002))</f>
        <v/>
      </c>
      <c r="I11" s="33" t="n"/>
    </row>
    <row r="12">
      <c r="A12" s="19" t="inlineStr">
        <is>
          <t>מעיין יוספי</t>
        </is>
      </c>
      <c r="B12" s="27" t="inlineStr">
        <is>
          <t>מדרשה</t>
        </is>
      </c>
      <c r="C12" s="34" t="inlineStr">
        <is>
          <t>יואב</t>
        </is>
      </c>
      <c r="D12" s="34" t="inlineStr">
        <is>
          <t>כן</t>
        </is>
      </c>
      <c r="E12" s="33" t="inlineStr">
        <is>
          <t>טיש</t>
        </is>
      </c>
      <c r="F12" s="22">
        <f>IF(A12="","",COUNTIF('משימות'!$G$3:$G$122,"*"&amp;A12&amp;"*"))</f>
        <v/>
      </c>
      <c r="G12" s="34" t="n">
        <v>1</v>
      </c>
      <c r="H12" s="22">
        <f>IF(A12="","",SUMIF('היסטוריה'!$B$3:$B$3002,A12,'היסטוריה'!$E$3:$E$3002))</f>
        <v/>
      </c>
      <c r="I12" s="33" t="n"/>
    </row>
    <row r="13">
      <c r="A13" s="19" t="inlineStr">
        <is>
          <t>יעל שם טוב</t>
        </is>
      </c>
      <c r="B13" s="27" t="inlineStr">
        <is>
          <t>מדרשה</t>
        </is>
      </c>
      <c r="C13" s="34" t="n"/>
      <c r="D13" s="34" t="n"/>
      <c r="E13" s="33" t="n"/>
      <c r="F13" s="22">
        <f>IF(A13="","",COUNTIF('משימות'!$G$3:$G$122,"*"&amp;A13&amp;"*"))</f>
        <v/>
      </c>
      <c r="G13" s="34" t="n"/>
      <c r="H13" s="22">
        <f>IF(A13="","",SUMIF('היסטוריה'!$B$3:$B$3002,A13,'היסטוריה'!$E$3:$E$3002))</f>
        <v/>
      </c>
      <c r="I13" s="33" t="inlineStr">
        <is>
          <t>לא נוכח/ת</t>
        </is>
      </c>
    </row>
    <row r="14">
      <c r="A14" s="19" t="inlineStr">
        <is>
          <t>עמית סיילס</t>
        </is>
      </c>
      <c r="B14" s="27" t="inlineStr">
        <is>
          <t>מדרשה</t>
        </is>
      </c>
      <c r="C14" s="34" t="inlineStr">
        <is>
          <t>תמר</t>
        </is>
      </c>
      <c r="D14" s="34" t="inlineStr">
        <is>
          <t>כן</t>
        </is>
      </c>
      <c r="E14" s="33" t="n"/>
      <c r="F14" s="22">
        <f>IF(A14="","",COUNTIF('משימות'!$G$3:$G$122,"*"&amp;A14&amp;"*"))</f>
        <v/>
      </c>
      <c r="G14" s="34" t="n"/>
      <c r="H14" s="22">
        <f>IF(A14="","",SUMIF('היסטוריה'!$B$3:$B$3002,A14,'היסטוריה'!$E$3:$E$3002))</f>
        <v/>
      </c>
      <c r="I14" s="33" t="n"/>
    </row>
    <row r="15">
      <c r="A15" s="19" t="inlineStr">
        <is>
          <t>אריאלה מרכוס</t>
        </is>
      </c>
      <c r="B15" s="27" t="inlineStr">
        <is>
          <t>מדרשה</t>
        </is>
      </c>
      <c r="C15" s="34" t="inlineStr">
        <is>
          <t>הילה</t>
        </is>
      </c>
      <c r="D15" s="34" t="inlineStr">
        <is>
          <t>כן</t>
        </is>
      </c>
      <c r="E15" s="33" t="inlineStr">
        <is>
          <t>קידוש</t>
        </is>
      </c>
      <c r="F15" s="22">
        <f>IF(A15="","",COUNTIF('משימות'!$G$3:$G$122,"*"&amp;A15&amp;"*"))</f>
        <v/>
      </c>
      <c r="G15" s="34" t="n">
        <v>1</v>
      </c>
      <c r="H15" s="22">
        <f>IF(A15="","",SUMIF('היסטוריה'!$B$3:$B$3002,A15,'היסטוריה'!$E$3:$E$3002))</f>
        <v/>
      </c>
      <c r="I15" s="33" t="n"/>
    </row>
    <row r="16">
      <c r="A16" s="19" t="inlineStr">
        <is>
          <t>משה אוברשטיין</t>
        </is>
      </c>
      <c r="B16" s="27" t="inlineStr">
        <is>
          <t>מדרשה</t>
        </is>
      </c>
      <c r="C16" s="34" t="inlineStr">
        <is>
          <t>תמר</t>
        </is>
      </c>
      <c r="D16" s="34" t="inlineStr">
        <is>
          <t>כן</t>
        </is>
      </c>
      <c r="E16" s="33" t="inlineStr">
        <is>
          <t>עוגת דבש</t>
        </is>
      </c>
      <c r="F16" s="22">
        <f>IF(A16="","",COUNTIF('משימות'!$G$3:$G$122,"*"&amp;A16&amp;"*"))</f>
        <v/>
      </c>
      <c r="G16" s="34" t="n">
        <v>3</v>
      </c>
      <c r="H16" s="22">
        <f>IF(A16="","",SUMIF('היסטוריה'!$B$3:$B$3002,A16,'היסטוריה'!$E$3:$E$3002))</f>
        <v/>
      </c>
      <c r="I16" s="33" t="n"/>
    </row>
    <row r="17">
      <c r="A17" s="19" t="inlineStr">
        <is>
          <t>אוריה תעשה</t>
        </is>
      </c>
      <c r="B17" s="27" t="inlineStr">
        <is>
          <t>מדרשה</t>
        </is>
      </c>
      <c r="C17" s="34" t="inlineStr">
        <is>
          <t>יואב</t>
        </is>
      </c>
      <c r="D17" s="34" t="inlineStr">
        <is>
          <t>כן</t>
        </is>
      </c>
      <c r="E17" s="33" t="n"/>
      <c r="F17" s="22">
        <f>IF(A17="","",COUNTIF('משימות'!$G$3:$G$122,"*"&amp;A17&amp;"*"))</f>
        <v/>
      </c>
      <c r="G17" s="34" t="n"/>
      <c r="H17" s="22">
        <f>IF(A17="","",SUMIF('היסטוריה'!$B$3:$B$3002,A17,'היסטוריה'!$E$3:$E$3002))</f>
        <v/>
      </c>
      <c r="I17" s="33" t="n"/>
    </row>
    <row r="18">
      <c r="A18" s="19" t="inlineStr">
        <is>
          <t>יונתן לירז</t>
        </is>
      </c>
      <c r="B18" s="27" t="inlineStr">
        <is>
          <t>מדרשה</t>
        </is>
      </c>
      <c r="C18" s="34" t="inlineStr">
        <is>
          <t>יואב</t>
        </is>
      </c>
      <c r="D18" s="34" t="inlineStr">
        <is>
          <t>כן</t>
        </is>
      </c>
      <c r="E18" s="33" t="inlineStr">
        <is>
          <t>ארוחת ערב</t>
        </is>
      </c>
      <c r="F18" s="22">
        <f>IF(A18="","",COUNTIF('משימות'!$G$3:$G$122,"*"&amp;A18&amp;"*"))</f>
        <v/>
      </c>
      <c r="G18" s="34" t="n">
        <v>2</v>
      </c>
      <c r="H18" s="22">
        <f>IF(A18="","",SUMIF('היסטוריה'!$B$3:$B$3002,A18,'היסטוריה'!$E$3:$E$3002))</f>
        <v/>
      </c>
      <c r="I18" s="33" t="n"/>
    </row>
    <row r="19">
      <c r="A19" s="19" t="inlineStr">
        <is>
          <t>פנחס אליהו גלוסקין</t>
        </is>
      </c>
      <c r="B19" s="27" t="inlineStr">
        <is>
          <t>מדרשה</t>
        </is>
      </c>
      <c r="C19" s="34" t="n"/>
      <c r="D19" s="34" t="n"/>
      <c r="E19" s="33" t="n"/>
      <c r="F19" s="22">
        <f>IF(A19="","",COUNTIF('משימות'!$G$3:$G$122,"*"&amp;A19&amp;"*"))</f>
        <v/>
      </c>
      <c r="G19" s="34" t="n"/>
      <c r="H19" s="22">
        <f>IF(A19="","",SUMIF('היסטוריה'!$B$3:$B$3002,A19,'היסטוריה'!$E$3:$E$3002))</f>
        <v/>
      </c>
      <c r="I19" s="33" t="inlineStr">
        <is>
          <t>לא נוכח/ת</t>
        </is>
      </c>
    </row>
    <row r="20">
      <c r="A20" s="19" t="inlineStr">
        <is>
          <t>נדב טוקר</t>
        </is>
      </c>
      <c r="B20" s="27" t="inlineStr">
        <is>
          <t>מדרשה</t>
        </is>
      </c>
      <c r="C20" s="34" t="inlineStr">
        <is>
          <t>בניה</t>
        </is>
      </c>
      <c r="D20" s="34" t="inlineStr">
        <is>
          <t>כן</t>
        </is>
      </c>
      <c r="E20" s="33" t="inlineStr">
        <is>
          <t>ארוחת צהריים שבת</t>
        </is>
      </c>
      <c r="F20" s="22">
        <f>IF(A20="","",COUNTIF('משימות'!$G$3:$G$122,"*"&amp;A20&amp;"*"))</f>
        <v/>
      </c>
      <c r="G20" s="34" t="n">
        <v>2</v>
      </c>
      <c r="H20" s="22">
        <f>IF(A20="","",SUMIF('היסטוריה'!$B$3:$B$3002,A20,'היסטוריה'!$E$3:$E$3002))</f>
        <v/>
      </c>
      <c r="I20" s="33" t="n"/>
    </row>
    <row r="21">
      <c r="A21" s="19" t="inlineStr">
        <is>
          <t>הדר עמדי</t>
        </is>
      </c>
      <c r="B21" s="27" t="inlineStr">
        <is>
          <t>מדרשה</t>
        </is>
      </c>
      <c r="C21" s="34" t="inlineStr">
        <is>
          <t>תמר</t>
        </is>
      </c>
      <c r="D21" s="34" t="inlineStr">
        <is>
          <t>כן</t>
        </is>
      </c>
      <c r="E21" s="33" t="inlineStr">
        <is>
          <t>טיש</t>
        </is>
      </c>
      <c r="F21" s="22">
        <f>IF(A21="","",COUNTIF('משימות'!$G$3:$G$122,"*"&amp;A21&amp;"*"))</f>
        <v/>
      </c>
      <c r="G21" s="34" t="n">
        <v>1</v>
      </c>
      <c r="H21" s="22">
        <f>IF(A21="","",SUMIF('היסטוריה'!$B$3:$B$3002,A21,'היסטוריה'!$E$3:$E$3002))</f>
        <v/>
      </c>
      <c r="I21" s="33" t="n"/>
    </row>
    <row r="22">
      <c r="A22" s="19" t="inlineStr">
        <is>
          <t>יואב אוחנה</t>
        </is>
      </c>
      <c r="B22" s="27" t="inlineStr">
        <is>
          <t>מדרשה</t>
        </is>
      </c>
      <c r="C22" s="34" t="inlineStr">
        <is>
          <t>הילה</t>
        </is>
      </c>
      <c r="D22" s="34" t="inlineStr">
        <is>
          <t>כן</t>
        </is>
      </c>
      <c r="E22" s="33" t="n"/>
      <c r="F22" s="22">
        <f>IF(A22="","",COUNTIF('משימות'!$G$3:$G$122,"*"&amp;A22&amp;"*"))</f>
        <v/>
      </c>
      <c r="G22" s="34" t="n"/>
      <c r="H22" s="22">
        <f>IF(A22="","",SUMIF('היסטוריה'!$B$3:$B$3002,A22,'היסטוריה'!$E$3:$E$3002))</f>
        <v/>
      </c>
      <c r="I22" s="33" t="n"/>
    </row>
    <row r="23">
      <c r="A23" s="19" t="inlineStr">
        <is>
          <t>איתי בן יהודה</t>
        </is>
      </c>
      <c r="B23" s="27" t="inlineStr">
        <is>
          <t>מדרשה</t>
        </is>
      </c>
      <c r="C23" s="34" t="inlineStr">
        <is>
          <t>תמר</t>
        </is>
      </c>
      <c r="D23" s="34" t="inlineStr">
        <is>
          <t>כן</t>
        </is>
      </c>
      <c r="E23" s="33" t="inlineStr">
        <is>
          <t>בית מדרש</t>
        </is>
      </c>
      <c r="F23" s="22">
        <f>IF(A23="","",COUNTIF('משימות'!$G$3:$G$122,"*"&amp;A23&amp;"*"))</f>
        <v/>
      </c>
      <c r="G23" s="34" t="n">
        <v>3</v>
      </c>
      <c r="H23" s="22">
        <f>IF(A23="","",SUMIF('היסטוריה'!$B$3:$B$3002,A23,'היסטוריה'!$E$3:$E$3002))</f>
        <v/>
      </c>
      <c r="I23" s="33" t="n"/>
    </row>
    <row r="24">
      <c r="A24" s="19" t="inlineStr">
        <is>
          <t>עופר בביוף</t>
        </is>
      </c>
      <c r="B24" s="27" t="inlineStr">
        <is>
          <t>מדרשה</t>
        </is>
      </c>
      <c r="C24" s="34" t="inlineStr">
        <is>
          <t>יואב</t>
        </is>
      </c>
      <c r="D24" s="34" t="inlineStr">
        <is>
          <t>כן</t>
        </is>
      </c>
      <c r="E24" s="33" t="inlineStr">
        <is>
          <t>בית מדרש</t>
        </is>
      </c>
      <c r="F24" s="22">
        <f>IF(A24="","",COUNTIF('משימות'!$G$3:$G$122,"*"&amp;A24&amp;"*"))</f>
        <v/>
      </c>
      <c r="G24" s="34" t="n">
        <v>3</v>
      </c>
      <c r="H24" s="22">
        <f>IF(A24="","",SUMIF('היסטוריה'!$B$3:$B$3002,A24,'היסטוריה'!$E$3:$E$3002))</f>
        <v/>
      </c>
      <c r="I24" s="33" t="n"/>
    </row>
    <row r="25">
      <c r="A25" s="19" t="inlineStr">
        <is>
          <t>הילה עזרא</t>
        </is>
      </c>
      <c r="B25" s="27" t="inlineStr">
        <is>
          <t>מדרשה</t>
        </is>
      </c>
      <c r="C25" s="34" t="inlineStr">
        <is>
          <t>הילה</t>
        </is>
      </c>
      <c r="D25" s="34" t="inlineStr">
        <is>
          <t>כן</t>
        </is>
      </c>
      <c r="E25" s="33" t="n"/>
      <c r="F25" s="22">
        <f>IF(A25="","",COUNTIF('משימות'!$G$3:$G$122,"*"&amp;A25&amp;"*"))</f>
        <v/>
      </c>
      <c r="G25" s="34" t="n"/>
      <c r="H25" s="22">
        <f>IF(A25="","",SUMIF('היסטוריה'!$B$3:$B$3002,A25,'היסטוריה'!$E$3:$E$3002))</f>
        <v/>
      </c>
      <c r="I25" s="33" t="n"/>
    </row>
    <row r="26">
      <c r="A26" s="19" t="inlineStr">
        <is>
          <t>בניה מעוז</t>
        </is>
      </c>
      <c r="B26" s="27" t="inlineStr">
        <is>
          <t>מדרשה</t>
        </is>
      </c>
      <c r="C26" s="34" t="n"/>
      <c r="D26" s="34" t="n"/>
      <c r="E26" s="33" t="n"/>
      <c r="F26" s="22">
        <f>IF(A26="","",COUNTIF('משימות'!$G$3:$G$122,"*"&amp;A26&amp;"*"))</f>
        <v/>
      </c>
      <c r="G26" s="34" t="n"/>
      <c r="H26" s="22">
        <f>IF(A26="","",SUMIF('היסטוריה'!$B$3:$B$3002,A26,'היסטוריה'!$E$3:$E$3002))</f>
        <v/>
      </c>
      <c r="I26" s="33" t="inlineStr">
        <is>
          <t>לא נוכח/ת</t>
        </is>
      </c>
    </row>
    <row r="27">
      <c r="A27" s="19" t="inlineStr">
        <is>
          <t>שחר מרקוביץ' גליק</t>
        </is>
      </c>
      <c r="B27" s="27" t="inlineStr">
        <is>
          <t>מדרשה</t>
        </is>
      </c>
      <c r="C27" s="34" t="n"/>
      <c r="D27" s="34" t="n"/>
      <c r="E27" s="33" t="n"/>
      <c r="F27" s="22">
        <f>IF(A27="","",COUNTIF('משימות'!$G$3:$G$122,"*"&amp;A27&amp;"*"))</f>
        <v/>
      </c>
      <c r="G27" s="34" t="n"/>
      <c r="H27" s="22">
        <f>IF(A27="","",SUMIF('היסטוריה'!$B$3:$B$3002,A27,'היסטוריה'!$E$3:$E$3002))</f>
        <v/>
      </c>
      <c r="I27" s="33" t="inlineStr">
        <is>
          <t>לא נוכח/ת</t>
        </is>
      </c>
    </row>
    <row r="28">
      <c r="A28" s="19" t="inlineStr">
        <is>
          <t>שליו שישו</t>
        </is>
      </c>
      <c r="B28" s="27" t="inlineStr">
        <is>
          <t>מדרשה</t>
        </is>
      </c>
      <c r="C28" s="34" t="inlineStr">
        <is>
          <t>תמר</t>
        </is>
      </c>
      <c r="D28" s="34" t="inlineStr">
        <is>
          <t>כן</t>
        </is>
      </c>
      <c r="E28" s="33" t="inlineStr">
        <is>
          <t>בית מדרש</t>
        </is>
      </c>
      <c r="F28" s="22">
        <f>IF(A28="","",COUNTIF('משימות'!$G$3:$G$122,"*"&amp;A28&amp;"*"))</f>
        <v/>
      </c>
      <c r="G28" s="34" t="n">
        <v>3</v>
      </c>
      <c r="H28" s="22">
        <f>IF(A28="","",SUMIF('היסטוריה'!$B$3:$B$3002,A28,'היסטוריה'!$E$3:$E$3002))</f>
        <v/>
      </c>
      <c r="I28" s="33" t="n"/>
    </row>
    <row r="29">
      <c r="A29" s="19" t="inlineStr">
        <is>
          <t>חיים שמאי</t>
        </is>
      </c>
      <c r="B29" s="27" t="inlineStr">
        <is>
          <t>מדרשה</t>
        </is>
      </c>
      <c r="C29" s="34" t="inlineStr">
        <is>
          <t>הילה</t>
        </is>
      </c>
      <c r="D29" s="34" t="inlineStr">
        <is>
          <t>כן</t>
        </is>
      </c>
      <c r="E29" s="33" t="inlineStr">
        <is>
          <t>עוגות שמרים</t>
        </is>
      </c>
      <c r="F29" s="22">
        <f>IF(A29="","",COUNTIF('משימות'!$G$3:$G$122,"*"&amp;A29&amp;"*"))</f>
        <v/>
      </c>
      <c r="G29" s="34" t="n">
        <v>3</v>
      </c>
      <c r="H29" s="22">
        <f>IF(A29="","",SUMIF('היסטוריה'!$B$3:$B$3002,A29,'היסטוריה'!$E$3:$E$3002))</f>
        <v/>
      </c>
      <c r="I29" s="33" t="n"/>
    </row>
    <row r="30">
      <c r="A30" s="19" t="inlineStr">
        <is>
          <t>אנה עזריאל</t>
        </is>
      </c>
      <c r="B30" s="27" t="inlineStr">
        <is>
          <t>מדרשה</t>
        </is>
      </c>
      <c r="C30" s="34" t="inlineStr">
        <is>
          <t>יואב</t>
        </is>
      </c>
      <c r="D30" s="34" t="inlineStr">
        <is>
          <t>כן</t>
        </is>
      </c>
      <c r="E30" s="33" t="inlineStr">
        <is>
          <t>בית מדרש</t>
        </is>
      </c>
      <c r="F30" s="22">
        <f>IF(A30="","",COUNTIF('משימות'!$G$3:$G$122,"*"&amp;A30&amp;"*"))</f>
        <v/>
      </c>
      <c r="G30" s="34" t="n">
        <v>3</v>
      </c>
      <c r="H30" s="22">
        <f>IF(A30="","",SUMIF('היסטוריה'!$B$3:$B$3002,A30,'היסטוריה'!$E$3:$E$3002))</f>
        <v/>
      </c>
      <c r="I30" s="33" t="n"/>
    </row>
    <row r="31">
      <c r="A31" s="19" t="inlineStr">
        <is>
          <t>אלרואי גרינברג</t>
        </is>
      </c>
      <c r="B31" s="27" t="inlineStr">
        <is>
          <t>מדרשה</t>
        </is>
      </c>
      <c r="C31" s="34" t="inlineStr">
        <is>
          <t>אבי</t>
        </is>
      </c>
      <c r="D31" s="34" t="inlineStr">
        <is>
          <t>כן</t>
        </is>
      </c>
      <c r="E31" s="33" t="inlineStr">
        <is>
          <t>בית מדרש</t>
        </is>
      </c>
      <c r="F31" s="22">
        <f>IF(A31="","",COUNTIF('משימות'!$G$3:$G$122,"*"&amp;A31&amp;"*"))</f>
        <v/>
      </c>
      <c r="G31" s="34" t="n">
        <v>3</v>
      </c>
      <c r="H31" s="22">
        <f>IF(A31="","",SUMIF('היסטוריה'!$B$3:$B$3002,A31,'היסטוריה'!$E$3:$E$3002))</f>
        <v/>
      </c>
      <c r="I31" s="33" t="n"/>
    </row>
    <row r="32">
      <c r="A32" s="19" t="inlineStr">
        <is>
          <t>אלה גוטליב</t>
        </is>
      </c>
      <c r="B32" s="27" t="inlineStr">
        <is>
          <t>מדרשה</t>
        </is>
      </c>
      <c r="C32" s="34" t="inlineStr">
        <is>
          <t>תמר</t>
        </is>
      </c>
      <c r="D32" s="34" t="inlineStr">
        <is>
          <t>כן</t>
        </is>
      </c>
      <c r="E32" s="33" t="inlineStr">
        <is>
          <t>ארוחת ערב</t>
        </is>
      </c>
      <c r="F32" s="22">
        <f>IF(A32="","",COUNTIF('משימות'!$G$3:$G$122,"*"&amp;A32&amp;"*"))</f>
        <v/>
      </c>
      <c r="G32" s="34" t="n">
        <v>2</v>
      </c>
      <c r="H32" s="22">
        <f>IF(A32="","",SUMIF('היסטוריה'!$B$3:$B$3002,A32,'היסטוריה'!$E$3:$E$3002))</f>
        <v/>
      </c>
      <c r="I32" s="33" t="n"/>
    </row>
    <row r="33">
      <c r="A33" s="19" t="inlineStr">
        <is>
          <t>רותם דרור</t>
        </is>
      </c>
      <c r="B33" s="27" t="inlineStr">
        <is>
          <t>מדרשה</t>
        </is>
      </c>
      <c r="C33" s="34" t="inlineStr">
        <is>
          <t>אבי</t>
        </is>
      </c>
      <c r="D33" s="34" t="inlineStr">
        <is>
          <t>כן</t>
        </is>
      </c>
      <c r="E33" s="33" t="n"/>
      <c r="F33" s="22">
        <f>IF(A33="","",COUNTIF('משימות'!$G$3:$G$122,"*"&amp;A33&amp;"*"))</f>
        <v/>
      </c>
      <c r="G33" s="34" t="n"/>
      <c r="H33" s="22">
        <f>IF(A33="","",SUMIF('היסטוריה'!$B$3:$B$3002,A33,'היסטוריה'!$E$3:$E$3002))</f>
        <v/>
      </c>
      <c r="I33" s="33" t="n"/>
    </row>
    <row r="34">
      <c r="A34" s="19" t="inlineStr">
        <is>
          <t>עומר יוסף גנון</t>
        </is>
      </c>
      <c r="B34" s="27" t="inlineStr">
        <is>
          <t>מדרשה</t>
        </is>
      </c>
      <c r="C34" s="34" t="inlineStr">
        <is>
          <t>בניה</t>
        </is>
      </c>
      <c r="D34" s="34" t="inlineStr">
        <is>
          <t>כן</t>
        </is>
      </c>
      <c r="E34" s="33" t="inlineStr">
        <is>
          <t>בית מדרש</t>
        </is>
      </c>
      <c r="F34" s="22">
        <f>IF(A34="","",COUNTIF('משימות'!$G$3:$G$122,"*"&amp;A34&amp;"*"))</f>
        <v/>
      </c>
      <c r="G34" s="34" t="n">
        <v>3</v>
      </c>
      <c r="H34" s="22">
        <f>IF(A34="","",SUMIF('היסטוריה'!$B$3:$B$3002,A34,'היסטוריה'!$E$3:$E$3002))</f>
        <v/>
      </c>
      <c r="I34" s="33" t="n"/>
    </row>
    <row r="35">
      <c r="A35" s="19" t="inlineStr">
        <is>
          <t>סהר שירון</t>
        </is>
      </c>
      <c r="B35" s="27" t="inlineStr">
        <is>
          <t>מדרשה</t>
        </is>
      </c>
      <c r="C35" s="34" t="inlineStr">
        <is>
          <t>הילה</t>
        </is>
      </c>
      <c r="D35" s="34" t="inlineStr">
        <is>
          <t>כן</t>
        </is>
      </c>
      <c r="E35" s="33" t="n"/>
      <c r="F35" s="22">
        <f>IF(A35="","",COUNTIF('משימות'!$G$3:$G$122,"*"&amp;A35&amp;"*"))</f>
        <v/>
      </c>
      <c r="G35" s="34" t="n"/>
      <c r="H35" s="22">
        <f>IF(A35="","",SUMIF('היסטוריה'!$B$3:$B$3002,A35,'היסטוריה'!$E$3:$E$3002))</f>
        <v/>
      </c>
      <c r="I35" s="33" t="n"/>
    </row>
    <row r="36">
      <c r="A36" s="19" t="inlineStr">
        <is>
          <t>שירה ספונוב</t>
        </is>
      </c>
      <c r="B36" s="27" t="inlineStr">
        <is>
          <t>מדרשה</t>
        </is>
      </c>
      <c r="C36" s="34" t="inlineStr">
        <is>
          <t>הילה</t>
        </is>
      </c>
      <c r="D36" s="34" t="inlineStr">
        <is>
          <t>כן</t>
        </is>
      </c>
      <c r="E36" s="33" t="inlineStr">
        <is>
          <t>ארוחת ערב</t>
        </is>
      </c>
      <c r="F36" s="22">
        <f>IF(A36="","",COUNTIF('משימות'!$G$3:$G$122,"*"&amp;A36&amp;"*"))</f>
        <v/>
      </c>
      <c r="G36" s="34" t="n">
        <v>2</v>
      </c>
      <c r="H36" s="22">
        <f>IF(A36="","",SUMIF('היסטוריה'!$B$3:$B$3002,A36,'היסטוריה'!$E$3:$E$3002))</f>
        <v/>
      </c>
      <c r="I36" s="33" t="n"/>
    </row>
    <row r="37">
      <c r="A37" s="19" t="inlineStr">
        <is>
          <t>הלל פינגולד</t>
        </is>
      </c>
      <c r="B37" s="27" t="inlineStr">
        <is>
          <t>מדרשה</t>
        </is>
      </c>
      <c r="C37" s="34" t="inlineStr">
        <is>
          <t>הילה</t>
        </is>
      </c>
      <c r="D37" s="34" t="inlineStr">
        <is>
          <t>כן</t>
        </is>
      </c>
      <c r="E37" s="33" t="inlineStr">
        <is>
          <t>מטבוחה</t>
        </is>
      </c>
      <c r="F37" s="22">
        <f>IF(A37="","",COUNTIF('משימות'!$G$3:$G$122,"*"&amp;A37&amp;"*"))</f>
        <v/>
      </c>
      <c r="G37" s="34" t="n">
        <v>3</v>
      </c>
      <c r="H37" s="22">
        <f>IF(A37="","",SUMIF('היסטוריה'!$B$3:$B$3002,A37,'היסטוריה'!$E$3:$E$3002))</f>
        <v/>
      </c>
      <c r="I37" s="33" t="n"/>
    </row>
    <row r="38">
      <c r="A38" s="19" t="inlineStr">
        <is>
          <t>מישל דוד</t>
        </is>
      </c>
      <c r="B38" s="27" t="inlineStr">
        <is>
          <t>מדרשה</t>
        </is>
      </c>
      <c r="C38" s="34" t="inlineStr">
        <is>
          <t>בניה</t>
        </is>
      </c>
      <c r="D38" s="34" t="inlineStr">
        <is>
          <t>כן</t>
        </is>
      </c>
      <c r="E38" s="33" t="inlineStr">
        <is>
          <t>ארוחת ערב</t>
        </is>
      </c>
      <c r="F38" s="22">
        <f>IF(A38="","",COUNTIF('משימות'!$G$3:$G$122,"*"&amp;A38&amp;"*"))</f>
        <v/>
      </c>
      <c r="G38" s="34" t="n">
        <v>2</v>
      </c>
      <c r="H38" s="22">
        <f>IF(A38="","",SUMIF('היסטוריה'!$B$3:$B$3002,A38,'היסטוריה'!$E$3:$E$3002))</f>
        <v/>
      </c>
      <c r="I38" s="33" t="n"/>
    </row>
    <row r="39">
      <c r="A39" s="19" t="inlineStr">
        <is>
          <t>מעיין רחל דינר</t>
        </is>
      </c>
      <c r="B39" s="27" t="inlineStr">
        <is>
          <t>מדרשה</t>
        </is>
      </c>
      <c r="C39" s="34" t="inlineStr">
        <is>
          <t>בניה</t>
        </is>
      </c>
      <c r="D39" s="34" t="inlineStr">
        <is>
          <t>כן</t>
        </is>
      </c>
      <c r="E39" s="33" t="inlineStr">
        <is>
          <t>טיש</t>
        </is>
      </c>
      <c r="F39" s="22">
        <f>IF(A39="","",COUNTIF('משימות'!$G$3:$G$122,"*"&amp;A39&amp;"*"))</f>
        <v/>
      </c>
      <c r="G39" s="34" t="n">
        <v>1</v>
      </c>
      <c r="H39" s="22">
        <f>IF(A39="","",SUMIF('היסטוריה'!$B$3:$B$3002,A39,'היסטוריה'!$E$3:$E$3002))</f>
        <v/>
      </c>
      <c r="I39" s="33" t="n"/>
    </row>
    <row r="40">
      <c r="A40" s="19" t="inlineStr">
        <is>
          <t>עמרי קולטון</t>
        </is>
      </c>
      <c r="B40" s="27" t="inlineStr">
        <is>
          <t>מדרשה</t>
        </is>
      </c>
      <c r="C40" s="34" t="inlineStr">
        <is>
          <t>בניה</t>
        </is>
      </c>
      <c r="D40" s="34" t="inlineStr">
        <is>
          <t>כן</t>
        </is>
      </c>
      <c r="E40" s="33" t="inlineStr">
        <is>
          <t>קידוש</t>
        </is>
      </c>
      <c r="F40" s="22">
        <f>IF(A40="","",COUNTIF('משימות'!$G$3:$G$122,"*"&amp;A40&amp;"*"))</f>
        <v/>
      </c>
      <c r="G40" s="34" t="n">
        <v>1</v>
      </c>
      <c r="H40" s="22">
        <f>IF(A40="","",SUMIF('היסטוריה'!$B$3:$B$3002,A40,'היסטוריה'!$E$3:$E$3002))</f>
        <v/>
      </c>
      <c r="I40" s="33" t="n"/>
    </row>
    <row r="41">
      <c r="A41" s="19" t="inlineStr">
        <is>
          <t>נגה חוה כהן</t>
        </is>
      </c>
      <c r="B41" s="27" t="inlineStr">
        <is>
          <t>מדרשה</t>
        </is>
      </c>
      <c r="C41" s="34" t="inlineStr">
        <is>
          <t>תמר</t>
        </is>
      </c>
      <c r="D41" s="34" t="inlineStr">
        <is>
          <t>כן</t>
        </is>
      </c>
      <c r="E41" s="33" t="inlineStr">
        <is>
          <t>מטבוחה</t>
        </is>
      </c>
      <c r="F41" s="22">
        <f>IF(A41="","",COUNTIF('משימות'!$G$3:$G$122,"*"&amp;A41&amp;"*"))</f>
        <v/>
      </c>
      <c r="G41" s="34" t="n">
        <v>3</v>
      </c>
      <c r="H41" s="22">
        <f>IF(A41="","",SUMIF('היסטוריה'!$B$3:$B$3002,A41,'היסטוריה'!$E$3:$E$3002))</f>
        <v/>
      </c>
      <c r="I41" s="33" t="n"/>
    </row>
    <row r="42">
      <c r="A42" s="19" t="inlineStr">
        <is>
          <t>קובי סמייסון</t>
        </is>
      </c>
      <c r="B42" s="27" t="inlineStr">
        <is>
          <t>מדרשה</t>
        </is>
      </c>
      <c r="C42" s="34" t="n"/>
      <c r="D42" s="34" t="n"/>
      <c r="E42" s="33" t="n"/>
      <c r="F42" s="22">
        <f>IF(A42="","",COUNTIF('משימות'!$G$3:$G$122,"*"&amp;A42&amp;"*"))</f>
        <v/>
      </c>
      <c r="G42" s="34" t="n"/>
      <c r="H42" s="22">
        <f>IF(A42="","",SUMIF('היסטוריה'!$B$3:$B$3002,A42,'היסטוריה'!$E$3:$E$3002))</f>
        <v/>
      </c>
      <c r="I42" s="33" t="inlineStr">
        <is>
          <t>לא נוכח/ת</t>
        </is>
      </c>
    </row>
    <row r="43">
      <c r="A43" s="19" t="inlineStr">
        <is>
          <t>נגה שוהם</t>
        </is>
      </c>
      <c r="B43" s="27" t="inlineStr">
        <is>
          <t>מדרשה</t>
        </is>
      </c>
      <c r="C43" s="34" t="inlineStr">
        <is>
          <t>יואב</t>
        </is>
      </c>
      <c r="D43" s="34" t="inlineStr">
        <is>
          <t>כן</t>
        </is>
      </c>
      <c r="E43" s="33" t="inlineStr">
        <is>
          <t>ארוחת צהריים שבת</t>
        </is>
      </c>
      <c r="F43" s="22">
        <f>IF(A43="","",COUNTIF('משימות'!$G$3:$G$122,"*"&amp;A43&amp;"*"))</f>
        <v/>
      </c>
      <c r="G43" s="34" t="n">
        <v>2</v>
      </c>
      <c r="H43" s="22">
        <f>IF(A43="","",SUMIF('היסטוריה'!$B$3:$B$3002,A43,'היסטוריה'!$E$3:$E$3002))</f>
        <v/>
      </c>
      <c r="I43" s="33" t="n"/>
    </row>
    <row r="44">
      <c r="A44" s="19" t="inlineStr">
        <is>
          <t>ינון לוי</t>
        </is>
      </c>
      <c r="B44" s="27" t="inlineStr">
        <is>
          <t>מדרשה</t>
        </is>
      </c>
      <c r="C44" s="34" t="inlineStr">
        <is>
          <t>אבי</t>
        </is>
      </c>
      <c r="D44" s="34" t="inlineStr">
        <is>
          <t>כן</t>
        </is>
      </c>
      <c r="E44" s="33" t="n"/>
      <c r="F44" s="22">
        <f>IF(A44="","",COUNTIF('משימות'!$G$3:$G$122,"*"&amp;A44&amp;"*"))</f>
        <v/>
      </c>
      <c r="G44" s="34" t="n"/>
      <c r="H44" s="22">
        <f>IF(A44="","",SUMIF('היסטוריה'!$B$3:$B$3002,A44,'היסטוריה'!$E$3:$E$3002))</f>
        <v/>
      </c>
      <c r="I44" s="33" t="n"/>
    </row>
    <row r="45">
      <c r="A45" s="19" t="inlineStr">
        <is>
          <t>אייל ציגנלאוב</t>
        </is>
      </c>
      <c r="B45" s="27" t="inlineStr">
        <is>
          <t>מדרשה</t>
        </is>
      </c>
      <c r="C45" s="34" t="n"/>
      <c r="D45" s="34" t="n"/>
      <c r="E45" s="33" t="n"/>
      <c r="F45" s="22">
        <f>IF(A45="","",COUNTIF('משימות'!$G$3:$G$122,"*"&amp;A45&amp;"*"))</f>
        <v/>
      </c>
      <c r="G45" s="34" t="n"/>
      <c r="H45" s="22">
        <f>IF(A45="","",SUMIF('היסטוריה'!$B$3:$B$3002,A45,'היסטוריה'!$E$3:$E$3002))</f>
        <v/>
      </c>
      <c r="I45" s="33" t="inlineStr">
        <is>
          <t>לא נוכח/ת</t>
        </is>
      </c>
    </row>
    <row r="46">
      <c r="A46" s="19" t="inlineStr">
        <is>
          <t>אלה מאיר</t>
        </is>
      </c>
      <c r="B46" s="27" t="inlineStr">
        <is>
          <t>מדרשה</t>
        </is>
      </c>
      <c r="C46" s="34" t="inlineStr">
        <is>
          <t>תמר</t>
        </is>
      </c>
      <c r="D46" s="34" t="inlineStr">
        <is>
          <t>כן</t>
        </is>
      </c>
      <c r="E46" s="33" t="inlineStr">
        <is>
          <t>בית מדרש</t>
        </is>
      </c>
      <c r="F46" s="22">
        <f>IF(A46="","",COUNTIF('משימות'!$G$3:$G$122,"*"&amp;A46&amp;"*"))</f>
        <v/>
      </c>
      <c r="G46" s="34" t="n">
        <v>3</v>
      </c>
      <c r="H46" s="22">
        <f>IF(A46="","",SUMIF('היסטוריה'!$B$3:$B$3002,A46,'היסטוריה'!$E$3:$E$3002))</f>
        <v/>
      </c>
      <c r="I46" s="33" t="n"/>
    </row>
    <row r="47">
      <c r="A47" s="19" t="inlineStr">
        <is>
          <t>זואי כהן</t>
        </is>
      </c>
      <c r="B47" s="27" t="inlineStr">
        <is>
          <t>מדרשה</t>
        </is>
      </c>
      <c r="C47" s="34" t="inlineStr">
        <is>
          <t>תמר</t>
        </is>
      </c>
      <c r="D47" s="34" t="inlineStr">
        <is>
          <t>כן</t>
        </is>
      </c>
      <c r="E47" s="33" t="inlineStr">
        <is>
          <t>ארוחת ערב</t>
        </is>
      </c>
      <c r="F47" s="22">
        <f>IF(A47="","",COUNTIF('משימות'!$G$3:$G$122,"*"&amp;A47&amp;"*"))</f>
        <v/>
      </c>
      <c r="G47" s="34" t="n">
        <v>2</v>
      </c>
      <c r="H47" s="22">
        <f>IF(A47="","",SUMIF('היסטוריה'!$B$3:$B$3002,A47,'היסטוריה'!$E$3:$E$3002))</f>
        <v/>
      </c>
      <c r="I47" s="33" t="n"/>
    </row>
    <row r="48">
      <c r="A48" s="19" t="inlineStr">
        <is>
          <t>של״ו רובינשטיין</t>
        </is>
      </c>
      <c r="B48" s="27" t="inlineStr">
        <is>
          <t>מדרשה</t>
        </is>
      </c>
      <c r="C48" s="34" t="inlineStr">
        <is>
          <t>הילה</t>
        </is>
      </c>
      <c r="D48" s="34" t="inlineStr">
        <is>
          <t>כן</t>
        </is>
      </c>
      <c r="E48" s="33" t="inlineStr">
        <is>
          <t>עוגות שמרים</t>
        </is>
      </c>
      <c r="F48" s="22">
        <f>IF(A48="","",COUNTIF('משימות'!$G$3:$G$122,"*"&amp;A48&amp;"*"))</f>
        <v/>
      </c>
      <c r="G48" s="34" t="n">
        <v>3</v>
      </c>
      <c r="H48" s="22">
        <f>IF(A48="","",SUMIF('היסטוריה'!$B$3:$B$3002,A48,'היסטוריה'!$E$3:$E$3002))</f>
        <v/>
      </c>
      <c r="I48" s="33" t="n"/>
    </row>
    <row r="49">
      <c r="A49" s="19" t="inlineStr">
        <is>
          <t>כליל בלאוקופף</t>
        </is>
      </c>
      <c r="B49" s="27" t="inlineStr">
        <is>
          <t>מדרשה</t>
        </is>
      </c>
      <c r="C49" s="34" t="inlineStr">
        <is>
          <t>בניה</t>
        </is>
      </c>
      <c r="D49" s="34" t="inlineStr">
        <is>
          <t>כן</t>
        </is>
      </c>
      <c r="E49" s="33" t="n"/>
      <c r="F49" s="22">
        <f>IF(A49="","",COUNTIF('משימות'!$G$3:$G$122,"*"&amp;A49&amp;"*"))</f>
        <v/>
      </c>
      <c r="G49" s="34" t="n"/>
      <c r="H49" s="22">
        <f>IF(A49="","",SUMIF('היסטוריה'!$B$3:$B$3002,A49,'היסטוריה'!$E$3:$E$3002))</f>
        <v/>
      </c>
      <c r="I49" s="33" t="n"/>
    </row>
    <row r="50">
      <c r="A50" s="19" t="inlineStr">
        <is>
          <t>רוני פרנקל</t>
        </is>
      </c>
      <c r="B50" s="27" t="inlineStr">
        <is>
          <t>מדרשה</t>
        </is>
      </c>
      <c r="C50" s="34" t="inlineStr">
        <is>
          <t>אבי</t>
        </is>
      </c>
      <c r="D50" s="34" t="inlineStr">
        <is>
          <t>כן</t>
        </is>
      </c>
      <c r="E50" s="33" t="n"/>
      <c r="F50" s="22">
        <f>IF(A50="","",COUNTIF('משימות'!$G$3:$G$122,"*"&amp;A50&amp;"*"))</f>
        <v/>
      </c>
      <c r="G50" s="34" t="n"/>
      <c r="H50" s="22">
        <f>IF(A50="","",SUMIF('היסטוריה'!$B$3:$B$3002,A50,'היסטוריה'!$E$3:$E$3002))</f>
        <v/>
      </c>
      <c r="I50" s="33" t="n"/>
    </row>
    <row r="51">
      <c r="A51" s="19" t="inlineStr">
        <is>
          <t>נועם גלס</t>
        </is>
      </c>
      <c r="B51" s="27" t="inlineStr">
        <is>
          <t>מדרשה</t>
        </is>
      </c>
      <c r="C51" s="34" t="inlineStr">
        <is>
          <t>בניה</t>
        </is>
      </c>
      <c r="D51" s="34" t="inlineStr">
        <is>
          <t>כן</t>
        </is>
      </c>
      <c r="E51" s="33" t="n"/>
      <c r="F51" s="22">
        <f>IF(A51="","",COUNTIF('משימות'!$G$3:$G$122,"*"&amp;A51&amp;"*"))</f>
        <v/>
      </c>
      <c r="G51" s="34" t="n"/>
      <c r="H51" s="22">
        <f>IF(A51="","",SUMIF('היסטוריה'!$B$3:$B$3002,A51,'היסטוריה'!$E$3:$E$3002))</f>
        <v/>
      </c>
      <c r="I51" s="33" t="n"/>
    </row>
    <row r="52">
      <c r="A52" s="19" t="inlineStr">
        <is>
          <t>הילה לביא</t>
        </is>
      </c>
      <c r="B52" s="27" t="inlineStr">
        <is>
          <t>מדרשה</t>
        </is>
      </c>
      <c r="C52" s="34" t="inlineStr">
        <is>
          <t>הילה</t>
        </is>
      </c>
      <c r="D52" s="34" t="inlineStr">
        <is>
          <t>כן</t>
        </is>
      </c>
      <c r="E52" s="33" t="inlineStr">
        <is>
          <t>בית מדרש</t>
        </is>
      </c>
      <c r="F52" s="22">
        <f>IF(A52="","",COUNTIF('משימות'!$G$3:$G$122,"*"&amp;A52&amp;"*"))</f>
        <v/>
      </c>
      <c r="G52" s="34" t="n">
        <v>3</v>
      </c>
      <c r="H52" s="22">
        <f>IF(A52="","",SUMIF('היסטוריה'!$B$3:$B$3002,A52,'היסטוריה'!$E$3:$E$3002))</f>
        <v/>
      </c>
      <c r="I52" s="33" t="n"/>
    </row>
    <row r="53">
      <c r="A53" s="19" t="inlineStr">
        <is>
          <t>עמית שי אברהם</t>
        </is>
      </c>
      <c r="B53" s="27" t="inlineStr">
        <is>
          <t>מדרשה</t>
        </is>
      </c>
      <c r="C53" s="34" t="inlineStr">
        <is>
          <t>הילה</t>
        </is>
      </c>
      <c r="D53" s="34" t="inlineStr">
        <is>
          <t>כן</t>
        </is>
      </c>
      <c r="E53" s="33" t="inlineStr">
        <is>
          <t>ארוחת ערב</t>
        </is>
      </c>
      <c r="F53" s="22">
        <f>IF(A53="","",COUNTIF('משימות'!$G$3:$G$122,"*"&amp;A53&amp;"*"))</f>
        <v/>
      </c>
      <c r="G53" s="34" t="n">
        <v>2</v>
      </c>
      <c r="H53" s="22">
        <f>IF(A53="","",SUMIF('היסטוריה'!$B$3:$B$3002,A53,'היסטוריה'!$E$3:$E$3002))</f>
        <v/>
      </c>
      <c r="I53" s="33" t="n"/>
    </row>
    <row r="54">
      <c r="A54" s="19" t="inlineStr">
        <is>
          <t>תמר פרימור</t>
        </is>
      </c>
      <c r="B54" s="27" t="inlineStr">
        <is>
          <t>מדרשה</t>
        </is>
      </c>
      <c r="C54" s="34" t="inlineStr">
        <is>
          <t>יואב</t>
        </is>
      </c>
      <c r="D54" s="34" t="inlineStr">
        <is>
          <t>כן</t>
        </is>
      </c>
      <c r="E54" s="33" t="inlineStr">
        <is>
          <t>חלות</t>
        </is>
      </c>
      <c r="F54" s="22">
        <f>IF(A54="","",COUNTIF('משימות'!$G$3:$G$122,"*"&amp;A54&amp;"*"))</f>
        <v/>
      </c>
      <c r="G54" s="34" t="n">
        <v>3</v>
      </c>
      <c r="H54" s="22">
        <f>IF(A54="","",SUMIF('היסטוריה'!$B$3:$B$3002,A54,'היסטוריה'!$E$3:$E$3002))</f>
        <v/>
      </c>
      <c r="I54" s="33" t="n"/>
    </row>
    <row r="55">
      <c r="A55" s="19" t="inlineStr">
        <is>
          <t>נבו בלוך</t>
        </is>
      </c>
      <c r="B55" s="27" t="inlineStr">
        <is>
          <t>מדרשה</t>
        </is>
      </c>
      <c r="C55" s="34" t="inlineStr">
        <is>
          <t>אבי</t>
        </is>
      </c>
      <c r="D55" s="34" t="inlineStr">
        <is>
          <t>כן</t>
        </is>
      </c>
      <c r="E55" s="33" t="inlineStr">
        <is>
          <t>עוגיות שוקולד צ'יפס</t>
        </is>
      </c>
      <c r="F55" s="22">
        <f>IF(A55="","",COUNTIF('משימות'!$G$3:$G$122,"*"&amp;A55&amp;"*"))</f>
        <v/>
      </c>
      <c r="G55" s="34" t="n">
        <v>3</v>
      </c>
      <c r="H55" s="22">
        <f>IF(A55="","",SUMIF('היסטוריה'!$B$3:$B$3002,A55,'היסטוריה'!$E$3:$E$3002))</f>
        <v/>
      </c>
      <c r="I55" s="33" t="n"/>
    </row>
    <row r="56">
      <c r="A56" s="19" t="inlineStr">
        <is>
          <t>ארבל פרנקו</t>
        </is>
      </c>
      <c r="B56" s="27" t="inlineStr">
        <is>
          <t>מדרשה</t>
        </is>
      </c>
      <c r="C56" s="34" t="inlineStr">
        <is>
          <t>בניה</t>
        </is>
      </c>
      <c r="D56" s="34" t="inlineStr">
        <is>
          <t>כן</t>
        </is>
      </c>
      <c r="E56" s="33" t="inlineStr">
        <is>
          <t>בראוניז ללא גלוטן</t>
        </is>
      </c>
      <c r="F56" s="22">
        <f>IF(A56="","",COUNTIF('משימות'!$G$3:$G$122,"*"&amp;A56&amp;"*"))</f>
        <v/>
      </c>
      <c r="G56" s="34" t="n">
        <v>3</v>
      </c>
      <c r="H56" s="22">
        <f>IF(A56="","",SUMIF('היסטוריה'!$B$3:$B$3002,A56,'היסטוריה'!$E$3:$E$3002))</f>
        <v/>
      </c>
      <c r="I56" s="33" t="n"/>
    </row>
    <row r="57">
      <c r="A57" s="19" t="inlineStr">
        <is>
          <t>יעל קהת</t>
        </is>
      </c>
      <c r="B57" s="27" t="inlineStr">
        <is>
          <t>מדרשה</t>
        </is>
      </c>
      <c r="C57" s="34" t="inlineStr">
        <is>
          <t>יואב</t>
        </is>
      </c>
      <c r="D57" s="34" t="inlineStr">
        <is>
          <t>כן</t>
        </is>
      </c>
      <c r="E57" s="33" t="n"/>
      <c r="F57" s="22">
        <f>IF(A57="","",COUNTIF('משימות'!$G$3:$G$122,"*"&amp;A57&amp;"*"))</f>
        <v/>
      </c>
      <c r="G57" s="34" t="n"/>
      <c r="H57" s="22">
        <f>IF(A57="","",SUMIF('היסטוריה'!$B$3:$B$3002,A57,'היסטוריה'!$E$3:$E$3002))</f>
        <v/>
      </c>
      <c r="I57" s="33" t="n"/>
    </row>
    <row r="58">
      <c r="A58" s="19" t="inlineStr">
        <is>
          <t>יעל ברחד</t>
        </is>
      </c>
      <c r="B58" s="27" t="inlineStr">
        <is>
          <t>מדרשה</t>
        </is>
      </c>
      <c r="C58" s="34" t="inlineStr">
        <is>
          <t>בניה</t>
        </is>
      </c>
      <c r="D58" s="34" t="inlineStr">
        <is>
          <t>כן</t>
        </is>
      </c>
      <c r="E58" s="33" t="inlineStr">
        <is>
          <t>קידוש</t>
        </is>
      </c>
      <c r="F58" s="22">
        <f>IF(A58="","",COUNTIF('משימות'!$G$3:$G$122,"*"&amp;A58&amp;"*"))</f>
        <v/>
      </c>
      <c r="G58" s="34" t="n">
        <v>1</v>
      </c>
      <c r="H58" s="22">
        <f>IF(A58="","",SUMIF('היסטוריה'!$B$3:$B$3002,A58,'היסטוריה'!$E$3:$E$3002))</f>
        <v/>
      </c>
      <c r="I58" s="33" t="n"/>
    </row>
    <row r="59">
      <c r="A59" s="19" t="inlineStr">
        <is>
          <t>תמר פרידמן</t>
        </is>
      </c>
      <c r="B59" s="27" t="inlineStr">
        <is>
          <t>מדרשה</t>
        </is>
      </c>
      <c r="C59" s="34" t="inlineStr">
        <is>
          <t>תמר</t>
        </is>
      </c>
      <c r="D59" s="34" t="inlineStr">
        <is>
          <t>כן</t>
        </is>
      </c>
      <c r="E59" s="33" t="inlineStr">
        <is>
          <t>בית מדרש</t>
        </is>
      </c>
      <c r="F59" s="22">
        <f>IF(A59="","",COUNTIF('משימות'!$G$3:$G$122,"*"&amp;A59&amp;"*"))</f>
        <v/>
      </c>
      <c r="G59" s="34" t="n">
        <v>3</v>
      </c>
      <c r="H59" s="22">
        <f>IF(A59="","",SUMIF('היסטוריה'!$B$3:$B$3002,A59,'היסטוריה'!$E$3:$E$3002))</f>
        <v/>
      </c>
      <c r="I59" s="33" t="n"/>
    </row>
    <row r="60">
      <c r="A60" s="19" t="inlineStr">
        <is>
          <t>יותם ספיר</t>
        </is>
      </c>
      <c r="B60" s="27" t="inlineStr">
        <is>
          <t>מדרשה</t>
        </is>
      </c>
      <c r="C60" s="34" t="n"/>
      <c r="D60" s="34" t="n"/>
      <c r="E60" s="33" t="n"/>
      <c r="F60" s="22">
        <f>IF(A60="","",COUNTIF('משימות'!$G$3:$G$122,"*"&amp;A60&amp;"*"))</f>
        <v/>
      </c>
      <c r="G60" s="34" t="n"/>
      <c r="H60" s="22">
        <f>IF(A60="","",SUMIF('היסטוריה'!$B$3:$B$3002,A60,'היסטוריה'!$E$3:$E$3002))</f>
        <v/>
      </c>
      <c r="I60" s="33" t="inlineStr">
        <is>
          <t>לא נוכח/ת</t>
        </is>
      </c>
    </row>
    <row r="61">
      <c r="A61" s="19" t="inlineStr">
        <is>
          <t>איתמר אסנהיים</t>
        </is>
      </c>
      <c r="B61" s="27" t="inlineStr">
        <is>
          <t>מדרשה</t>
        </is>
      </c>
      <c r="C61" s="34" t="inlineStr">
        <is>
          <t>תמר</t>
        </is>
      </c>
      <c r="D61" s="34" t="inlineStr">
        <is>
          <t>כן</t>
        </is>
      </c>
      <c r="E61" s="33" t="inlineStr">
        <is>
          <t>חלות; ארוחת צהריים שבת</t>
        </is>
      </c>
      <c r="F61" s="22">
        <f>IF(A61="","",COUNTIF('משימות'!$G$3:$G$122,"*"&amp;A61&amp;"*"))</f>
        <v/>
      </c>
      <c r="G61" s="34" t="n">
        <v>5</v>
      </c>
      <c r="H61" s="22">
        <f>IF(A61="","",SUMIF('היסטוריה'!$B$3:$B$3002,A61,'היסטוריה'!$E$3:$E$3002))</f>
        <v/>
      </c>
      <c r="I61" s="33" t="n"/>
    </row>
    <row r="62">
      <c r="A62" s="19" t="inlineStr">
        <is>
          <t>שי- לי וולגמוט</t>
        </is>
      </c>
      <c r="B62" s="27" t="inlineStr">
        <is>
          <t>מדרשה</t>
        </is>
      </c>
      <c r="C62" s="34" t="inlineStr">
        <is>
          <t>בניה</t>
        </is>
      </c>
      <c r="D62" s="34" t="inlineStr">
        <is>
          <t>כן</t>
        </is>
      </c>
      <c r="E62" s="33" t="n"/>
      <c r="F62" s="22">
        <f>IF(A62="","",COUNTIF('משימות'!$G$3:$G$122,"*"&amp;A62&amp;"*"))</f>
        <v/>
      </c>
      <c r="G62" s="34" t="n"/>
      <c r="H62" s="22">
        <f>IF(A62="","",SUMIF('היסטוריה'!$B$3:$B$3002,A62,'היסטוריה'!$E$3:$E$3002))</f>
        <v/>
      </c>
      <c r="I62" s="33" t="n"/>
    </row>
    <row r="63">
      <c r="A63" s="19" t="inlineStr">
        <is>
          <t>יהונתן קצב</t>
        </is>
      </c>
      <c r="B63" s="27" t="inlineStr">
        <is>
          <t>מדרשה</t>
        </is>
      </c>
      <c r="C63" s="34" t="n"/>
      <c r="D63" s="34" t="n"/>
      <c r="E63" s="33" t="n"/>
      <c r="F63" s="22">
        <f>IF(A63="","",COUNTIF('משימות'!$G$3:$G$122,"*"&amp;A63&amp;"*"))</f>
        <v/>
      </c>
      <c r="G63" s="34" t="n"/>
      <c r="H63" s="22">
        <f>IF(A63="","",SUMIF('היסטוריה'!$B$3:$B$3002,A63,'היסטוריה'!$E$3:$E$3002))</f>
        <v/>
      </c>
      <c r="I63" s="33" t="inlineStr">
        <is>
          <t>לא נוכח/ת</t>
        </is>
      </c>
    </row>
    <row r="64">
      <c r="A64" s="19" t="inlineStr">
        <is>
          <t>שילת פילפל</t>
        </is>
      </c>
      <c r="B64" s="27" t="inlineStr">
        <is>
          <t>מדרשה</t>
        </is>
      </c>
      <c r="C64" s="34" t="inlineStr">
        <is>
          <t>בניה</t>
        </is>
      </c>
      <c r="D64" s="34" t="inlineStr">
        <is>
          <t>כן</t>
        </is>
      </c>
      <c r="E64" s="33" t="n"/>
      <c r="F64" s="22">
        <f>IF(A64="","",COUNTIF('משימות'!$G$3:$G$122,"*"&amp;A64&amp;"*"))</f>
        <v/>
      </c>
      <c r="G64" s="34" t="n"/>
      <c r="H64" s="22">
        <f>IF(A64="","",SUMIF('היסטוריה'!$B$3:$B$3002,A64,'היסטוריה'!$E$3:$E$3002))</f>
        <v/>
      </c>
      <c r="I64" s="33" t="n"/>
    </row>
    <row r="65">
      <c r="A65" s="19" t="inlineStr">
        <is>
          <t>נועם ישראל קומפאס</t>
        </is>
      </c>
      <c r="B65" s="27" t="inlineStr">
        <is>
          <t>מדרשה</t>
        </is>
      </c>
      <c r="C65" s="34" t="inlineStr">
        <is>
          <t>בניה</t>
        </is>
      </c>
      <c r="D65" s="34" t="inlineStr">
        <is>
          <t>כן</t>
        </is>
      </c>
      <c r="E65" s="33" t="inlineStr">
        <is>
          <t>חלות</t>
        </is>
      </c>
      <c r="F65" s="22">
        <f>IF(A65="","",COUNTIF('משימות'!$G$3:$G$122,"*"&amp;A65&amp;"*"))</f>
        <v/>
      </c>
      <c r="G65" s="34" t="n">
        <v>3</v>
      </c>
      <c r="H65" s="22">
        <f>IF(A65="","",SUMIF('היסטוריה'!$B$3:$B$3002,A65,'היסטוריה'!$E$3:$E$3002))</f>
        <v/>
      </c>
      <c r="I65" s="33" t="n"/>
    </row>
    <row r="66">
      <c r="A66" s="19" t="inlineStr">
        <is>
          <t>רועי צבי סרי</t>
        </is>
      </c>
      <c r="B66" s="27" t="inlineStr">
        <is>
          <t>מדרשה</t>
        </is>
      </c>
      <c r="C66" s="34" t="inlineStr">
        <is>
          <t>תמר</t>
        </is>
      </c>
      <c r="D66" s="34" t="inlineStr">
        <is>
          <t>כן</t>
        </is>
      </c>
      <c r="E66" s="33" t="inlineStr">
        <is>
          <t>בית מדרש</t>
        </is>
      </c>
      <c r="F66" s="22">
        <f>IF(A66="","",COUNTIF('משימות'!$G$3:$G$122,"*"&amp;A66&amp;"*"))</f>
        <v/>
      </c>
      <c r="G66" s="34" t="n">
        <v>3</v>
      </c>
      <c r="H66" s="22">
        <f>IF(A66="","",SUMIF('היסטוריה'!$B$3:$B$3002,A66,'היסטוריה'!$E$3:$E$3002))</f>
        <v/>
      </c>
      <c r="I66" s="33" t="n"/>
    </row>
    <row r="67">
      <c r="A67" s="19" t="inlineStr">
        <is>
          <t>שירה אדלה לוזון</t>
        </is>
      </c>
      <c r="B67" s="27" t="inlineStr">
        <is>
          <t>מדרשה</t>
        </is>
      </c>
      <c r="C67" s="34" t="inlineStr">
        <is>
          <t>יואב</t>
        </is>
      </c>
      <c r="D67" s="34" t="inlineStr">
        <is>
          <t>כן</t>
        </is>
      </c>
      <c r="E67" s="33" t="inlineStr">
        <is>
          <t>ארוחת צהריים שישי</t>
        </is>
      </c>
      <c r="F67" s="22">
        <f>IF(A67="","",COUNTIF('משימות'!$G$3:$G$122,"*"&amp;A67&amp;"*"))</f>
        <v/>
      </c>
      <c r="G67" s="34" t="n">
        <v>3</v>
      </c>
      <c r="H67" s="22">
        <f>IF(A67="","",SUMIF('היסטוריה'!$B$3:$B$3002,A67,'היסטוריה'!$E$3:$E$3002))</f>
        <v/>
      </c>
      <c r="I67" s="33" t="n"/>
    </row>
    <row r="68">
      <c r="A68" s="19" t="inlineStr">
        <is>
          <t>איתן כהן</t>
        </is>
      </c>
      <c r="B68" s="27" t="inlineStr">
        <is>
          <t>מדרשה</t>
        </is>
      </c>
      <c r="C68" s="34" t="inlineStr">
        <is>
          <t>הילה</t>
        </is>
      </c>
      <c r="D68" s="34" t="inlineStr">
        <is>
          <t>כן</t>
        </is>
      </c>
      <c r="E68" s="33" t="inlineStr">
        <is>
          <t>חלות</t>
        </is>
      </c>
      <c r="F68" s="22">
        <f>IF(A68="","",COUNTIF('משימות'!$G$3:$G$122,"*"&amp;A68&amp;"*"))</f>
        <v/>
      </c>
      <c r="G68" s="34" t="n">
        <v>3</v>
      </c>
      <c r="H68" s="22">
        <f>IF(A68="","",SUMIF('היסטוריה'!$B$3:$B$3002,A68,'היסטוריה'!$E$3:$E$3002))</f>
        <v/>
      </c>
      <c r="I68" s="33" t="n"/>
    </row>
    <row r="69">
      <c r="A69" s="19" t="inlineStr">
        <is>
          <t>אורי טילינגר</t>
        </is>
      </c>
      <c r="B69" s="27" t="inlineStr">
        <is>
          <t>מדרשה</t>
        </is>
      </c>
      <c r="C69" s="34" t="inlineStr">
        <is>
          <t>יואב</t>
        </is>
      </c>
      <c r="D69" s="34" t="inlineStr">
        <is>
          <t>כן</t>
        </is>
      </c>
      <c r="E69" s="33" t="inlineStr">
        <is>
          <t>מטבוחה</t>
        </is>
      </c>
      <c r="F69" s="22">
        <f>IF(A69="","",COUNTIF('משימות'!$G$3:$G$122,"*"&amp;A69&amp;"*"))</f>
        <v/>
      </c>
      <c r="G69" s="34" t="n">
        <v>3</v>
      </c>
      <c r="H69" s="22">
        <f>IF(A69="","",SUMIF('היסטוריה'!$B$3:$B$3002,A69,'היסטוריה'!$E$3:$E$3002))</f>
        <v/>
      </c>
      <c r="I69" s="33" t="n"/>
    </row>
    <row r="70">
      <c r="A70" s="19" t="inlineStr">
        <is>
          <t>איתי בן מנחם</t>
        </is>
      </c>
      <c r="B70" s="27" t="inlineStr">
        <is>
          <t>מדרשה</t>
        </is>
      </c>
      <c r="C70" s="34" t="inlineStr">
        <is>
          <t>בניה</t>
        </is>
      </c>
      <c r="D70" s="34" t="inlineStr">
        <is>
          <t>כן</t>
        </is>
      </c>
      <c r="E70" s="33" t="inlineStr">
        <is>
          <t>עוגת דבש</t>
        </is>
      </c>
      <c r="F70" s="22">
        <f>IF(A70="","",COUNTIF('משימות'!$G$3:$G$122,"*"&amp;A70&amp;"*"))</f>
        <v/>
      </c>
      <c r="G70" s="34" t="n">
        <v>3</v>
      </c>
      <c r="H70" s="22">
        <f>IF(A70="","",SUMIF('היסטוריה'!$B$3:$B$3002,A70,'היסטוריה'!$E$3:$E$3002))</f>
        <v/>
      </c>
      <c r="I70" s="33" t="n"/>
    </row>
    <row r="71">
      <c r="A71" s="19" t="inlineStr">
        <is>
          <t>לוי יצחק יונגר</t>
        </is>
      </c>
      <c r="B71" s="27" t="inlineStr">
        <is>
          <t>מדרשה</t>
        </is>
      </c>
      <c r="C71" s="34" t="n"/>
      <c r="D71" s="34" t="n"/>
      <c r="E71" s="33" t="n"/>
      <c r="F71" s="22">
        <f>IF(A71="","",COUNTIF('משימות'!$G$3:$G$122,"*"&amp;A71&amp;"*"))</f>
        <v/>
      </c>
      <c r="G71" s="34" t="n"/>
      <c r="H71" s="22">
        <f>IF(A71="","",SUMIF('היסטוריה'!$B$3:$B$3002,A71,'היסטוריה'!$E$3:$E$3002))</f>
        <v/>
      </c>
      <c r="I71" s="33" t="inlineStr">
        <is>
          <t>לא נוכח/ת</t>
        </is>
      </c>
    </row>
    <row r="72">
      <c r="A72" s="19" t="inlineStr">
        <is>
          <t>טליה קור</t>
        </is>
      </c>
      <c r="B72" s="27" t="inlineStr">
        <is>
          <t>מדרשה</t>
        </is>
      </c>
      <c r="C72" s="34" t="inlineStr">
        <is>
          <t>הילה</t>
        </is>
      </c>
      <c r="D72" s="34" t="inlineStr">
        <is>
          <t>כן</t>
        </is>
      </c>
      <c r="E72" s="33" t="inlineStr">
        <is>
          <t>עוגות שמרים</t>
        </is>
      </c>
      <c r="F72" s="22">
        <f>IF(A72="","",COUNTIF('משימות'!$G$3:$G$122,"*"&amp;A72&amp;"*"))</f>
        <v/>
      </c>
      <c r="G72" s="34" t="n">
        <v>3</v>
      </c>
      <c r="H72" s="22">
        <f>IF(A72="","",SUMIF('היסטוריה'!$B$3:$B$3002,A72,'היסטוריה'!$E$3:$E$3002))</f>
        <v/>
      </c>
      <c r="I72" s="33" t="n"/>
    </row>
    <row r="73">
      <c r="A73" s="19" t="inlineStr">
        <is>
          <t>ניצן גמלא</t>
        </is>
      </c>
      <c r="B73" s="27" t="inlineStr">
        <is>
          <t>מדרשה</t>
        </is>
      </c>
      <c r="C73" s="34" t="inlineStr">
        <is>
          <t>תמר</t>
        </is>
      </c>
      <c r="D73" s="34" t="inlineStr">
        <is>
          <t>כן</t>
        </is>
      </c>
      <c r="E73" s="33" t="inlineStr">
        <is>
          <t>בית מדרש</t>
        </is>
      </c>
      <c r="F73" s="22">
        <f>IF(A73="","",COUNTIF('משימות'!$G$3:$G$122,"*"&amp;A73&amp;"*"))</f>
        <v/>
      </c>
      <c r="G73" s="34" t="n">
        <v>3</v>
      </c>
      <c r="H73" s="22">
        <f>IF(A73="","",SUMIF('היסטוריה'!$B$3:$B$3002,A73,'היסטוריה'!$E$3:$E$3002))</f>
        <v/>
      </c>
      <c r="I73" s="33" t="n"/>
    </row>
    <row r="74">
      <c r="A74" s="19" t="inlineStr">
        <is>
          <t>אביב רוזנטל</t>
        </is>
      </c>
      <c r="B74" s="27" t="inlineStr">
        <is>
          <t>אלול</t>
        </is>
      </c>
      <c r="C74" s="34" t="inlineStr">
        <is>
          <t>אלול</t>
        </is>
      </c>
      <c r="D74" s="34" t="inlineStr">
        <is>
          <t>כן</t>
        </is>
      </c>
      <c r="E74" s="33" t="inlineStr">
        <is>
          <t>מטבוחה</t>
        </is>
      </c>
      <c r="F74" s="22">
        <f>IF(A74="","",COUNTIF('משימות'!$G$3:$G$122,"*"&amp;A74&amp;"*"))</f>
        <v/>
      </c>
      <c r="G74" s="34" t="n">
        <v>3</v>
      </c>
      <c r="H74" s="22">
        <f>IF(A74="","",SUMIF('היסטוריה'!$B$3:$B$3002,A74,'היסטוריה'!$E$3:$E$3002))</f>
        <v/>
      </c>
      <c r="I74" s="33" t="n"/>
    </row>
    <row r="75">
      <c r="A75" s="19" t="inlineStr">
        <is>
          <t>אביה וייל</t>
        </is>
      </c>
      <c r="B75" s="27" t="inlineStr">
        <is>
          <t>אלול</t>
        </is>
      </c>
      <c r="C75" s="34" t="inlineStr">
        <is>
          <t>אלול</t>
        </is>
      </c>
      <c r="D75" s="34" t="inlineStr">
        <is>
          <t>כן</t>
        </is>
      </c>
      <c r="E75" s="33" t="n"/>
      <c r="F75" s="22">
        <f>IF(A75="","",COUNTIF('משימות'!$G$3:$G$122,"*"&amp;A75&amp;"*"))</f>
        <v/>
      </c>
      <c r="G75" s="34" t="n"/>
      <c r="H75" s="22">
        <f>IF(A75="","",SUMIF('היסטוריה'!$B$3:$B$3002,A75,'היסטוריה'!$E$3:$E$3002))</f>
        <v/>
      </c>
      <c r="I75" s="33" t="n"/>
    </row>
    <row r="76">
      <c r="A76" s="19" t="inlineStr">
        <is>
          <t>אורי אסף</t>
        </is>
      </c>
      <c r="B76" s="27" t="inlineStr">
        <is>
          <t>אלול</t>
        </is>
      </c>
      <c r="C76" s="34" t="inlineStr">
        <is>
          <t>אלול</t>
        </is>
      </c>
      <c r="D76" s="34" t="inlineStr">
        <is>
          <t>כן</t>
        </is>
      </c>
      <c r="E76" s="33" t="inlineStr">
        <is>
          <t>ארוחת ערב</t>
        </is>
      </c>
      <c r="F76" s="22">
        <f>IF(A76="","",COUNTIF('משימות'!$G$3:$G$122,"*"&amp;A76&amp;"*"))</f>
        <v/>
      </c>
      <c r="G76" s="34" t="n">
        <v>2</v>
      </c>
      <c r="H76" s="22">
        <f>IF(A76="","",SUMIF('היסטוריה'!$B$3:$B$3002,A76,'היסטוריה'!$E$3:$E$3002))</f>
        <v/>
      </c>
      <c r="I76" s="33" t="n"/>
    </row>
    <row r="77">
      <c r="A77" s="19" t="inlineStr">
        <is>
          <t>איתי גוסטינר</t>
        </is>
      </c>
      <c r="B77" s="27" t="inlineStr">
        <is>
          <t>אלול</t>
        </is>
      </c>
      <c r="C77" s="34" t="inlineStr">
        <is>
          <t>אלול</t>
        </is>
      </c>
      <c r="D77" s="34" t="inlineStr">
        <is>
          <t>כן</t>
        </is>
      </c>
      <c r="E77" s="33" t="inlineStr">
        <is>
          <t>ארוחת צהריים שישי</t>
        </is>
      </c>
      <c r="F77" s="22">
        <f>IF(A77="","",COUNTIF('משימות'!$G$3:$G$122,"*"&amp;A77&amp;"*"))</f>
        <v/>
      </c>
      <c r="G77" s="34" t="n">
        <v>3</v>
      </c>
      <c r="H77" s="22">
        <f>IF(A77="","",SUMIF('היסטוריה'!$B$3:$B$3002,A77,'היסטוריה'!$E$3:$E$3002))</f>
        <v/>
      </c>
      <c r="I77" s="33" t="n"/>
    </row>
    <row r="78">
      <c r="A78" s="19" t="inlineStr">
        <is>
          <t>איתי רוס</t>
        </is>
      </c>
      <c r="B78" s="27" t="inlineStr">
        <is>
          <t>אלול</t>
        </is>
      </c>
      <c r="C78" s="34" t="inlineStr">
        <is>
          <t>אלול</t>
        </is>
      </c>
      <c r="D78" s="34" t="inlineStr">
        <is>
          <t>כן</t>
        </is>
      </c>
      <c r="E78" s="33" t="inlineStr">
        <is>
          <t>בית מדרש</t>
        </is>
      </c>
      <c r="F78" s="22">
        <f>IF(A78="","",COUNTIF('משימות'!$G$3:$G$122,"*"&amp;A78&amp;"*"))</f>
        <v/>
      </c>
      <c r="G78" s="34" t="n">
        <v>3</v>
      </c>
      <c r="H78" s="22">
        <f>IF(A78="","",SUMIF('היסטוריה'!$B$3:$B$3002,A78,'היסטוריה'!$E$3:$E$3002))</f>
        <v/>
      </c>
      <c r="I78" s="33" t="n"/>
    </row>
    <row r="79">
      <c r="A79" s="19" t="inlineStr">
        <is>
          <t>אלון דיין</t>
        </is>
      </c>
      <c r="B79" s="27" t="inlineStr">
        <is>
          <t>אלול</t>
        </is>
      </c>
      <c r="C79" s="34" t="inlineStr">
        <is>
          <t>אלול</t>
        </is>
      </c>
      <c r="D79" s="34" t="inlineStr">
        <is>
          <t>כן</t>
        </is>
      </c>
      <c r="E79" s="33" t="n"/>
      <c r="F79" s="22">
        <f>IF(A79="","",COUNTIF('משימות'!$G$3:$G$122,"*"&amp;A79&amp;"*"))</f>
        <v/>
      </c>
      <c r="G79" s="34" t="n"/>
      <c r="H79" s="22">
        <f>IF(A79="","",SUMIF('היסטוריה'!$B$3:$B$3002,A79,'היסטוריה'!$E$3:$E$3002))</f>
        <v/>
      </c>
      <c r="I79" s="33" t="n"/>
    </row>
    <row r="80">
      <c r="A80" s="19" t="inlineStr">
        <is>
          <t>דנה שם טוב</t>
        </is>
      </c>
      <c r="B80" s="27" t="inlineStr">
        <is>
          <t>אלול</t>
        </is>
      </c>
      <c r="C80" s="34" t="inlineStr">
        <is>
          <t>אלול</t>
        </is>
      </c>
      <c r="D80" s="34" t="inlineStr">
        <is>
          <t>כן</t>
        </is>
      </c>
      <c r="E80" s="33" t="inlineStr">
        <is>
          <t>קידוש</t>
        </is>
      </c>
      <c r="F80" s="22">
        <f>IF(A80="","",COUNTIF('משימות'!$G$3:$G$122,"*"&amp;A80&amp;"*"))</f>
        <v/>
      </c>
      <c r="G80" s="34" t="n">
        <v>1</v>
      </c>
      <c r="H80" s="22">
        <f>IF(A80="","",SUMIF('היסטוריה'!$B$3:$B$3002,A80,'היסטוריה'!$E$3:$E$3002))</f>
        <v/>
      </c>
      <c r="I80" s="33" t="n"/>
    </row>
    <row r="81">
      <c r="A81" s="19" t="inlineStr">
        <is>
          <t>יאר אלפסי</t>
        </is>
      </c>
      <c r="B81" s="27" t="inlineStr">
        <is>
          <t>אלול</t>
        </is>
      </c>
      <c r="C81" s="34" t="inlineStr">
        <is>
          <t>אלול</t>
        </is>
      </c>
      <c r="D81" s="34" t="inlineStr">
        <is>
          <t>כן</t>
        </is>
      </c>
      <c r="E81" s="33" t="n"/>
      <c r="F81" s="22">
        <f>IF(A81="","",COUNTIF('משימות'!$G$3:$G$122,"*"&amp;A81&amp;"*"))</f>
        <v/>
      </c>
      <c r="G81" s="34" t="n"/>
      <c r="H81" s="22">
        <f>IF(A81="","",SUMIF('היסטוריה'!$B$3:$B$3002,A81,'היסטוריה'!$E$3:$E$3002))</f>
        <v/>
      </c>
      <c r="I81" s="33" t="n"/>
    </row>
    <row r="82">
      <c r="A82" s="19" t="inlineStr">
        <is>
          <t>יערה ריס</t>
        </is>
      </c>
      <c r="B82" s="27" t="inlineStr">
        <is>
          <t>אלול</t>
        </is>
      </c>
      <c r="C82" s="34" t="inlineStr">
        <is>
          <t>אלול</t>
        </is>
      </c>
      <c r="D82" s="34" t="inlineStr">
        <is>
          <t>כן</t>
        </is>
      </c>
      <c r="E82" s="33" t="n"/>
      <c r="F82" s="22">
        <f>IF(A82="","",COUNTIF('משימות'!$G$3:$G$122,"*"&amp;A82&amp;"*"))</f>
        <v/>
      </c>
      <c r="G82" s="34" t="n"/>
      <c r="H82" s="22">
        <f>IF(A82="","",SUMIF('היסטוריה'!$B$3:$B$3002,A82,'היסטוריה'!$E$3:$E$3002))</f>
        <v/>
      </c>
      <c r="I82" s="33" t="n"/>
    </row>
    <row r="83">
      <c r="A83" s="19" t="inlineStr">
        <is>
          <t>ליאור שימרלינג</t>
        </is>
      </c>
      <c r="B83" s="27" t="inlineStr">
        <is>
          <t>אלול</t>
        </is>
      </c>
      <c r="C83" s="34" t="inlineStr">
        <is>
          <t>אלול</t>
        </is>
      </c>
      <c r="D83" s="34" t="inlineStr">
        <is>
          <t>כן</t>
        </is>
      </c>
      <c r="E83" s="33" t="inlineStr">
        <is>
          <t>קידוש</t>
        </is>
      </c>
      <c r="F83" s="22">
        <f>IF(A83="","",COUNTIF('משימות'!$G$3:$G$122,"*"&amp;A83&amp;"*"))</f>
        <v/>
      </c>
      <c r="G83" s="34" t="n">
        <v>1</v>
      </c>
      <c r="H83" s="22">
        <f>IF(A83="","",SUMIF('היסטוריה'!$B$3:$B$3002,A83,'היסטוריה'!$E$3:$E$3002))</f>
        <v/>
      </c>
      <c r="I83" s="33" t="n"/>
    </row>
    <row r="84">
      <c r="A84" s="19" t="inlineStr">
        <is>
          <t>ליבי בוכריס</t>
        </is>
      </c>
      <c r="B84" s="27" t="inlineStr">
        <is>
          <t>אלול</t>
        </is>
      </c>
      <c r="C84" s="34" t="inlineStr">
        <is>
          <t>אלול</t>
        </is>
      </c>
      <c r="D84" s="34" t="inlineStr">
        <is>
          <t>כן</t>
        </is>
      </c>
      <c r="E84" s="33" t="inlineStr">
        <is>
          <t>בית מדרש</t>
        </is>
      </c>
      <c r="F84" s="22">
        <f>IF(A84="","",COUNTIF('משימות'!$G$3:$G$122,"*"&amp;A84&amp;"*"))</f>
        <v/>
      </c>
      <c r="G84" s="34" t="n">
        <v>3</v>
      </c>
      <c r="H84" s="22">
        <f>IF(A84="","",SUMIF('היסטוריה'!$B$3:$B$3002,A84,'היסטוריה'!$E$3:$E$3002))</f>
        <v/>
      </c>
      <c r="I84" s="33" t="n"/>
    </row>
    <row r="85">
      <c r="A85" s="19" t="inlineStr">
        <is>
          <t>ליעם גבע</t>
        </is>
      </c>
      <c r="B85" s="27" t="inlineStr">
        <is>
          <t>אלול</t>
        </is>
      </c>
      <c r="C85" s="34" t="inlineStr">
        <is>
          <t>אלול</t>
        </is>
      </c>
      <c r="D85" s="34" t="inlineStr">
        <is>
          <t>כן</t>
        </is>
      </c>
      <c r="E85" s="33" t="n"/>
      <c r="F85" s="22">
        <f>IF(A85="","",COUNTIF('משימות'!$G$3:$G$122,"*"&amp;A85&amp;"*"))</f>
        <v/>
      </c>
      <c r="G85" s="34" t="n"/>
      <c r="H85" s="22">
        <f>IF(A85="","",SUMIF('היסטוריה'!$B$3:$B$3002,A85,'היסטוריה'!$E$3:$E$3002))</f>
        <v/>
      </c>
      <c r="I85" s="33" t="n"/>
    </row>
    <row r="86">
      <c r="A86" s="19" t="inlineStr">
        <is>
          <t>מאיה פקטר</t>
        </is>
      </c>
      <c r="B86" s="27" t="inlineStr">
        <is>
          <t>אלול</t>
        </is>
      </c>
      <c r="C86" s="34" t="inlineStr">
        <is>
          <t>אלול</t>
        </is>
      </c>
      <c r="D86" s="34" t="inlineStr">
        <is>
          <t>כן</t>
        </is>
      </c>
      <c r="E86" s="33" t="n"/>
      <c r="F86" s="22">
        <f>IF(A86="","",COUNTIF('משימות'!$G$3:$G$122,"*"&amp;A86&amp;"*"))</f>
        <v/>
      </c>
      <c r="G86" s="34" t="n"/>
      <c r="H86" s="22">
        <f>IF(A86="","",SUMIF('היסטוריה'!$B$3:$B$3002,A86,'היסטוריה'!$E$3:$E$3002))</f>
        <v/>
      </c>
      <c r="I86" s="33" t="n"/>
    </row>
    <row r="87">
      <c r="A87" s="19" t="inlineStr">
        <is>
          <t>נוה גריינר</t>
        </is>
      </c>
      <c r="B87" s="27" t="inlineStr">
        <is>
          <t>אלול</t>
        </is>
      </c>
      <c r="C87" s="34" t="inlineStr">
        <is>
          <t>אלול</t>
        </is>
      </c>
      <c r="D87" s="34" t="inlineStr">
        <is>
          <t>כן</t>
        </is>
      </c>
      <c r="E87" s="33" t="n"/>
      <c r="F87" s="22">
        <f>IF(A87="","",COUNTIF('משימות'!$G$3:$G$122,"*"&amp;A87&amp;"*"))</f>
        <v/>
      </c>
      <c r="G87" s="34" t="n"/>
      <c r="H87" s="22">
        <f>IF(A87="","",SUMIF('היסטוריה'!$B$3:$B$3002,A87,'היסטוריה'!$E$3:$E$3002))</f>
        <v/>
      </c>
      <c r="I87" s="33" t="n"/>
    </row>
    <row r="88">
      <c r="A88" s="19" t="inlineStr">
        <is>
          <t>נעמי פונקלשטיין</t>
        </is>
      </c>
      <c r="B88" s="27" t="inlineStr">
        <is>
          <t>אלול</t>
        </is>
      </c>
      <c r="C88" s="34" t="inlineStr">
        <is>
          <t>אלול</t>
        </is>
      </c>
      <c r="D88" s="34" t="inlineStr">
        <is>
          <t>כן</t>
        </is>
      </c>
      <c r="E88" s="33" t="inlineStr">
        <is>
          <t>ארוחת צהריים שבת</t>
        </is>
      </c>
      <c r="F88" s="22">
        <f>IF(A88="","",COUNTIF('משימות'!$G$3:$G$122,"*"&amp;A88&amp;"*"))</f>
        <v/>
      </c>
      <c r="G88" s="34" t="n">
        <v>2</v>
      </c>
      <c r="H88" s="22">
        <f>IF(A88="","",SUMIF('היסטוריה'!$B$3:$B$3002,A88,'היסטוריה'!$E$3:$E$3002))</f>
        <v/>
      </c>
      <c r="I88" s="33" t="n"/>
    </row>
    <row r="89">
      <c r="A89" s="19" t="inlineStr">
        <is>
          <t>עליזה בלום</t>
        </is>
      </c>
      <c r="B89" s="27" t="inlineStr">
        <is>
          <t>אלול</t>
        </is>
      </c>
      <c r="C89" s="34" t="inlineStr">
        <is>
          <t>אלול</t>
        </is>
      </c>
      <c r="D89" s="34" t="inlineStr">
        <is>
          <t>כן</t>
        </is>
      </c>
      <c r="E89" s="33" t="n"/>
      <c r="F89" s="22">
        <f>IF(A89="","",COUNTIF('משימות'!$G$3:$G$122,"*"&amp;A89&amp;"*"))</f>
        <v/>
      </c>
      <c r="G89" s="34" t="n"/>
      <c r="H89" s="22">
        <f>IF(A89="","",SUMIF('היסטוריה'!$B$3:$B$3002,A89,'היסטוריה'!$E$3:$E$3002))</f>
        <v/>
      </c>
      <c r="I89" s="33" t="n"/>
    </row>
    <row r="90">
      <c r="A90" s="19" t="inlineStr">
        <is>
          <t>עפרי גזיאל</t>
        </is>
      </c>
      <c r="B90" s="27" t="inlineStr">
        <is>
          <t>אלול</t>
        </is>
      </c>
      <c r="C90" s="34" t="inlineStr">
        <is>
          <t>אלול</t>
        </is>
      </c>
      <c r="D90" s="34" t="inlineStr">
        <is>
          <t>כן</t>
        </is>
      </c>
      <c r="E90" s="33" t="inlineStr">
        <is>
          <t>ארוחת צהריים שבת</t>
        </is>
      </c>
      <c r="F90" s="22">
        <f>IF(A90="","",COUNTIF('משימות'!$G$3:$G$122,"*"&amp;A90&amp;"*"))</f>
        <v/>
      </c>
      <c r="G90" s="34" t="n">
        <v>2</v>
      </c>
      <c r="H90" s="22">
        <f>IF(A90="","",SUMIF('היסטוריה'!$B$3:$B$3002,A90,'היסטוריה'!$E$3:$E$3002))</f>
        <v/>
      </c>
      <c r="I90" s="33" t="n"/>
    </row>
    <row r="91">
      <c r="A91" s="19" t="inlineStr">
        <is>
          <t>עשהאל ירושלמי</t>
        </is>
      </c>
      <c r="B91" s="27" t="inlineStr">
        <is>
          <t>אלול</t>
        </is>
      </c>
      <c r="C91" s="34" t="inlineStr">
        <is>
          <t>אלול</t>
        </is>
      </c>
      <c r="D91" s="34" t="inlineStr">
        <is>
          <t>כן</t>
        </is>
      </c>
      <c r="E91" s="33" t="inlineStr">
        <is>
          <t>בית מדרש</t>
        </is>
      </c>
      <c r="F91" s="22">
        <f>IF(A91="","",COUNTIF('משימות'!$G$3:$G$122,"*"&amp;A91&amp;"*"))</f>
        <v/>
      </c>
      <c r="G91" s="34" t="n">
        <v>3</v>
      </c>
      <c r="H91" s="22">
        <f>IF(A91="","",SUMIF('היסטוריה'!$B$3:$B$3002,A91,'היסטוריה'!$E$3:$E$3002))</f>
        <v/>
      </c>
      <c r="I91" s="33" t="n"/>
    </row>
    <row r="92">
      <c r="A92" s="19" t="inlineStr">
        <is>
          <t>פרת פולס</t>
        </is>
      </c>
      <c r="B92" s="27" t="inlineStr">
        <is>
          <t>אלול</t>
        </is>
      </c>
      <c r="C92" s="34" t="inlineStr">
        <is>
          <t>אלול</t>
        </is>
      </c>
      <c r="D92" s="34" t="inlineStr">
        <is>
          <t>כן</t>
        </is>
      </c>
      <c r="E92" s="33" t="inlineStr">
        <is>
          <t>בית מדרש</t>
        </is>
      </c>
      <c r="F92" s="22">
        <f>IF(A92="","",COUNTIF('משימות'!$G$3:$G$122,"*"&amp;A92&amp;"*"))</f>
        <v/>
      </c>
      <c r="G92" s="34" t="n">
        <v>3</v>
      </c>
      <c r="H92" s="22">
        <f>IF(A92="","",SUMIF('היסטוריה'!$B$3:$B$3002,A92,'היסטוריה'!$E$3:$E$3002))</f>
        <v/>
      </c>
      <c r="I92" s="33" t="n"/>
    </row>
    <row r="93">
      <c r="A93" s="19" t="inlineStr">
        <is>
          <t>רגב שהם</t>
        </is>
      </c>
      <c r="B93" s="27" t="inlineStr">
        <is>
          <t>אלול</t>
        </is>
      </c>
      <c r="C93" s="34" t="inlineStr">
        <is>
          <t>אלול</t>
        </is>
      </c>
      <c r="D93" s="34" t="inlineStr">
        <is>
          <t>כן</t>
        </is>
      </c>
      <c r="E93" s="33" t="inlineStr">
        <is>
          <t>טיש</t>
        </is>
      </c>
      <c r="F93" s="22">
        <f>IF(A93="","",COUNTIF('משימות'!$G$3:$G$122,"*"&amp;A93&amp;"*"))</f>
        <v/>
      </c>
      <c r="G93" s="34" t="n">
        <v>1</v>
      </c>
      <c r="H93" s="22">
        <f>IF(A93="","",SUMIF('היסטוריה'!$B$3:$B$3002,A93,'היסטוריה'!$E$3:$E$3002))</f>
        <v/>
      </c>
      <c r="I93" s="33" t="n"/>
    </row>
    <row r="94">
      <c r="A94" s="19" t="inlineStr">
        <is>
          <t>רוני כהן</t>
        </is>
      </c>
      <c r="B94" s="27" t="inlineStr">
        <is>
          <t>אלול</t>
        </is>
      </c>
      <c r="C94" s="34" t="inlineStr">
        <is>
          <t>אלול</t>
        </is>
      </c>
      <c r="D94" s="34" t="inlineStr">
        <is>
          <t>כן</t>
        </is>
      </c>
      <c r="E94" s="33" t="inlineStr">
        <is>
          <t>סלט חצילים</t>
        </is>
      </c>
      <c r="F94" s="22">
        <f>IF(A94="","",COUNTIF('משימות'!$G$3:$G$122,"*"&amp;A94&amp;"*"))</f>
        <v/>
      </c>
      <c r="G94" s="34" t="n">
        <v>3</v>
      </c>
      <c r="H94" s="22">
        <f>IF(A94="","",SUMIF('היסטוריה'!$B$3:$B$3002,A94,'היסטוריה'!$E$3:$E$3002))</f>
        <v/>
      </c>
      <c r="I94" s="33" t="n"/>
    </row>
    <row r="95">
      <c r="A95" s="19" t="inlineStr">
        <is>
          <t>יובל רוזנברג</t>
        </is>
      </c>
      <c r="B95" s="27" t="inlineStr">
        <is>
          <t>אלול</t>
        </is>
      </c>
      <c r="C95" s="34" t="inlineStr">
        <is>
          <t>אלול</t>
        </is>
      </c>
      <c r="D95" s="34" t="inlineStr">
        <is>
          <t>כן</t>
        </is>
      </c>
      <c r="E95" s="33" t="inlineStr">
        <is>
          <t>בראוניז ללא גלוטן</t>
        </is>
      </c>
      <c r="F95" s="22">
        <f>IF(A95="","",COUNTIF('משימות'!$G$3:$G$122,"*"&amp;A95&amp;"*"))</f>
        <v/>
      </c>
      <c r="G95" s="34" t="n">
        <v>3</v>
      </c>
      <c r="H95" s="22">
        <f>IF(A95="","",SUMIF('היסטוריה'!$B$3:$B$3002,A95,'היסטוריה'!$E$3:$E$3002))</f>
        <v/>
      </c>
      <c r="I95" s="33" t="n"/>
    </row>
    <row r="96">
      <c r="A96" s="19" t="n"/>
      <c r="B96" s="27" t="n"/>
      <c r="C96" s="34" t="n"/>
      <c r="D96" s="34" t="n"/>
      <c r="E96" s="33" t="n"/>
      <c r="F96" s="22">
        <f>IF(A96="","",COUNTIF('משימות'!$G$3:$G$122,"*"&amp;A96&amp;"*"))</f>
        <v/>
      </c>
      <c r="G96" s="34" t="n"/>
      <c r="H96" s="22">
        <f>IF(A96="","",SUMIF('היסטוריה'!$B$3:$B$3002,A96,'היסטוריה'!$E$3:$E$3002))</f>
        <v/>
      </c>
      <c r="I96" s="33" t="n"/>
    </row>
    <row r="97">
      <c r="A97" s="19" t="n"/>
      <c r="B97" s="27" t="n"/>
      <c r="C97" s="34" t="n"/>
      <c r="D97" s="34" t="n"/>
      <c r="E97" s="33" t="n"/>
      <c r="F97" s="22">
        <f>IF(A97="","",COUNTIF('משימות'!$G$3:$G$122,"*"&amp;A97&amp;"*"))</f>
        <v/>
      </c>
      <c r="G97" s="34" t="n"/>
      <c r="H97" s="22">
        <f>IF(A97="","",SUMIF('היסטוריה'!$B$3:$B$3002,A97,'היסטוריה'!$E$3:$E$3002))</f>
        <v/>
      </c>
      <c r="I97" s="33" t="n"/>
    </row>
    <row r="98">
      <c r="A98" s="19" t="n"/>
      <c r="B98" s="27" t="n"/>
      <c r="C98" s="34" t="n"/>
      <c r="D98" s="34" t="n"/>
      <c r="E98" s="33" t="n"/>
      <c r="F98" s="22">
        <f>IF(A98="","",COUNTIF('משימות'!$G$3:$G$122,"*"&amp;A98&amp;"*"))</f>
        <v/>
      </c>
      <c r="G98" s="34" t="n"/>
      <c r="H98" s="22">
        <f>IF(A98="","",SUMIF('היסטוריה'!$B$3:$B$3002,A98,'היסטוריה'!$E$3:$E$3002))</f>
        <v/>
      </c>
      <c r="I98" s="33" t="n"/>
    </row>
    <row r="99">
      <c r="A99" s="19" t="n"/>
      <c r="B99" s="27" t="n"/>
      <c r="C99" s="34" t="n"/>
      <c r="D99" s="34" t="n"/>
      <c r="E99" s="33" t="n"/>
      <c r="F99" s="22">
        <f>IF(A99="","",COUNTIF('משימות'!$G$3:$G$122,"*"&amp;A99&amp;"*"))</f>
        <v/>
      </c>
      <c r="G99" s="34" t="n"/>
      <c r="H99" s="22">
        <f>IF(A99="","",SUMIF('היסטוריה'!$B$3:$B$3002,A99,'היסטוריה'!$E$3:$E$3002))</f>
        <v/>
      </c>
      <c r="I99" s="33" t="n"/>
    </row>
    <row r="100">
      <c r="A100" s="19" t="n"/>
      <c r="B100" s="27" t="n"/>
      <c r="C100" s="34" t="n"/>
      <c r="D100" s="34" t="n"/>
      <c r="E100" s="33" t="n"/>
      <c r="F100" s="22">
        <f>IF(A100="","",COUNTIF('משימות'!$G$3:$G$122,"*"&amp;A100&amp;"*"))</f>
        <v/>
      </c>
      <c r="G100" s="34" t="n"/>
      <c r="H100" s="22">
        <f>IF(A100="","",SUMIF('היסטוריה'!$B$3:$B$3002,A100,'היסטוריה'!$E$3:$E$3002))</f>
        <v/>
      </c>
      <c r="I100" s="33" t="n"/>
    </row>
    <row r="101">
      <c r="A101" s="19" t="n"/>
      <c r="B101" s="27" t="n"/>
      <c r="C101" s="34" t="n"/>
      <c r="D101" s="34" t="n"/>
      <c r="E101" s="33" t="n"/>
      <c r="F101" s="22">
        <f>IF(A101="","",COUNTIF('משימות'!$G$3:$G$122,"*"&amp;A101&amp;"*"))</f>
        <v/>
      </c>
      <c r="G101" s="34" t="n"/>
      <c r="H101" s="22">
        <f>IF(A101="","",SUMIF('היסטוריה'!$B$3:$B$3002,A101,'היסטוריה'!$E$3:$E$3002))</f>
        <v/>
      </c>
      <c r="I101" s="33" t="n"/>
    </row>
    <row r="102">
      <c r="A102" s="19" t="n"/>
      <c r="B102" s="27" t="n"/>
      <c r="C102" s="34" t="n"/>
      <c r="D102" s="34" t="n"/>
      <c r="E102" s="33" t="n"/>
      <c r="F102" s="22">
        <f>IF(A102="","",COUNTIF('משימות'!$G$3:$G$122,"*"&amp;A102&amp;"*"))</f>
        <v/>
      </c>
      <c r="G102" s="34" t="n"/>
      <c r="H102" s="22">
        <f>IF(A102="","",SUMIF('היסטוריה'!$B$3:$B$3002,A102,'היסטוריה'!$E$3:$E$3002))</f>
        <v/>
      </c>
      <c r="I102" s="33" t="n"/>
    </row>
    <row r="103">
      <c r="A103" s="19" t="n"/>
      <c r="B103" s="27" t="n"/>
      <c r="C103" s="34" t="n"/>
      <c r="D103" s="34" t="n"/>
      <c r="E103" s="33" t="n"/>
      <c r="F103" s="22">
        <f>IF(A103="","",COUNTIF('משימות'!$G$3:$G$122,"*"&amp;A103&amp;"*"))</f>
        <v/>
      </c>
      <c r="G103" s="34" t="n"/>
      <c r="H103" s="22">
        <f>IF(A103="","",SUMIF('היסטוריה'!$B$3:$B$3002,A103,'היסטוריה'!$E$3:$E$3002))</f>
        <v/>
      </c>
      <c r="I103" s="33" t="n"/>
    </row>
    <row r="104">
      <c r="A104" s="19" t="n"/>
      <c r="B104" s="27" t="n"/>
      <c r="C104" s="34" t="n"/>
      <c r="D104" s="34" t="n"/>
      <c r="E104" s="33" t="n"/>
      <c r="F104" s="22">
        <f>IF(A104="","",COUNTIF('משימות'!$G$3:$G$122,"*"&amp;A104&amp;"*"))</f>
        <v/>
      </c>
      <c r="G104" s="34" t="n"/>
      <c r="H104" s="22">
        <f>IF(A104="","",SUMIF('היסטוריה'!$B$3:$B$3002,A104,'היסטוריה'!$E$3:$E$3002))</f>
        <v/>
      </c>
      <c r="I104" s="33" t="n"/>
    </row>
    <row r="105">
      <c r="A105" s="19" t="n"/>
      <c r="B105" s="27" t="n"/>
      <c r="C105" s="34" t="n"/>
      <c r="D105" s="34" t="n"/>
      <c r="E105" s="33" t="n"/>
      <c r="F105" s="22">
        <f>IF(A105="","",COUNTIF('משימות'!$G$3:$G$122,"*"&amp;A105&amp;"*"))</f>
        <v/>
      </c>
      <c r="G105" s="34" t="n"/>
      <c r="H105" s="22">
        <f>IF(A105="","",SUMIF('היסטוריה'!$B$3:$B$3002,A105,'היסטוריה'!$E$3:$E$3002))</f>
        <v/>
      </c>
      <c r="I105" s="33" t="n"/>
    </row>
    <row r="106">
      <c r="A106" s="19" t="n"/>
      <c r="B106" s="27" t="n"/>
      <c r="C106" s="34" t="n"/>
      <c r="D106" s="34" t="n"/>
      <c r="E106" s="33" t="n"/>
      <c r="F106" s="22">
        <f>IF(A106="","",COUNTIF('משימות'!$G$3:$G$122,"*"&amp;A106&amp;"*"))</f>
        <v/>
      </c>
      <c r="G106" s="34" t="n"/>
      <c r="H106" s="22">
        <f>IF(A106="","",SUMIF('היסטוריה'!$B$3:$B$3002,A106,'היסטוריה'!$E$3:$E$3002))</f>
        <v/>
      </c>
      <c r="I106" s="33" t="n"/>
    </row>
    <row r="107">
      <c r="A107" s="19" t="n"/>
      <c r="B107" s="27" t="n"/>
      <c r="C107" s="34" t="n"/>
      <c r="D107" s="34" t="n"/>
      <c r="E107" s="33" t="n"/>
      <c r="F107" s="22">
        <f>IF(A107="","",COUNTIF('משימות'!$G$3:$G$122,"*"&amp;A107&amp;"*"))</f>
        <v/>
      </c>
      <c r="G107" s="34" t="n"/>
      <c r="H107" s="22">
        <f>IF(A107="","",SUMIF('היסטוריה'!$B$3:$B$3002,A107,'היסטוריה'!$E$3:$E$3002))</f>
        <v/>
      </c>
      <c r="I107" s="33" t="n"/>
    </row>
    <row r="108">
      <c r="A108" s="19" t="n"/>
      <c r="B108" s="27" t="n"/>
      <c r="C108" s="34" t="n"/>
      <c r="D108" s="34" t="n"/>
      <c r="E108" s="33" t="n"/>
      <c r="F108" s="22">
        <f>IF(A108="","",COUNTIF('משימות'!$G$3:$G$122,"*"&amp;A108&amp;"*"))</f>
        <v/>
      </c>
      <c r="G108" s="34" t="n"/>
      <c r="H108" s="22">
        <f>IF(A108="","",SUMIF('היסטוריה'!$B$3:$B$3002,A108,'היסטוריה'!$E$3:$E$3002))</f>
        <v/>
      </c>
      <c r="I108" s="33" t="n"/>
    </row>
    <row r="109">
      <c r="A109" s="19" t="n"/>
      <c r="B109" s="27" t="n"/>
      <c r="C109" s="34" t="n"/>
      <c r="D109" s="34" t="n"/>
      <c r="E109" s="33" t="n"/>
      <c r="F109" s="22">
        <f>IF(A109="","",COUNTIF('משימות'!$G$3:$G$122,"*"&amp;A109&amp;"*"))</f>
        <v/>
      </c>
      <c r="G109" s="34" t="n"/>
      <c r="H109" s="22">
        <f>IF(A109="","",SUMIF('היסטוריה'!$B$3:$B$3002,A109,'היסטוריה'!$E$3:$E$3002))</f>
        <v/>
      </c>
      <c r="I109" s="33" t="n"/>
    </row>
    <row r="110">
      <c r="A110" s="19" t="n"/>
      <c r="B110" s="27" t="n"/>
      <c r="C110" s="34" t="n"/>
      <c r="D110" s="34" t="n"/>
      <c r="E110" s="33" t="n"/>
      <c r="F110" s="22">
        <f>IF(A110="","",COUNTIF('משימות'!$G$3:$G$122,"*"&amp;A110&amp;"*"))</f>
        <v/>
      </c>
      <c r="G110" s="34" t="n"/>
      <c r="H110" s="22">
        <f>IF(A110="","",SUMIF('היסטוריה'!$B$3:$B$3002,A110,'היסטוריה'!$E$3:$E$3002))</f>
        <v/>
      </c>
      <c r="I110" s="33" t="n"/>
    </row>
    <row r="111">
      <c r="A111" s="19" t="n"/>
      <c r="B111" s="27" t="n"/>
      <c r="C111" s="34" t="n"/>
      <c r="D111" s="34" t="n"/>
      <c r="E111" s="33" t="n"/>
      <c r="F111" s="22">
        <f>IF(A111="","",COUNTIF('משימות'!$G$3:$G$122,"*"&amp;A111&amp;"*"))</f>
        <v/>
      </c>
      <c r="G111" s="34" t="n"/>
      <c r="H111" s="22">
        <f>IF(A111="","",SUMIF('היסטוריה'!$B$3:$B$3002,A111,'היסטוריה'!$E$3:$E$3002))</f>
        <v/>
      </c>
      <c r="I111" s="33" t="n"/>
    </row>
    <row r="112">
      <c r="A112" s="19" t="n"/>
      <c r="B112" s="27" t="n"/>
      <c r="C112" s="34" t="n"/>
      <c r="D112" s="34" t="n"/>
      <c r="E112" s="33" t="n"/>
      <c r="F112" s="22">
        <f>IF(A112="","",COUNTIF('משימות'!$G$3:$G$122,"*"&amp;A112&amp;"*"))</f>
        <v/>
      </c>
      <c r="G112" s="34" t="n"/>
      <c r="H112" s="22">
        <f>IF(A112="","",SUMIF('היסטוריה'!$B$3:$B$3002,A112,'היסטוריה'!$E$3:$E$3002))</f>
        <v/>
      </c>
      <c r="I112" s="33" t="n"/>
    </row>
    <row r="113">
      <c r="A113" s="19" t="n"/>
      <c r="B113" s="27" t="n"/>
      <c r="C113" s="34" t="n"/>
      <c r="D113" s="34" t="n"/>
      <c r="E113" s="33" t="n"/>
      <c r="F113" s="22">
        <f>IF(A113="","",COUNTIF('משימות'!$G$3:$G$122,"*"&amp;A113&amp;"*"))</f>
        <v/>
      </c>
      <c r="G113" s="34" t="n"/>
      <c r="H113" s="22">
        <f>IF(A113="","",SUMIF('היסטוריה'!$B$3:$B$3002,A113,'היסטוריה'!$E$3:$E$3002))</f>
        <v/>
      </c>
      <c r="I113" s="33" t="n"/>
    </row>
    <row r="114">
      <c r="A114" s="19" t="n"/>
      <c r="B114" s="27" t="n"/>
      <c r="C114" s="34" t="n"/>
      <c r="D114" s="34" t="n"/>
      <c r="E114" s="33" t="n"/>
      <c r="F114" s="22">
        <f>IF(A114="","",COUNTIF('משימות'!$G$3:$G$122,"*"&amp;A114&amp;"*"))</f>
        <v/>
      </c>
      <c r="G114" s="34" t="n"/>
      <c r="H114" s="22">
        <f>IF(A114="","",SUMIF('היסטוריה'!$B$3:$B$3002,A114,'היסטוריה'!$E$3:$E$3002))</f>
        <v/>
      </c>
      <c r="I114" s="33" t="n"/>
    </row>
    <row r="115">
      <c r="A115" s="19" t="n"/>
      <c r="B115" s="27" t="n"/>
      <c r="C115" s="34" t="n"/>
      <c r="D115" s="34" t="n"/>
      <c r="E115" s="33" t="n"/>
      <c r="F115" s="22">
        <f>IF(A115="","",COUNTIF('משימות'!$G$3:$G$122,"*"&amp;A115&amp;"*"))</f>
        <v/>
      </c>
      <c r="G115" s="34" t="n"/>
      <c r="H115" s="22">
        <f>IF(A115="","",SUMIF('היסטוריה'!$B$3:$B$3002,A115,'היסטוריה'!$E$3:$E$3002))</f>
        <v/>
      </c>
      <c r="I115" s="33" t="n"/>
    </row>
    <row r="116">
      <c r="A116" s="19" t="n"/>
      <c r="B116" s="27" t="n"/>
      <c r="C116" s="34" t="n"/>
      <c r="D116" s="34" t="n"/>
      <c r="E116" s="33" t="n"/>
      <c r="F116" s="22">
        <f>IF(A116="","",COUNTIF('משימות'!$G$3:$G$122,"*"&amp;A116&amp;"*"))</f>
        <v/>
      </c>
      <c r="G116" s="34" t="n"/>
      <c r="H116" s="22">
        <f>IF(A116="","",SUMIF('היסטוריה'!$B$3:$B$3002,A116,'היסטוריה'!$E$3:$E$3002))</f>
        <v/>
      </c>
      <c r="I116" s="33" t="n"/>
    </row>
    <row r="117">
      <c r="A117" s="19" t="n"/>
      <c r="B117" s="27" t="n"/>
      <c r="C117" s="34" t="n"/>
      <c r="D117" s="34" t="n"/>
      <c r="E117" s="33" t="n"/>
      <c r="F117" s="22">
        <f>IF(A117="","",COUNTIF('משימות'!$G$3:$G$122,"*"&amp;A117&amp;"*"))</f>
        <v/>
      </c>
      <c r="G117" s="34" t="n"/>
      <c r="H117" s="22">
        <f>IF(A117="","",SUMIF('היסטוריה'!$B$3:$B$3002,A117,'היסטוריה'!$E$3:$E$3002))</f>
        <v/>
      </c>
      <c r="I117" s="33" t="n"/>
    </row>
    <row r="118">
      <c r="A118" s="19" t="n"/>
      <c r="B118" s="27" t="n"/>
      <c r="C118" s="34" t="n"/>
      <c r="D118" s="34" t="n"/>
      <c r="E118" s="33" t="n"/>
      <c r="F118" s="22">
        <f>IF(A118="","",COUNTIF('משימות'!$G$3:$G$122,"*"&amp;A118&amp;"*"))</f>
        <v/>
      </c>
      <c r="G118" s="34" t="n"/>
      <c r="H118" s="22">
        <f>IF(A118="","",SUMIF('היסטוריה'!$B$3:$B$3002,A118,'היסטוריה'!$E$3:$E$3002))</f>
        <v/>
      </c>
      <c r="I118" s="33" t="n"/>
    </row>
    <row r="119">
      <c r="A119" s="19" t="n"/>
      <c r="B119" s="27" t="n"/>
      <c r="C119" s="34" t="n"/>
      <c r="D119" s="34" t="n"/>
      <c r="E119" s="33" t="n"/>
      <c r="F119" s="22">
        <f>IF(A119="","",COUNTIF('משימות'!$G$3:$G$122,"*"&amp;A119&amp;"*"))</f>
        <v/>
      </c>
      <c r="G119" s="34" t="n"/>
      <c r="H119" s="22">
        <f>IF(A119="","",SUMIF('היסטוריה'!$B$3:$B$3002,A119,'היסטוריה'!$E$3:$E$3002))</f>
        <v/>
      </c>
      <c r="I119" s="33" t="n"/>
    </row>
    <row r="120">
      <c r="A120" s="19" t="n"/>
      <c r="B120" s="27" t="n"/>
      <c r="C120" s="34" t="n"/>
      <c r="D120" s="34" t="n"/>
      <c r="E120" s="33" t="n"/>
      <c r="F120" s="22">
        <f>IF(A120="","",COUNTIF('משימות'!$G$3:$G$122,"*"&amp;A120&amp;"*"))</f>
        <v/>
      </c>
      <c r="G120" s="34" t="n"/>
      <c r="H120" s="22">
        <f>IF(A120="","",SUMIF('היסטוריה'!$B$3:$B$3002,A120,'היסטוריה'!$E$3:$E$3002))</f>
        <v/>
      </c>
      <c r="I120" s="33" t="n"/>
    </row>
    <row r="121">
      <c r="A121" s="19" t="n"/>
      <c r="B121" s="27" t="n"/>
      <c r="C121" s="34" t="n"/>
      <c r="D121" s="34" t="n"/>
      <c r="E121" s="33" t="n"/>
      <c r="F121" s="22">
        <f>IF(A121="","",COUNTIF('משימות'!$G$3:$G$122,"*"&amp;A121&amp;"*"))</f>
        <v/>
      </c>
      <c r="G121" s="34" t="n"/>
      <c r="H121" s="22">
        <f>IF(A121="","",SUMIF('היסטוריה'!$B$3:$B$3002,A121,'היסטוריה'!$E$3:$E$3002))</f>
        <v/>
      </c>
      <c r="I121" s="33" t="n"/>
    </row>
    <row r="122">
      <c r="A122" s="19" t="n"/>
      <c r="B122" s="27" t="n"/>
      <c r="C122" s="34" t="n"/>
      <c r="D122" s="34" t="n"/>
      <c r="E122" s="33" t="n"/>
      <c r="F122" s="22">
        <f>IF(A122="","",COUNTIF('משימות'!$G$3:$G$122,"*"&amp;A122&amp;"*"))</f>
        <v/>
      </c>
      <c r="G122" s="34" t="n"/>
      <c r="H122" s="22">
        <f>IF(A122="","",SUMIF('היסטוריה'!$B$3:$B$3002,A122,'היסטוריה'!$E$3:$E$3002))</f>
        <v/>
      </c>
      <c r="I122" s="33" t="n"/>
    </row>
    <row r="123">
      <c r="A123" s="19" t="n"/>
      <c r="B123" s="27" t="n"/>
      <c r="C123" s="34" t="n"/>
      <c r="D123" s="34" t="n"/>
      <c r="E123" s="33" t="n"/>
      <c r="F123" s="22">
        <f>IF(A123="","",COUNTIF('משימות'!$G$3:$G$122,"*"&amp;A123&amp;"*"))</f>
        <v/>
      </c>
      <c r="G123" s="34" t="n"/>
      <c r="H123" s="22">
        <f>IF(A123="","",SUMIF('היסטוריה'!$B$3:$B$3002,A123,'היסטוריה'!$E$3:$E$3002))</f>
        <v/>
      </c>
      <c r="I123" s="33" t="n"/>
    </row>
    <row r="124">
      <c r="A124" s="19" t="n"/>
      <c r="B124" s="27" t="n"/>
      <c r="C124" s="34" t="n"/>
      <c r="D124" s="34" t="n"/>
      <c r="E124" s="33" t="n"/>
      <c r="F124" s="22">
        <f>IF(A124="","",COUNTIF('משימות'!$G$3:$G$122,"*"&amp;A124&amp;"*"))</f>
        <v/>
      </c>
      <c r="G124" s="34" t="n"/>
      <c r="H124" s="22">
        <f>IF(A124="","",SUMIF('היסטוריה'!$B$3:$B$3002,A124,'היסטוריה'!$E$3:$E$3002))</f>
        <v/>
      </c>
      <c r="I124" s="33" t="n"/>
    </row>
    <row r="125">
      <c r="A125" s="19" t="n"/>
      <c r="B125" s="27" t="n"/>
      <c r="C125" s="34" t="n"/>
      <c r="D125" s="34" t="n"/>
      <c r="E125" s="33" t="n"/>
      <c r="F125" s="22">
        <f>IF(A125="","",COUNTIF('משימות'!$G$3:$G$122,"*"&amp;A125&amp;"*"))</f>
        <v/>
      </c>
      <c r="G125" s="34" t="n"/>
      <c r="H125" s="22">
        <f>IF(A125="","",SUMIF('היסטוריה'!$B$3:$B$3002,A125,'היסטוריה'!$E$3:$E$3002))</f>
        <v/>
      </c>
      <c r="I125" s="33" t="n"/>
    </row>
    <row r="126">
      <c r="A126" s="19" t="n"/>
      <c r="B126" s="27" t="n"/>
      <c r="C126" s="34" t="n"/>
      <c r="D126" s="34" t="n"/>
      <c r="E126" s="33" t="n"/>
      <c r="F126" s="22">
        <f>IF(A126="","",COUNTIF('משימות'!$G$3:$G$122,"*"&amp;A126&amp;"*"))</f>
        <v/>
      </c>
      <c r="G126" s="34" t="n"/>
      <c r="H126" s="22">
        <f>IF(A126="","",SUMIF('היסטוריה'!$B$3:$B$3002,A126,'היסטוריה'!$E$3:$E$3002))</f>
        <v/>
      </c>
      <c r="I126" s="33" t="n"/>
    </row>
    <row r="127">
      <c r="A127" s="19" t="n"/>
      <c r="B127" s="27" t="n"/>
      <c r="C127" s="34" t="n"/>
      <c r="D127" s="34" t="n"/>
      <c r="E127" s="33" t="n"/>
      <c r="F127" s="22">
        <f>IF(A127="","",COUNTIF('משימות'!$G$3:$G$122,"*"&amp;A127&amp;"*"))</f>
        <v/>
      </c>
      <c r="G127" s="34" t="n"/>
      <c r="H127" s="22">
        <f>IF(A127="","",SUMIF('היסטוריה'!$B$3:$B$3002,A127,'היסטוריה'!$E$3:$E$3002))</f>
        <v/>
      </c>
      <c r="I127" s="33" t="n"/>
    </row>
    <row r="128">
      <c r="A128" s="19" t="n"/>
      <c r="B128" s="27" t="n"/>
      <c r="C128" s="34" t="n"/>
      <c r="D128" s="34" t="n"/>
      <c r="E128" s="33" t="n"/>
      <c r="F128" s="22">
        <f>IF(A128="","",COUNTIF('משימות'!$G$3:$G$122,"*"&amp;A128&amp;"*"))</f>
        <v/>
      </c>
      <c r="G128" s="34" t="n"/>
      <c r="H128" s="22">
        <f>IF(A128="","",SUMIF('היסטוריה'!$B$3:$B$3002,A128,'היסטוריה'!$E$3:$E$3002))</f>
        <v/>
      </c>
      <c r="I128" s="33" t="n"/>
    </row>
    <row r="129">
      <c r="A129" s="19" t="n"/>
      <c r="B129" s="27" t="n"/>
      <c r="C129" s="34" t="n"/>
      <c r="D129" s="34" t="n"/>
      <c r="E129" s="33" t="n"/>
      <c r="F129" s="22">
        <f>IF(A129="","",COUNTIF('משימות'!$G$3:$G$122,"*"&amp;A129&amp;"*"))</f>
        <v/>
      </c>
      <c r="G129" s="34" t="n"/>
      <c r="H129" s="22">
        <f>IF(A129="","",SUMIF('היסטוריה'!$B$3:$B$3002,A129,'היסטוריה'!$E$3:$E$3002))</f>
        <v/>
      </c>
      <c r="I129" s="33" t="n"/>
    </row>
    <row r="130">
      <c r="A130" s="19" t="n"/>
      <c r="B130" s="27" t="n"/>
      <c r="C130" s="34" t="n"/>
      <c r="D130" s="34" t="n"/>
      <c r="E130" s="33" t="n"/>
      <c r="F130" s="22">
        <f>IF(A130="","",COUNTIF('משימות'!$G$3:$G$122,"*"&amp;A130&amp;"*"))</f>
        <v/>
      </c>
      <c r="G130" s="34" t="n"/>
      <c r="H130" s="22">
        <f>IF(A130="","",SUMIF('היסטוריה'!$B$3:$B$3002,A130,'היסטוריה'!$E$3:$E$3002))</f>
        <v/>
      </c>
      <c r="I130" s="33" t="n"/>
    </row>
    <row r="131">
      <c r="A131" s="19" t="n"/>
      <c r="B131" s="27" t="n"/>
      <c r="C131" s="34" t="n"/>
      <c r="D131" s="34" t="n"/>
      <c r="E131" s="33" t="n"/>
      <c r="F131" s="22">
        <f>IF(A131="","",COUNTIF('משימות'!$G$3:$G$122,"*"&amp;A131&amp;"*"))</f>
        <v/>
      </c>
      <c r="G131" s="34" t="n"/>
      <c r="H131" s="22">
        <f>IF(A131="","",SUMIF('היסטוריה'!$B$3:$B$3002,A131,'היסטוריה'!$E$3:$E$3002))</f>
        <v/>
      </c>
      <c r="I131" s="33" t="n"/>
    </row>
    <row r="132">
      <c r="A132" s="19" t="n"/>
      <c r="B132" s="27" t="n"/>
      <c r="C132" s="34" t="n"/>
      <c r="D132" s="34" t="n"/>
      <c r="E132" s="33" t="n"/>
      <c r="F132" s="22">
        <f>IF(A132="","",COUNTIF('משימות'!$G$3:$G$122,"*"&amp;A132&amp;"*"))</f>
        <v/>
      </c>
      <c r="G132" s="34" t="n"/>
      <c r="H132" s="22">
        <f>IF(A132="","",SUMIF('היסטוריה'!$B$3:$B$3002,A132,'היסטוריה'!$E$3:$E$3002))</f>
        <v/>
      </c>
      <c r="I132" s="33" t="n"/>
    </row>
    <row r="133"/>
    <row r="134" ht="28" customHeight="1">
      <c r="A134" s="25" t="inlineStr">
        <is>
          <t>חבורה, זמינות, קבוצות השבת וניקוד השבת נכתבים ע"י השיבוץ מרשימת הנוכחות. «משימות השבת» נספר מ«משימות»; «ניקוד מצטבר» מסוכם מ«היסטוריה» (כל השבתות).</t>
        </is>
      </c>
    </row>
  </sheetData>
  <mergeCells count="2">
    <mergeCell ref="A1:I1"/>
    <mergeCell ref="A134:I134"/>
  </mergeCells>
  <dataValidations count="1">
    <dataValidation sqref="D3:D132" showDropDown="0" showInputMessage="0" showErrorMessage="0" allowBlank="1" type="list">
      <formula1>"כן,לא"</formula1>
    </dataValidation>
  </dataValidations>
  <pageMargins left="0.75" right="0.75" top="1" bottom="1" header="0.5" footer="0.5"/>
  <pageSetup paperSize="9" fitToHeight="0" fitToWidth="1"/>
</worksheet>
</file>

<file path=xl/worksheets/sheet6.xml><?xml version="1.0" encoding="utf-8"?>
<worksheet xmlns="http://schemas.openxmlformats.org/spreadsheetml/2006/main">
  <sheetPr>
    <tabColor rgb="003BA48C"/>
    <outlinePr summaryBelow="1" summaryRight="1"/>
    <pageSetUpPr fitToPage="1"/>
  </sheetPr>
  <dimension ref="A1:F99"/>
  <sheetViews>
    <sheetView showGridLines="0" rightToLeft="1" workbookViewId="0">
      <pane ySplit="2" topLeftCell="A3" activePane="bottomLeft" state="frozen"/>
      <selection pane="bottomLeft" activeCell="A1" sqref="A1"/>
    </sheetView>
  </sheetViews>
  <sheetFormatPr baseColWidth="8" defaultRowHeight="15"/>
  <cols>
    <col width="13" customWidth="1" min="1" max="1"/>
    <col width="28" customWidth="1" min="2" max="2"/>
    <col width="16" customWidth="1" min="3" max="3"/>
    <col width="30" customWidth="1" min="4" max="4"/>
    <col width="9" customWidth="1" min="5" max="5"/>
  </cols>
  <sheetData>
    <row r="1" ht="36" customHeight="1">
      <c r="A1" s="26" t="inlineStr">
        <is>
          <t>היסטוריית תורנויות — רשומה לכל תורנות של כל חניך</t>
        </is>
      </c>
    </row>
    <row r="2" ht="24" customHeight="1">
      <c r="A2" s="9" t="inlineStr">
        <is>
          <t>תאריך</t>
        </is>
      </c>
      <c r="B2" s="9" t="inlineStr">
        <is>
          <t>שם</t>
        </is>
      </c>
      <c r="C2" s="9" t="inlineStr">
        <is>
          <t>שלב</t>
        </is>
      </c>
      <c r="D2" s="9" t="inlineStr">
        <is>
          <t>קבוצה</t>
        </is>
      </c>
      <c r="E2" s="9" t="inlineStr">
        <is>
          <t>ניקוד</t>
        </is>
      </c>
    </row>
    <row r="3">
      <c r="A3" s="43" t="n">
        <v>46269</v>
      </c>
      <c r="B3" s="44" t="inlineStr">
        <is>
          <t>אוריה תעשה</t>
        </is>
      </c>
      <c r="C3" s="45" t="inlineStr">
        <is>
          <t>הכנות שישי</t>
        </is>
      </c>
      <c r="D3" s="44" t="inlineStr">
        <is>
          <t>ארוחת צהריים שישי</t>
        </is>
      </c>
      <c r="E3" s="45" t="n">
        <v>3</v>
      </c>
    </row>
    <row r="4">
      <c r="A4" s="43" t="n">
        <v>46269</v>
      </c>
      <c r="B4" s="44" t="inlineStr">
        <is>
          <t>ינון לוי</t>
        </is>
      </c>
      <c r="C4" s="45" t="inlineStr">
        <is>
          <t>הכנות שישי</t>
        </is>
      </c>
      <c r="D4" s="44" t="inlineStr">
        <is>
          <t>ארוחת צהריים שישי</t>
        </is>
      </c>
      <c r="E4" s="45" t="n">
        <v>3</v>
      </c>
    </row>
    <row r="5">
      <c r="A5" s="43" t="n">
        <v>46269</v>
      </c>
      <c r="B5" s="44" t="inlineStr">
        <is>
          <t>ליעם גבע</t>
        </is>
      </c>
      <c r="C5" s="45" t="inlineStr">
        <is>
          <t>הכנות שישי</t>
        </is>
      </c>
      <c r="D5" s="44" t="inlineStr">
        <is>
          <t>ארוחת צהריים שישי</t>
        </is>
      </c>
      <c r="E5" s="45" t="n">
        <v>3</v>
      </c>
    </row>
    <row r="6">
      <c r="A6" s="43" t="n">
        <v>46269</v>
      </c>
      <c r="B6" s="44" t="inlineStr">
        <is>
          <t>שי- לי וולגמוט</t>
        </is>
      </c>
      <c r="C6" s="45" t="inlineStr">
        <is>
          <t>הכנות שישי</t>
        </is>
      </c>
      <c r="D6" s="44" t="inlineStr">
        <is>
          <t>ארוחת צהריים שישי</t>
        </is>
      </c>
      <c r="E6" s="45" t="n">
        <v>3</v>
      </c>
    </row>
    <row r="7">
      <c r="A7" s="43" t="n">
        <v>46269</v>
      </c>
      <c r="B7" s="44" t="inlineStr">
        <is>
          <t>אביה וייל</t>
        </is>
      </c>
      <c r="C7" s="45" t="inlineStr">
        <is>
          <t>הכנות שישי</t>
        </is>
      </c>
      <c r="D7" s="44" t="inlineStr">
        <is>
          <t>עוגות · צוות יותם</t>
        </is>
      </c>
      <c r="E7" s="45" t="n">
        <v>3</v>
      </c>
    </row>
    <row r="8">
      <c r="A8" s="43" t="n">
        <v>46269</v>
      </c>
      <c r="B8" s="44" t="inlineStr">
        <is>
          <t>יואב אוחנה</t>
        </is>
      </c>
      <c r="C8" s="45" t="inlineStr">
        <is>
          <t>הכנות שישי</t>
        </is>
      </c>
      <c r="D8" s="44" t="inlineStr">
        <is>
          <t>עוגות · צוות יותם</t>
        </is>
      </c>
      <c r="E8" s="45" t="n">
        <v>3</v>
      </c>
    </row>
    <row r="9">
      <c r="A9" s="43" t="n">
        <v>46269</v>
      </c>
      <c r="B9" s="44" t="inlineStr">
        <is>
          <t>יותם ספיר</t>
        </is>
      </c>
      <c r="C9" s="45" t="inlineStr">
        <is>
          <t>הכנות שישי</t>
        </is>
      </c>
      <c r="D9" s="44" t="inlineStr">
        <is>
          <t>עוגות · צוות יותם</t>
        </is>
      </c>
      <c r="E9" s="45" t="n">
        <v>3</v>
      </c>
    </row>
    <row r="10">
      <c r="A10" s="43" t="n">
        <v>46269</v>
      </c>
      <c r="B10" s="44" t="inlineStr">
        <is>
          <t>כליל בלאוקופף</t>
        </is>
      </c>
      <c r="C10" s="45" t="inlineStr">
        <is>
          <t>הכנות שישי</t>
        </is>
      </c>
      <c r="D10" s="44" t="inlineStr">
        <is>
          <t>עוגות · צוות סהר</t>
        </is>
      </c>
      <c r="E10" s="45" t="n">
        <v>3</v>
      </c>
    </row>
    <row r="11">
      <c r="A11" s="43" t="n">
        <v>46269</v>
      </c>
      <c r="B11" s="44" t="inlineStr">
        <is>
          <t>נוה גריינר</t>
        </is>
      </c>
      <c r="C11" s="45" t="inlineStr">
        <is>
          <t>הכנות שישי</t>
        </is>
      </c>
      <c r="D11" s="44" t="inlineStr">
        <is>
          <t>עוגות · צוות סהר</t>
        </is>
      </c>
      <c r="E11" s="45" t="n">
        <v>3</v>
      </c>
    </row>
    <row r="12">
      <c r="A12" s="43" t="n">
        <v>46269</v>
      </c>
      <c r="B12" s="44" t="inlineStr">
        <is>
          <t>סהר שירון</t>
        </is>
      </c>
      <c r="C12" s="45" t="inlineStr">
        <is>
          <t>הכנות שישי</t>
        </is>
      </c>
      <c r="D12" s="44" t="inlineStr">
        <is>
          <t>עוגות · צוות סהר</t>
        </is>
      </c>
      <c r="E12" s="45" t="n">
        <v>3</v>
      </c>
    </row>
    <row r="13">
      <c r="A13" s="43" t="n">
        <v>46269</v>
      </c>
      <c r="B13" s="44" t="inlineStr">
        <is>
          <t>הילה עזרא</t>
        </is>
      </c>
      <c r="C13" s="45" t="inlineStr">
        <is>
          <t>הכנות שישי</t>
        </is>
      </c>
      <c r="D13" s="44" t="inlineStr">
        <is>
          <t>עוגות · צוות רותם</t>
        </is>
      </c>
      <c r="E13" s="45" t="n">
        <v>3</v>
      </c>
    </row>
    <row r="14">
      <c r="A14" s="43" t="n">
        <v>46269</v>
      </c>
      <c r="B14" s="44" t="inlineStr">
        <is>
          <t>יאר אלפסי</t>
        </is>
      </c>
      <c r="C14" s="45" t="inlineStr">
        <is>
          <t>הכנות שישי</t>
        </is>
      </c>
      <c r="D14" s="44" t="inlineStr">
        <is>
          <t>עוגות · צוות רותם</t>
        </is>
      </c>
      <c r="E14" s="45" t="n">
        <v>3</v>
      </c>
    </row>
    <row r="15">
      <c r="A15" s="43" t="n">
        <v>46269</v>
      </c>
      <c r="B15" s="44" t="inlineStr">
        <is>
          <t>רותם דרור</t>
        </is>
      </c>
      <c r="C15" s="45" t="inlineStr">
        <is>
          <t>הכנות שישי</t>
        </is>
      </c>
      <c r="D15" s="44" t="inlineStr">
        <is>
          <t>עוגות · צוות רותם</t>
        </is>
      </c>
      <c r="E15" s="45" t="n">
        <v>3</v>
      </c>
    </row>
    <row r="16">
      <c r="A16" s="43" t="n">
        <v>46269</v>
      </c>
      <c r="B16" s="44" t="inlineStr">
        <is>
          <t>רוני פרנקל</t>
        </is>
      </c>
      <c r="C16" s="45" t="inlineStr">
        <is>
          <t>הכנות שישי</t>
        </is>
      </c>
      <c r="D16" s="44" t="inlineStr">
        <is>
          <t>עוגות · צוות שילת</t>
        </is>
      </c>
      <c r="E16" s="45" t="n">
        <v>3</v>
      </c>
    </row>
    <row r="17">
      <c r="A17" s="43" t="n">
        <v>46269</v>
      </c>
      <c r="B17" s="44" t="inlineStr">
        <is>
          <t>שילת פילפל</t>
        </is>
      </c>
      <c r="C17" s="45" t="inlineStr">
        <is>
          <t>הכנות שישי</t>
        </is>
      </c>
      <c r="D17" s="44" t="inlineStr">
        <is>
          <t>עוגות · צוות שילת</t>
        </is>
      </c>
      <c r="E17" s="45" t="n">
        <v>3</v>
      </c>
    </row>
    <row r="18">
      <c r="A18" s="43" t="n">
        <v>46269</v>
      </c>
      <c r="B18" s="44" t="inlineStr">
        <is>
          <t>אריאלה מרכוס</t>
        </is>
      </c>
      <c r="C18" s="45" t="inlineStr">
        <is>
          <t>תורנות שבת</t>
        </is>
      </c>
      <c r="D18" s="44" t="inlineStr">
        <is>
          <t>בית מדרש · ארוחת ערב וטיש</t>
        </is>
      </c>
      <c r="E18" s="45" t="n">
        <v>2</v>
      </c>
    </row>
    <row r="19">
      <c r="A19" s="43" t="n">
        <v>46269</v>
      </c>
      <c r="B19" s="44" t="inlineStr">
        <is>
          <t>דנה שם טוב</t>
        </is>
      </c>
      <c r="C19" s="45" t="inlineStr">
        <is>
          <t>תורנות שבת</t>
        </is>
      </c>
      <c r="D19" s="44" t="inlineStr">
        <is>
          <t>בית מדרש · ארוחת ערב וטיש</t>
        </is>
      </c>
      <c r="E19" s="45" t="n">
        <v>2</v>
      </c>
    </row>
    <row r="20">
      <c r="A20" s="43" t="n">
        <v>46269</v>
      </c>
      <c r="B20" s="44" t="inlineStr">
        <is>
          <t>יערה ריס</t>
        </is>
      </c>
      <c r="C20" s="45" t="inlineStr">
        <is>
          <t>תורנות שבת</t>
        </is>
      </c>
      <c r="D20" s="44" t="inlineStr">
        <is>
          <t>בית מדרש · ארוחת ערב וטיש</t>
        </is>
      </c>
      <c r="E20" s="45" t="n">
        <v>2</v>
      </c>
    </row>
    <row r="21">
      <c r="A21" s="43" t="n">
        <v>46269</v>
      </c>
      <c r="B21" s="44" t="inlineStr">
        <is>
          <t>מאיה פקטר</t>
        </is>
      </c>
      <c r="C21" s="45" t="inlineStr">
        <is>
          <t>תורנות שבת</t>
        </is>
      </c>
      <c r="D21" s="44" t="inlineStr">
        <is>
          <t>בית מדרש · ארוחת ערב וטיש</t>
        </is>
      </c>
      <c r="E21" s="45" t="n">
        <v>2</v>
      </c>
    </row>
    <row r="22">
      <c r="A22" s="43" t="n">
        <v>46269</v>
      </c>
      <c r="B22" s="44" t="inlineStr">
        <is>
          <t>נדב טוקר</t>
        </is>
      </c>
      <c r="C22" s="45" t="inlineStr">
        <is>
          <t>תורנות שבת</t>
        </is>
      </c>
      <c r="D22" s="44" t="inlineStr">
        <is>
          <t>בית מדרש · ארוחת ערב וטיש</t>
        </is>
      </c>
      <c r="E22" s="45" t="n">
        <v>2</v>
      </c>
    </row>
    <row r="23">
      <c r="A23" s="43" t="n">
        <v>46269</v>
      </c>
      <c r="B23" s="44" t="inlineStr">
        <is>
          <t>נועם גלס</t>
        </is>
      </c>
      <c r="C23" s="45" t="inlineStr">
        <is>
          <t>תורנות שבת</t>
        </is>
      </c>
      <c r="D23" s="44" t="inlineStr">
        <is>
          <t>בית מדרש · ארוחת ערב וטיש</t>
        </is>
      </c>
      <c r="E23" s="45" t="n">
        <v>2</v>
      </c>
    </row>
    <row r="24">
      <c r="A24" s="43" t="n">
        <v>46269</v>
      </c>
      <c r="B24" s="44" t="inlineStr">
        <is>
          <t>ניתאי שלום</t>
        </is>
      </c>
      <c r="C24" s="45" t="inlineStr">
        <is>
          <t>תורנות שבת</t>
        </is>
      </c>
      <c r="D24" s="44" t="inlineStr">
        <is>
          <t>בית מדרש · ארוחת ערב וטיש</t>
        </is>
      </c>
      <c r="E24" s="45" t="n">
        <v>2</v>
      </c>
    </row>
    <row r="25">
      <c r="A25" s="43" t="n">
        <v>46269</v>
      </c>
      <c r="B25" s="44" t="inlineStr">
        <is>
          <t>עליזה בלום</t>
        </is>
      </c>
      <c r="C25" s="45" t="inlineStr">
        <is>
          <t>תורנות שבת</t>
        </is>
      </c>
      <c r="D25" s="44" t="inlineStr">
        <is>
          <t>בית מדרש · ארוחת ערב וטיש</t>
        </is>
      </c>
      <c r="E25" s="45" t="n">
        <v>2</v>
      </c>
    </row>
    <row r="26">
      <c r="A26" s="43" t="n">
        <v>46269</v>
      </c>
      <c r="B26" s="44" t="inlineStr">
        <is>
          <t>עמית סיילס</t>
        </is>
      </c>
      <c r="C26" s="45" t="inlineStr">
        <is>
          <t>תורנות שבת</t>
        </is>
      </c>
      <c r="D26" s="44" t="inlineStr">
        <is>
          <t>בית מדרש · ארוחת ערב וטיש</t>
        </is>
      </c>
      <c r="E26" s="45" t="n">
        <v>2</v>
      </c>
    </row>
    <row r="27">
      <c r="A27" s="43" t="n">
        <v>46269</v>
      </c>
      <c r="B27" s="44" t="inlineStr">
        <is>
          <t>שחר קרן</t>
        </is>
      </c>
      <c r="C27" s="45" t="inlineStr">
        <is>
          <t>תורנות שבת</t>
        </is>
      </c>
      <c r="D27" s="44" t="inlineStr">
        <is>
          <t>בית מדרש · ארוחת ערב וטיש</t>
        </is>
      </c>
      <c r="E27" s="45" t="n">
        <v>2</v>
      </c>
    </row>
    <row r="28">
      <c r="A28" s="43" t="n">
        <v>46269</v>
      </c>
      <c r="B28" s="44" t="inlineStr">
        <is>
          <t>אלון דיין</t>
        </is>
      </c>
      <c r="C28" s="45" t="inlineStr">
        <is>
          <t>תורנות שבת</t>
        </is>
      </c>
      <c r="D28" s="44" t="inlineStr">
        <is>
          <t>בית מדרש · צהריים בשבת</t>
        </is>
      </c>
      <c r="E28" s="45" t="n">
        <v>2</v>
      </c>
    </row>
    <row r="29">
      <c r="A29" s="43" t="n">
        <v>46269</v>
      </c>
      <c r="B29" s="44" t="inlineStr">
        <is>
          <t>יעל קהת</t>
        </is>
      </c>
      <c r="C29" s="45" t="inlineStr">
        <is>
          <t>תורנות שבת</t>
        </is>
      </c>
      <c r="D29" s="44" t="inlineStr">
        <is>
          <t>בית מדרש · צהריים בשבת</t>
        </is>
      </c>
      <c r="E29" s="45" t="n">
        <v>2</v>
      </c>
    </row>
    <row r="30">
      <c r="A30" s="43" t="n">
        <v>46269</v>
      </c>
      <c r="B30" s="44" t="inlineStr">
        <is>
          <t>נגה שוהם</t>
        </is>
      </c>
      <c r="C30" s="45" t="inlineStr">
        <is>
          <t>תורנות שבת</t>
        </is>
      </c>
      <c r="D30" s="44" t="inlineStr">
        <is>
          <t>בית מדרש · צהריים בשבת</t>
        </is>
      </c>
      <c r="E30" s="45" t="n">
        <v>2</v>
      </c>
    </row>
    <row r="31">
      <c r="A31" s="43" t="n">
        <v>46269</v>
      </c>
      <c r="B31" s="44" t="inlineStr">
        <is>
          <t>עפרי גזיאל</t>
        </is>
      </c>
      <c r="C31" s="45" t="inlineStr">
        <is>
          <t>תורנות שבת</t>
        </is>
      </c>
      <c r="D31" s="44" t="inlineStr">
        <is>
          <t>בית מדרש · צהריים בשבת</t>
        </is>
      </c>
      <c r="E31" s="45" t="n">
        <v>2</v>
      </c>
    </row>
    <row r="32">
      <c r="A32" s="43" t="n">
        <v>46269</v>
      </c>
      <c r="B32" s="44" t="inlineStr">
        <is>
          <t>קובי סמייסון</t>
        </is>
      </c>
      <c r="C32" s="45" t="inlineStr">
        <is>
          <t>תורנות שבת</t>
        </is>
      </c>
      <c r="D32" s="44" t="inlineStr">
        <is>
          <t>בית מדרש · צהריים בשבת</t>
        </is>
      </c>
      <c r="E32" s="45" t="n">
        <v>2</v>
      </c>
    </row>
    <row r="33">
      <c r="A33" s="43" t="n">
        <v>46269</v>
      </c>
      <c r="B33" s="44" t="inlineStr">
        <is>
          <t>אחיה נחמני</t>
        </is>
      </c>
      <c r="C33" s="45" t="inlineStr">
        <is>
          <t>תורנות שבת</t>
        </is>
      </c>
      <c r="D33" s="44" t="inlineStr">
        <is>
          <t>בית מדרש · קידוש</t>
        </is>
      </c>
      <c r="E33" s="45" t="n">
        <v>1</v>
      </c>
    </row>
    <row r="34">
      <c r="A34" s="43" t="n">
        <v>46269</v>
      </c>
      <c r="B34" s="44" t="inlineStr">
        <is>
          <t>יעל ברחד</t>
        </is>
      </c>
      <c r="C34" s="45" t="inlineStr">
        <is>
          <t>תורנות שבת</t>
        </is>
      </c>
      <c r="D34" s="44" t="inlineStr">
        <is>
          <t>בית מדרש · קידוש</t>
        </is>
      </c>
      <c r="E34" s="45" t="n">
        <v>1</v>
      </c>
    </row>
    <row r="35">
      <c r="A35" s="43" t="n">
        <v>46269</v>
      </c>
      <c r="B35" s="44" t="inlineStr">
        <is>
          <t>ליאור שימרלינג</t>
        </is>
      </c>
      <c r="C35" s="45" t="inlineStr">
        <is>
          <t>תורנות שבת</t>
        </is>
      </c>
      <c r="D35" s="44" t="inlineStr">
        <is>
          <t>בית מדרש · קידוש</t>
        </is>
      </c>
      <c r="E35" s="45" t="n">
        <v>1</v>
      </c>
    </row>
    <row r="36">
      <c r="A36" s="43" t="n">
        <v>46269</v>
      </c>
      <c r="B36" s="44" t="inlineStr">
        <is>
          <t>מעיין יוספי</t>
        </is>
      </c>
      <c r="C36" s="45" t="inlineStr">
        <is>
          <t>תורנות שבת</t>
        </is>
      </c>
      <c r="D36" s="44" t="inlineStr">
        <is>
          <t>בית מדרש · קידוש</t>
        </is>
      </c>
      <c r="E36" s="45" t="n">
        <v>1</v>
      </c>
    </row>
    <row r="37">
      <c r="A37" s="43" t="n">
        <v>46269</v>
      </c>
      <c r="B37" s="44" t="inlineStr">
        <is>
          <t>נעמי פונקלשטיין</t>
        </is>
      </c>
      <c r="C37" s="45" t="inlineStr">
        <is>
          <t>תורנות שבת</t>
        </is>
      </c>
      <c r="D37" s="44" t="inlineStr">
        <is>
          <t>בית מדרש · קידוש</t>
        </is>
      </c>
      <c r="E37" s="45" t="n">
        <v>1</v>
      </c>
    </row>
    <row r="38">
      <c r="A38" s="43" t="n">
        <v>46283</v>
      </c>
      <c r="B38" s="44" t="inlineStr">
        <is>
          <t>איתי גוסטינר</t>
        </is>
      </c>
      <c r="C38" s="45" t="inlineStr">
        <is>
          <t>הכנות שישי</t>
        </is>
      </c>
      <c r="D38" s="44" t="inlineStr">
        <is>
          <t>ארוחת צהריים שישי</t>
        </is>
      </c>
      <c r="E38" s="45" t="n">
        <v>3</v>
      </c>
    </row>
    <row r="39">
      <c r="A39" s="43" t="n">
        <v>46283</v>
      </c>
      <c r="B39" s="44" t="inlineStr">
        <is>
          <t>שירה אדלה לוזון</t>
        </is>
      </c>
      <c r="C39" s="45" t="inlineStr">
        <is>
          <t>הכנות שישי</t>
        </is>
      </c>
      <c r="D39" s="44" t="inlineStr">
        <is>
          <t>ארוחת צהריים שישי</t>
        </is>
      </c>
      <c r="E39" s="45" t="n">
        <v>3</v>
      </c>
    </row>
    <row r="40">
      <c r="A40" s="43" t="n">
        <v>46283</v>
      </c>
      <c r="B40" s="44" t="inlineStr">
        <is>
          <t>ארבל פרנקו</t>
        </is>
      </c>
      <c r="C40" s="45" t="inlineStr">
        <is>
          <t>הכנות שישי</t>
        </is>
      </c>
      <c r="D40" s="44" t="inlineStr">
        <is>
          <t>בראוניז ללא גלוטן</t>
        </is>
      </c>
      <c r="E40" s="45" t="n">
        <v>3</v>
      </c>
    </row>
    <row r="41">
      <c r="A41" s="43" t="n">
        <v>46283</v>
      </c>
      <c r="B41" s="44" t="inlineStr">
        <is>
          <t>יובל רוזנברג</t>
        </is>
      </c>
      <c r="C41" s="45" t="inlineStr">
        <is>
          <t>הכנות שישי</t>
        </is>
      </c>
      <c r="D41" s="44" t="inlineStr">
        <is>
          <t>בראוניז ללא גלוטן</t>
        </is>
      </c>
      <c r="E41" s="45" t="n">
        <v>3</v>
      </c>
    </row>
    <row r="42">
      <c r="A42" s="43" t="n">
        <v>46283</v>
      </c>
      <c r="B42" s="44" t="inlineStr">
        <is>
          <t>איתמר אסנהיים</t>
        </is>
      </c>
      <c r="C42" s="45" t="inlineStr">
        <is>
          <t>הכנות שישי</t>
        </is>
      </c>
      <c r="D42" s="44" t="inlineStr">
        <is>
          <t>חלות</t>
        </is>
      </c>
      <c r="E42" s="45" t="n">
        <v>3</v>
      </c>
    </row>
    <row r="43">
      <c r="A43" s="43" t="n">
        <v>46283</v>
      </c>
      <c r="B43" s="44" t="inlineStr">
        <is>
          <t>איתן כהן</t>
        </is>
      </c>
      <c r="C43" s="45" t="inlineStr">
        <is>
          <t>הכנות שישי</t>
        </is>
      </c>
      <c r="D43" s="44" t="inlineStr">
        <is>
          <t>חלות</t>
        </is>
      </c>
      <c r="E43" s="45" t="n">
        <v>3</v>
      </c>
    </row>
    <row r="44">
      <c r="A44" s="43" t="n">
        <v>46283</v>
      </c>
      <c r="B44" s="44" t="inlineStr">
        <is>
          <t>יהב לוי</t>
        </is>
      </c>
      <c r="C44" s="45" t="inlineStr">
        <is>
          <t>הכנות שישי</t>
        </is>
      </c>
      <c r="D44" s="44" t="inlineStr">
        <is>
          <t>חלות</t>
        </is>
      </c>
      <c r="E44" s="45" t="n">
        <v>3</v>
      </c>
    </row>
    <row r="45">
      <c r="A45" s="43" t="n">
        <v>46283</v>
      </c>
      <c r="B45" s="44" t="inlineStr">
        <is>
          <t>נועם ישראל קומפאס</t>
        </is>
      </c>
      <c r="C45" s="45" t="inlineStr">
        <is>
          <t>הכנות שישי</t>
        </is>
      </c>
      <c r="D45" s="44" t="inlineStr">
        <is>
          <t>חלות</t>
        </is>
      </c>
      <c r="E45" s="45" t="n">
        <v>3</v>
      </c>
    </row>
    <row r="46">
      <c r="A46" s="43" t="n">
        <v>46283</v>
      </c>
      <c r="B46" s="44" t="inlineStr">
        <is>
          <t>תמר פרימור</t>
        </is>
      </c>
      <c r="C46" s="45" t="inlineStr">
        <is>
          <t>הכנות שישי</t>
        </is>
      </c>
      <c r="D46" s="44" t="inlineStr">
        <is>
          <t>חלות</t>
        </is>
      </c>
      <c r="E46" s="45" t="n">
        <v>3</v>
      </c>
    </row>
    <row r="47">
      <c r="A47" s="43" t="n">
        <v>46283</v>
      </c>
      <c r="B47" s="44" t="inlineStr">
        <is>
          <t>אביב רוזנטל</t>
        </is>
      </c>
      <c r="C47" s="45" t="inlineStr">
        <is>
          <t>הכנות שישי</t>
        </is>
      </c>
      <c r="D47" s="44" t="inlineStr">
        <is>
          <t>מטבוחה</t>
        </is>
      </c>
      <c r="E47" s="45" t="n">
        <v>3</v>
      </c>
    </row>
    <row r="48">
      <c r="A48" s="43" t="n">
        <v>46283</v>
      </c>
      <c r="B48" s="44" t="inlineStr">
        <is>
          <t>אורי טילינגר</t>
        </is>
      </c>
      <c r="C48" s="45" t="inlineStr">
        <is>
          <t>הכנות שישי</t>
        </is>
      </c>
      <c r="D48" s="44" t="inlineStr">
        <is>
          <t>מטבוחה</t>
        </is>
      </c>
      <c r="E48" s="45" t="n">
        <v>3</v>
      </c>
    </row>
    <row r="49">
      <c r="A49" s="43" t="n">
        <v>46283</v>
      </c>
      <c r="B49" s="44" t="inlineStr">
        <is>
          <t>הלל פינגולד</t>
        </is>
      </c>
      <c r="C49" s="45" t="inlineStr">
        <is>
          <t>הכנות שישי</t>
        </is>
      </c>
      <c r="D49" s="44" t="inlineStr">
        <is>
          <t>מטבוחה</t>
        </is>
      </c>
      <c r="E49" s="45" t="n">
        <v>3</v>
      </c>
    </row>
    <row r="50">
      <c r="A50" s="43" t="n">
        <v>46283</v>
      </c>
      <c r="B50" s="44" t="inlineStr">
        <is>
          <t>נגה חוה כהן</t>
        </is>
      </c>
      <c r="C50" s="45" t="inlineStr">
        <is>
          <t>הכנות שישי</t>
        </is>
      </c>
      <c r="D50" s="44" t="inlineStr">
        <is>
          <t>מטבוחה</t>
        </is>
      </c>
      <c r="E50" s="45" t="n">
        <v>3</v>
      </c>
    </row>
    <row r="51">
      <c r="A51" s="43" t="n">
        <v>46283</v>
      </c>
      <c r="B51" s="44" t="inlineStr">
        <is>
          <t>יובל יצחק</t>
        </is>
      </c>
      <c r="C51" s="45" t="inlineStr">
        <is>
          <t>הכנות שישי</t>
        </is>
      </c>
      <c r="D51" s="44" t="inlineStr">
        <is>
          <t>סלט חצילים</t>
        </is>
      </c>
      <c r="E51" s="45" t="n">
        <v>3</v>
      </c>
    </row>
    <row r="52">
      <c r="A52" s="43" t="n">
        <v>46283</v>
      </c>
      <c r="B52" s="44" t="inlineStr">
        <is>
          <t>רוני כהן</t>
        </is>
      </c>
      <c r="C52" s="45" t="inlineStr">
        <is>
          <t>הכנות שישי</t>
        </is>
      </c>
      <c r="D52" s="44" t="inlineStr">
        <is>
          <t>סלט חצילים</t>
        </is>
      </c>
      <c r="E52" s="45" t="n">
        <v>3</v>
      </c>
    </row>
    <row r="53">
      <c r="A53" s="43" t="n">
        <v>46283</v>
      </c>
      <c r="B53" s="44" t="inlineStr">
        <is>
          <t>חיים שמאי</t>
        </is>
      </c>
      <c r="C53" s="45" t="inlineStr">
        <is>
          <t>הכנות שישי</t>
        </is>
      </c>
      <c r="D53" s="44" t="inlineStr">
        <is>
          <t>עוגות שמרים</t>
        </is>
      </c>
      <c r="E53" s="45" t="n">
        <v>3</v>
      </c>
    </row>
    <row r="54">
      <c r="A54" s="43" t="n">
        <v>46283</v>
      </c>
      <c r="B54" s="44" t="inlineStr">
        <is>
          <t>טליה קור</t>
        </is>
      </c>
      <c r="C54" s="45" t="inlineStr">
        <is>
          <t>הכנות שישי</t>
        </is>
      </c>
      <c r="D54" s="44" t="inlineStr">
        <is>
          <t>עוגות שמרים</t>
        </is>
      </c>
      <c r="E54" s="45" t="n">
        <v>3</v>
      </c>
    </row>
    <row r="55">
      <c r="A55" s="43" t="n">
        <v>46283</v>
      </c>
      <c r="B55" s="44" t="inlineStr">
        <is>
          <t>ניצן שטיין</t>
        </is>
      </c>
      <c r="C55" s="45" t="inlineStr">
        <is>
          <t>הכנות שישי</t>
        </is>
      </c>
      <c r="D55" s="44" t="inlineStr">
        <is>
          <t>עוגות שמרים</t>
        </is>
      </c>
      <c r="E55" s="45" t="n">
        <v>3</v>
      </c>
    </row>
    <row r="56">
      <c r="A56" s="43" t="n">
        <v>46283</v>
      </c>
      <c r="B56" s="44" t="inlineStr">
        <is>
          <t>של״ו רובינשטיין</t>
        </is>
      </c>
      <c r="C56" s="45" t="inlineStr">
        <is>
          <t>הכנות שישי</t>
        </is>
      </c>
      <c r="D56" s="44" t="inlineStr">
        <is>
          <t>עוגות שמרים</t>
        </is>
      </c>
      <c r="E56" s="45" t="n">
        <v>3</v>
      </c>
    </row>
    <row r="57">
      <c r="A57" s="43" t="n">
        <v>46283</v>
      </c>
      <c r="B57" s="44" t="inlineStr">
        <is>
          <t>הילי אלפסי</t>
        </is>
      </c>
      <c r="C57" s="45" t="inlineStr">
        <is>
          <t>הכנות שישי</t>
        </is>
      </c>
      <c r="D57" s="44" t="inlineStr">
        <is>
          <t>עוגיות שוקולד צ'יפס</t>
        </is>
      </c>
      <c r="E57" s="45" t="n">
        <v>3</v>
      </c>
    </row>
    <row r="58">
      <c r="A58" s="43" t="n">
        <v>46283</v>
      </c>
      <c r="B58" s="44" t="inlineStr">
        <is>
          <t>נבו בלוך</t>
        </is>
      </c>
      <c r="C58" s="45" t="inlineStr">
        <is>
          <t>הכנות שישי</t>
        </is>
      </c>
      <c r="D58" s="44" t="inlineStr">
        <is>
          <t>עוגיות שוקולד צ'יפס</t>
        </is>
      </c>
      <c r="E58" s="45" t="n">
        <v>3</v>
      </c>
    </row>
    <row r="59">
      <c r="A59" s="43" t="n">
        <v>46283</v>
      </c>
      <c r="B59" s="44" t="inlineStr">
        <is>
          <t>איתי בן מנחם</t>
        </is>
      </c>
      <c r="C59" s="45" t="inlineStr">
        <is>
          <t>הכנות שישי</t>
        </is>
      </c>
      <c r="D59" s="44" t="inlineStr">
        <is>
          <t>עוגת דבש</t>
        </is>
      </c>
      <c r="E59" s="45" t="n">
        <v>3</v>
      </c>
    </row>
    <row r="60">
      <c r="A60" s="43" t="n">
        <v>46283</v>
      </c>
      <c r="B60" s="44" t="inlineStr">
        <is>
          <t>משה אוברשטיין</t>
        </is>
      </c>
      <c r="C60" s="45" t="inlineStr">
        <is>
          <t>הכנות שישי</t>
        </is>
      </c>
      <c r="D60" s="44" t="inlineStr">
        <is>
          <t>עוגת דבש</t>
        </is>
      </c>
      <c r="E60" s="45" t="n">
        <v>3</v>
      </c>
    </row>
    <row r="61">
      <c r="A61" s="43" t="n">
        <v>46283</v>
      </c>
      <c r="B61" s="44" t="inlineStr">
        <is>
          <t>אורי אסף</t>
        </is>
      </c>
      <c r="C61" s="45" t="inlineStr">
        <is>
          <t>תורנות שבת</t>
        </is>
      </c>
      <c r="D61" s="44" t="inlineStr">
        <is>
          <t>ארוחת ערב</t>
        </is>
      </c>
      <c r="E61" s="45" t="n">
        <v>2</v>
      </c>
    </row>
    <row r="62">
      <c r="A62" s="43" t="n">
        <v>46283</v>
      </c>
      <c r="B62" s="44" t="inlineStr">
        <is>
          <t>איתן וינסטון</t>
        </is>
      </c>
      <c r="C62" s="45" t="inlineStr">
        <is>
          <t>תורנות שבת</t>
        </is>
      </c>
      <c r="D62" s="44" t="inlineStr">
        <is>
          <t>ארוחת ערב</t>
        </is>
      </c>
      <c r="E62" s="45" t="n">
        <v>2</v>
      </c>
    </row>
    <row r="63">
      <c r="A63" s="43" t="n">
        <v>46283</v>
      </c>
      <c r="B63" s="44" t="inlineStr">
        <is>
          <t>אלה גוטליב</t>
        </is>
      </c>
      <c r="C63" s="45" t="inlineStr">
        <is>
          <t>תורנות שבת</t>
        </is>
      </c>
      <c r="D63" s="44" t="inlineStr">
        <is>
          <t>ארוחת ערב</t>
        </is>
      </c>
      <c r="E63" s="45" t="n">
        <v>2</v>
      </c>
    </row>
    <row r="64">
      <c r="A64" s="43" t="n">
        <v>46283</v>
      </c>
      <c r="B64" s="44" t="inlineStr">
        <is>
          <t>זואי כהן</t>
        </is>
      </c>
      <c r="C64" s="45" t="inlineStr">
        <is>
          <t>תורנות שבת</t>
        </is>
      </c>
      <c r="D64" s="44" t="inlineStr">
        <is>
          <t>ארוחת ערב</t>
        </is>
      </c>
      <c r="E64" s="45" t="n">
        <v>2</v>
      </c>
    </row>
    <row r="65">
      <c r="A65" s="43" t="n">
        <v>46283</v>
      </c>
      <c r="B65" s="44" t="inlineStr">
        <is>
          <t>יונתן לירז</t>
        </is>
      </c>
      <c r="C65" s="45" t="inlineStr">
        <is>
          <t>תורנות שבת</t>
        </is>
      </c>
      <c r="D65" s="44" t="inlineStr">
        <is>
          <t>ארוחת ערב</t>
        </is>
      </c>
      <c r="E65" s="45" t="n">
        <v>2</v>
      </c>
    </row>
    <row r="66">
      <c r="A66" s="43" t="n">
        <v>46283</v>
      </c>
      <c r="B66" s="44" t="inlineStr">
        <is>
          <t>מישל דוד</t>
        </is>
      </c>
      <c r="C66" s="45" t="inlineStr">
        <is>
          <t>תורנות שבת</t>
        </is>
      </c>
      <c r="D66" s="44" t="inlineStr">
        <is>
          <t>ארוחת ערב</t>
        </is>
      </c>
      <c r="E66" s="45" t="n">
        <v>2</v>
      </c>
    </row>
    <row r="67">
      <c r="A67" s="43" t="n">
        <v>46283</v>
      </c>
      <c r="B67" s="44" t="inlineStr">
        <is>
          <t>עמית שי אברהם</t>
        </is>
      </c>
      <c r="C67" s="45" t="inlineStr">
        <is>
          <t>תורנות שבת</t>
        </is>
      </c>
      <c r="D67" s="44" t="inlineStr">
        <is>
          <t>ארוחת ערב</t>
        </is>
      </c>
      <c r="E67" s="45" t="n">
        <v>2</v>
      </c>
    </row>
    <row r="68">
      <c r="A68" s="43" t="n">
        <v>46283</v>
      </c>
      <c r="B68" s="44" t="inlineStr">
        <is>
          <t>שירה ספונוב</t>
        </is>
      </c>
      <c r="C68" s="45" t="inlineStr">
        <is>
          <t>תורנות שבת</t>
        </is>
      </c>
      <c r="D68" s="44" t="inlineStr">
        <is>
          <t>ארוחת ערב</t>
        </is>
      </c>
      <c r="E68" s="45" t="n">
        <v>2</v>
      </c>
    </row>
    <row r="69">
      <c r="A69" s="43" t="n">
        <v>46283</v>
      </c>
      <c r="B69" s="44" t="inlineStr">
        <is>
          <t>איתמר אסנהיים</t>
        </is>
      </c>
      <c r="C69" s="45" t="inlineStr">
        <is>
          <t>תורנות שבת</t>
        </is>
      </c>
      <c r="D69" s="44" t="inlineStr">
        <is>
          <t>ארוחת צהריים שבת</t>
        </is>
      </c>
      <c r="E69" s="45" t="n">
        <v>2</v>
      </c>
    </row>
    <row r="70">
      <c r="A70" s="43" t="n">
        <v>46283</v>
      </c>
      <c r="B70" s="44" t="inlineStr">
        <is>
          <t>נגה שוהם</t>
        </is>
      </c>
      <c r="C70" s="45" t="inlineStr">
        <is>
          <t>תורנות שבת</t>
        </is>
      </c>
      <c r="D70" s="44" t="inlineStr">
        <is>
          <t>ארוחת צהריים שבת</t>
        </is>
      </c>
      <c r="E70" s="45" t="n">
        <v>2</v>
      </c>
    </row>
    <row r="71">
      <c r="A71" s="43" t="n">
        <v>46283</v>
      </c>
      <c r="B71" s="44" t="inlineStr">
        <is>
          <t>נדב טוקר</t>
        </is>
      </c>
      <c r="C71" s="45" t="inlineStr">
        <is>
          <t>תורנות שבת</t>
        </is>
      </c>
      <c r="D71" s="44" t="inlineStr">
        <is>
          <t>ארוחת צהריים שבת</t>
        </is>
      </c>
      <c r="E71" s="45" t="n">
        <v>2</v>
      </c>
    </row>
    <row r="72">
      <c r="A72" s="43" t="n">
        <v>46283</v>
      </c>
      <c r="B72" s="44" t="inlineStr">
        <is>
          <t>נעמי פונקלשטיין</t>
        </is>
      </c>
      <c r="C72" s="45" t="inlineStr">
        <is>
          <t>תורנות שבת</t>
        </is>
      </c>
      <c r="D72" s="44" t="inlineStr">
        <is>
          <t>ארוחת צהריים שבת</t>
        </is>
      </c>
      <c r="E72" s="45" t="n">
        <v>2</v>
      </c>
    </row>
    <row r="73">
      <c r="A73" s="43" t="n">
        <v>46283</v>
      </c>
      <c r="B73" s="44" t="inlineStr">
        <is>
          <t>עפרי גזיאל</t>
        </is>
      </c>
      <c r="C73" s="45" t="inlineStr">
        <is>
          <t>תורנות שבת</t>
        </is>
      </c>
      <c r="D73" s="44" t="inlineStr">
        <is>
          <t>ארוחת צהריים שבת</t>
        </is>
      </c>
      <c r="E73" s="45" t="n">
        <v>2</v>
      </c>
    </row>
    <row r="74">
      <c r="A74" s="43" t="n">
        <v>46283</v>
      </c>
      <c r="B74" s="44" t="inlineStr">
        <is>
          <t>אחיה נחמני</t>
        </is>
      </c>
      <c r="C74" s="45" t="inlineStr">
        <is>
          <t>תורנות שבת</t>
        </is>
      </c>
      <c r="D74" s="44" t="inlineStr">
        <is>
          <t>טיש</t>
        </is>
      </c>
      <c r="E74" s="45" t="n">
        <v>1</v>
      </c>
    </row>
    <row r="75">
      <c r="A75" s="43" t="n">
        <v>46283</v>
      </c>
      <c r="B75" s="44" t="inlineStr">
        <is>
          <t>הדר עמדי</t>
        </is>
      </c>
      <c r="C75" s="45" t="inlineStr">
        <is>
          <t>תורנות שבת</t>
        </is>
      </c>
      <c r="D75" s="44" t="inlineStr">
        <is>
          <t>טיש</t>
        </is>
      </c>
      <c r="E75" s="45" t="n">
        <v>1</v>
      </c>
    </row>
    <row r="76">
      <c r="A76" s="43" t="n">
        <v>46283</v>
      </c>
      <c r="B76" s="44" t="inlineStr">
        <is>
          <t>מעיין יוספי</t>
        </is>
      </c>
      <c r="C76" s="45" t="inlineStr">
        <is>
          <t>תורנות שבת</t>
        </is>
      </c>
      <c r="D76" s="44" t="inlineStr">
        <is>
          <t>טיש</t>
        </is>
      </c>
      <c r="E76" s="45" t="n">
        <v>1</v>
      </c>
    </row>
    <row r="77">
      <c r="A77" s="43" t="n">
        <v>46283</v>
      </c>
      <c r="B77" s="44" t="inlineStr">
        <is>
          <t>מעיין רחל דינר</t>
        </is>
      </c>
      <c r="C77" s="45" t="inlineStr">
        <is>
          <t>תורנות שבת</t>
        </is>
      </c>
      <c r="D77" s="44" t="inlineStr">
        <is>
          <t>טיש</t>
        </is>
      </c>
      <c r="E77" s="45" t="n">
        <v>1</v>
      </c>
    </row>
    <row r="78">
      <c r="A78" s="43" t="n">
        <v>46283</v>
      </c>
      <c r="B78" s="44" t="inlineStr">
        <is>
          <t>רגב שהם</t>
        </is>
      </c>
      <c r="C78" s="45" t="inlineStr">
        <is>
          <t>תורנות שבת</t>
        </is>
      </c>
      <c r="D78" s="44" t="inlineStr">
        <is>
          <t>טיש</t>
        </is>
      </c>
      <c r="E78" s="45" t="n">
        <v>1</v>
      </c>
    </row>
    <row r="79">
      <c r="A79" s="43" t="n">
        <v>46283</v>
      </c>
      <c r="B79" s="44" t="inlineStr">
        <is>
          <t>אריאלה מרכוס</t>
        </is>
      </c>
      <c r="C79" s="45" t="inlineStr">
        <is>
          <t>תורנות שבת</t>
        </is>
      </c>
      <c r="D79" s="44" t="inlineStr">
        <is>
          <t>קידוש</t>
        </is>
      </c>
      <c r="E79" s="45" t="n">
        <v>1</v>
      </c>
    </row>
    <row r="80">
      <c r="A80" s="43" t="n">
        <v>46283</v>
      </c>
      <c r="B80" s="44" t="inlineStr">
        <is>
          <t>דנה שם טוב</t>
        </is>
      </c>
      <c r="C80" s="45" t="inlineStr">
        <is>
          <t>תורנות שבת</t>
        </is>
      </c>
      <c r="D80" s="44" t="inlineStr">
        <is>
          <t>קידוש</t>
        </is>
      </c>
      <c r="E80" s="45" t="n">
        <v>1</v>
      </c>
    </row>
    <row r="81">
      <c r="A81" s="43" t="n">
        <v>46283</v>
      </c>
      <c r="B81" s="44" t="inlineStr">
        <is>
          <t>יעל ברחד</t>
        </is>
      </c>
      <c r="C81" s="45" t="inlineStr">
        <is>
          <t>תורנות שבת</t>
        </is>
      </c>
      <c r="D81" s="44" t="inlineStr">
        <is>
          <t>קידוש</t>
        </is>
      </c>
      <c r="E81" s="45" t="n">
        <v>1</v>
      </c>
    </row>
    <row r="82">
      <c r="A82" s="43" t="n">
        <v>46283</v>
      </c>
      <c r="B82" s="44" t="inlineStr">
        <is>
          <t>ליאור שימרלינג</t>
        </is>
      </c>
      <c r="C82" s="45" t="inlineStr">
        <is>
          <t>תורנות שבת</t>
        </is>
      </c>
      <c r="D82" s="44" t="inlineStr">
        <is>
          <t>קידוש</t>
        </is>
      </c>
      <c r="E82" s="45" t="n">
        <v>1</v>
      </c>
    </row>
    <row r="83">
      <c r="A83" s="43" t="n">
        <v>46283</v>
      </c>
      <c r="B83" s="44" t="inlineStr">
        <is>
          <t>עמרי קולטון</t>
        </is>
      </c>
      <c r="C83" s="45" t="inlineStr">
        <is>
          <t>תורנות שבת</t>
        </is>
      </c>
      <c r="D83" s="44" t="inlineStr">
        <is>
          <t>קידוש</t>
        </is>
      </c>
      <c r="E83" s="45" t="n">
        <v>1</v>
      </c>
    </row>
    <row r="84">
      <c r="A84" s="43" t="n">
        <v>46283</v>
      </c>
      <c r="B84" s="44" t="inlineStr">
        <is>
          <t>איתי בן יהודה</t>
        </is>
      </c>
      <c r="C84" s="45" t="inlineStr">
        <is>
          <t>תורנות שישי</t>
        </is>
      </c>
      <c r="D84" s="44" t="inlineStr">
        <is>
          <t>בית מדרש</t>
        </is>
      </c>
      <c r="E84" s="45" t="n">
        <v>3</v>
      </c>
    </row>
    <row r="85">
      <c r="A85" s="43" t="n">
        <v>46283</v>
      </c>
      <c r="B85" s="44" t="inlineStr">
        <is>
          <t>איתי רוס</t>
        </is>
      </c>
      <c r="C85" s="45" t="inlineStr">
        <is>
          <t>תורנות שישי</t>
        </is>
      </c>
      <c r="D85" s="44" t="inlineStr">
        <is>
          <t>בית מדרש</t>
        </is>
      </c>
      <c r="E85" s="45" t="n">
        <v>3</v>
      </c>
    </row>
    <row r="86">
      <c r="A86" s="43" t="n">
        <v>46283</v>
      </c>
      <c r="B86" s="44" t="inlineStr">
        <is>
          <t>אלה מאיר</t>
        </is>
      </c>
      <c r="C86" s="45" t="inlineStr">
        <is>
          <t>תורנות שישי</t>
        </is>
      </c>
      <c r="D86" s="44" t="inlineStr">
        <is>
          <t>בית מדרש</t>
        </is>
      </c>
      <c r="E86" s="45" t="n">
        <v>3</v>
      </c>
    </row>
    <row r="87">
      <c r="A87" s="43" t="n">
        <v>46283</v>
      </c>
      <c r="B87" s="44" t="inlineStr">
        <is>
          <t>אלרואי גרינברג</t>
        </is>
      </c>
      <c r="C87" s="45" t="inlineStr">
        <is>
          <t>תורנות שישי</t>
        </is>
      </c>
      <c r="D87" s="44" t="inlineStr">
        <is>
          <t>בית מדרש</t>
        </is>
      </c>
      <c r="E87" s="45" t="n">
        <v>3</v>
      </c>
    </row>
    <row r="88">
      <c r="A88" s="43" t="n">
        <v>46283</v>
      </c>
      <c r="B88" s="44" t="inlineStr">
        <is>
          <t>אנה עזריאל</t>
        </is>
      </c>
      <c r="C88" s="45" t="inlineStr">
        <is>
          <t>תורנות שישי</t>
        </is>
      </c>
      <c r="D88" s="44" t="inlineStr">
        <is>
          <t>בית מדרש</t>
        </is>
      </c>
      <c r="E88" s="45" t="n">
        <v>3</v>
      </c>
    </row>
    <row r="89">
      <c r="A89" s="43" t="n">
        <v>46283</v>
      </c>
      <c r="B89" s="44" t="inlineStr">
        <is>
          <t>הילה לביא</t>
        </is>
      </c>
      <c r="C89" s="45" t="inlineStr">
        <is>
          <t>תורנות שישי</t>
        </is>
      </c>
      <c r="D89" s="44" t="inlineStr">
        <is>
          <t>בית מדרש</t>
        </is>
      </c>
      <c r="E89" s="45" t="n">
        <v>3</v>
      </c>
    </row>
    <row r="90">
      <c r="A90" s="43" t="n">
        <v>46283</v>
      </c>
      <c r="B90" s="44" t="inlineStr">
        <is>
          <t>ירדן בן שחר</t>
        </is>
      </c>
      <c r="C90" s="45" t="inlineStr">
        <is>
          <t>תורנות שישי</t>
        </is>
      </c>
      <c r="D90" s="44" t="inlineStr">
        <is>
          <t>בית מדרש</t>
        </is>
      </c>
      <c r="E90" s="45" t="n">
        <v>3</v>
      </c>
    </row>
    <row r="91">
      <c r="A91" s="43" t="n">
        <v>46283</v>
      </c>
      <c r="B91" s="44" t="inlineStr">
        <is>
          <t>ליבי בוכריס</t>
        </is>
      </c>
      <c r="C91" s="45" t="inlineStr">
        <is>
          <t>תורנות שישי</t>
        </is>
      </c>
      <c r="D91" s="44" t="inlineStr">
        <is>
          <t>בית מדרש</t>
        </is>
      </c>
      <c r="E91" s="45" t="n">
        <v>3</v>
      </c>
    </row>
    <row r="92">
      <c r="A92" s="43" t="n">
        <v>46283</v>
      </c>
      <c r="B92" s="44" t="inlineStr">
        <is>
          <t>ניצן גמלא</t>
        </is>
      </c>
      <c r="C92" s="45" t="inlineStr">
        <is>
          <t>תורנות שישי</t>
        </is>
      </c>
      <c r="D92" s="44" t="inlineStr">
        <is>
          <t>בית מדרש</t>
        </is>
      </c>
      <c r="E92" s="45" t="n">
        <v>3</v>
      </c>
    </row>
    <row r="93">
      <c r="A93" s="43" t="n">
        <v>46283</v>
      </c>
      <c r="B93" s="44" t="inlineStr">
        <is>
          <t>עומר יוסף גנון</t>
        </is>
      </c>
      <c r="C93" s="45" t="inlineStr">
        <is>
          <t>תורנות שישי</t>
        </is>
      </c>
      <c r="D93" s="44" t="inlineStr">
        <is>
          <t>בית מדרש</t>
        </is>
      </c>
      <c r="E93" s="45" t="n">
        <v>3</v>
      </c>
    </row>
    <row r="94">
      <c r="A94" s="43" t="n">
        <v>46283</v>
      </c>
      <c r="B94" s="44" t="inlineStr">
        <is>
          <t>עופר בביוף</t>
        </is>
      </c>
      <c r="C94" s="45" t="inlineStr">
        <is>
          <t>תורנות שישי</t>
        </is>
      </c>
      <c r="D94" s="44" t="inlineStr">
        <is>
          <t>בית מדרש</t>
        </is>
      </c>
      <c r="E94" s="45" t="n">
        <v>3</v>
      </c>
    </row>
    <row r="95">
      <c r="A95" s="43" t="n">
        <v>46283</v>
      </c>
      <c r="B95" s="44" t="inlineStr">
        <is>
          <t>עשהאל ירושלמי</t>
        </is>
      </c>
      <c r="C95" s="45" t="inlineStr">
        <is>
          <t>תורנות שישי</t>
        </is>
      </c>
      <c r="D95" s="44" t="inlineStr">
        <is>
          <t>בית מדרש</t>
        </is>
      </c>
      <c r="E95" s="45" t="n">
        <v>3</v>
      </c>
    </row>
    <row r="96">
      <c r="A96" s="43" t="n">
        <v>46283</v>
      </c>
      <c r="B96" s="44" t="inlineStr">
        <is>
          <t>פרת פולס</t>
        </is>
      </c>
      <c r="C96" s="45" t="inlineStr">
        <is>
          <t>תורנות שישי</t>
        </is>
      </c>
      <c r="D96" s="44" t="inlineStr">
        <is>
          <t>בית מדרש</t>
        </is>
      </c>
      <c r="E96" s="45" t="n">
        <v>3</v>
      </c>
    </row>
    <row r="97">
      <c r="A97" s="43" t="n">
        <v>46283</v>
      </c>
      <c r="B97" s="44" t="inlineStr">
        <is>
          <t>רועי צבי סרי</t>
        </is>
      </c>
      <c r="C97" s="45" t="inlineStr">
        <is>
          <t>תורנות שישי</t>
        </is>
      </c>
      <c r="D97" s="44" t="inlineStr">
        <is>
          <t>בית מדרש</t>
        </is>
      </c>
      <c r="E97" s="45" t="n">
        <v>3</v>
      </c>
    </row>
    <row r="98">
      <c r="A98" s="43" t="n">
        <v>46283</v>
      </c>
      <c r="B98" s="44" t="inlineStr">
        <is>
          <t>שליו שישו</t>
        </is>
      </c>
      <c r="C98" s="45" t="inlineStr">
        <is>
          <t>תורנות שישי</t>
        </is>
      </c>
      <c r="D98" s="44" t="inlineStr">
        <is>
          <t>בית מדרש</t>
        </is>
      </c>
      <c r="E98" s="45" t="n">
        <v>3</v>
      </c>
    </row>
    <row r="99">
      <c r="A99" s="43" t="n">
        <v>46283</v>
      </c>
      <c r="B99" s="44" t="inlineStr">
        <is>
          <t>תמר פרידמן</t>
        </is>
      </c>
      <c r="C99" s="45" t="inlineStr">
        <is>
          <t>תורנות שישי</t>
        </is>
      </c>
      <c r="D99" s="44" t="inlineStr">
        <is>
          <t>בית מדרש</t>
        </is>
      </c>
      <c r="E99" s="45" t="n">
        <v>3</v>
      </c>
    </row>
  </sheetData>
  <mergeCells count="1">
    <mergeCell ref="A1:E1"/>
  </mergeCells>
  <pageMargins left="0.75" right="0.75" top="1" bottom="1" header="0.5" footer="0.5"/>
  <pageSetup paperSize="9" fitToHeight="0" fitToWidth="1"/>
</worksheet>
</file>

<file path=xl/worksheets/sheet7.xml><?xml version="1.0" encoding="utf-8"?>
<worksheet xmlns="http://schemas.openxmlformats.org/spreadsheetml/2006/main">
  <sheetPr>
    <tabColor rgb="00E8A33D"/>
    <outlinePr summaryBelow="1" summaryRight="1"/>
    <pageSetUpPr fitToPage="1"/>
  </sheetPr>
  <dimension ref="A1:F84"/>
  <sheetViews>
    <sheetView showGridLines="0" rightToLeft="1" workbookViewId="0">
      <pane ySplit="2" topLeftCell="A3" activePane="bottomLeft" state="frozen"/>
      <selection pane="bottomLeft" activeCell="A1" sqref="A1"/>
    </sheetView>
  </sheetViews>
  <sheetFormatPr baseColWidth="8" defaultRowHeight="15"/>
  <cols>
    <col width="18" customWidth="1" min="1" max="1"/>
    <col width="26" customWidth="1" min="2" max="2"/>
    <col width="12" customWidth="1" min="3" max="3"/>
    <col width="50" customWidth="1" min="4" max="4"/>
    <col width="50" customWidth="1" min="5" max="5"/>
    <col width="24" customWidth="1" min="6" max="6"/>
  </cols>
  <sheetData>
    <row r="1" ht="36" customHeight="1">
      <c r="A1" s="26" t="inlineStr">
        <is>
          <t>מתכונים — עוגות, סלטים, מטבוחה וארוחת צהריים שישי</t>
        </is>
      </c>
    </row>
    <row r="2" ht="24" customHeight="1">
      <c r="A2" s="9" t="inlineStr">
        <is>
          <t>קטגוריה</t>
        </is>
      </c>
      <c r="B2" s="9" t="inlineStr">
        <is>
          <t>מנה</t>
        </is>
      </c>
      <c r="C2" s="9" t="inlineStr">
        <is>
          <t>כמות</t>
        </is>
      </c>
      <c r="D2" s="9" t="inlineStr">
        <is>
          <t>מרכיבים</t>
        </is>
      </c>
      <c r="E2" s="9" t="inlineStr">
        <is>
          <t>הוראות</t>
        </is>
      </c>
      <c r="F2" s="9" t="inlineStr">
        <is>
          <t>הערה</t>
        </is>
      </c>
    </row>
    <row r="3" ht="120" customHeight="1">
      <c r="A3" s="27" t="inlineStr">
        <is>
          <t>מאפים</t>
        </is>
      </c>
      <c r="B3" s="18" t="inlineStr">
        <is>
          <t>חלות</t>
        </is>
      </c>
      <c r="C3" s="27" t="inlineStr">
        <is>
          <t>10 ק"ג קמח</t>
        </is>
      </c>
      <c r="D3" s="20" t="inlineStr">
        <is>
          <t>10 ק"ג קמח
200 גרם שמרים יבשים
1 ק"ג סוכר
1.2–1.33 ליטר שמן
כ-5 ליטר מים פושרים
כ-150 גרם מלח (כ-6 כפות)
ביצים ושומשום להברשה</t>
        </is>
      </c>
      <c r="E3" s="20" t="inlineStr">
        <is>
          <t>בקערות גדולות מאוד שופכים את הקמח, יוצרים גומות ושמים את השמרים והסוכר. מוסיפים בהדרגה כ-4.5 ליטר מים פושרים ומתחילים ללוש.
מוסיפים את השמן וממשיכים ללוש. לקראת סוף הלישה מוסיפים את המלח ואת יתרת המים במידת הצורך, עד לבצק רך, גמיש ולא דביק (כ-10–12 דקות).
משמנים מעט את פני הבצק, מכסים ומתפיחים עד להכפלת הנפח (60–90 דקות).
מורידים אוויר, מחלקים לכדורים שווים, יוצרים רצועות וקולעים חלות.
מניחים על תבניות עם נייר אפייה, מכסים ומתפיחים שוב 30–40 דקות.
מברישים בביצה טרופה, מפזרים שומשום ואופים ב-180 מעלות 25–30 דקות, עד להזהבה עמוקה גם בתחתית.</t>
        </is>
      </c>
      <c r="F3" s="20" t="inlineStr">
        <is>
          <t>שתי התפחות — להתחיל מוקדם</t>
        </is>
      </c>
    </row>
    <row r="4" ht="120" customHeight="1">
      <c r="A4" s="27" t="inlineStr">
        <is>
          <t>עוגות</t>
        </is>
      </c>
      <c r="B4" s="18" t="inlineStr">
        <is>
          <t>עוגות שמרים (קראנץ' קינמון ושוקולד)</t>
        </is>
      </c>
      <c r="C4" s="27" t="inlineStr">
        <is>
          <t>6–8 קראנצ'ים</t>
        </is>
      </c>
      <c r="D4" s="20" t="inlineStr">
        <is>
          <t>לבצק:
3 ק"ג קמח
50 גרם שמרים יבשים
3 שקיות אבקת אפייה
400 גרם סוכר (כ-2 כוסות)
12 ביצים
500 מ"ל שמן
תמצית וניל
כ-700–900 מ"ל מים פושרים (לפי ספיגת הבצק)
למילוי:
1.6 ק"ג סוכר
300 גרם קקאו
6 כפות קינמון
500 מ"ל שמן (למריחה וחיבור המילוי)</t>
        </is>
      </c>
      <c r="E4" s="20" t="inlineStr">
        <is>
          <t>הבצק: מערבבים קמח, שמרים, אבקת אפייה ו-400 גרם סוכר. מוסיפים ביצים, תמצית וניל, שמן ומים בהדרגה. לשים כ-10 דקות לבצק רך, חלק וגמיש. מתפיחים שעה עד שעה וחצי להכפלת הנפח.
המילוי: מערבבים את הסוכר שנותר, הקקאו והקינמון לתערובת אחידה.
מחלקים את הבצק ל-6–8 כדורים שווים ומרדדים כל אחד למלבן דק.
מברישים בשכבת שמן נדיבה ומפזרים שכבה אחידה ונדיבה מתערובת הסוכר-קקאו-קינמון.
מגלגלים לרולדה מהודקת, חוצים לאורכה לשתי רצועות וקולעים לצמת בורג.
מניחים בתבניות, מתפיחים 30 דקות נוספות, ואופים ב-175 מעלות 25–30 דקות עד להשחמה יפה.</t>
        </is>
      </c>
      <c r="F4" s="20" t="n"/>
    </row>
    <row r="5" ht="120" customHeight="1">
      <c r="A5" s="27" t="inlineStr">
        <is>
          <t>בישול</t>
        </is>
      </c>
      <c r="B5" s="18" t="inlineStr">
        <is>
          <t>מטבוחה</t>
        </is>
      </c>
      <c r="C5" s="27" t="inlineStr">
        <is>
          <t>100 עגבניות</t>
        </is>
      </c>
      <c r="D5" s="20" t="inlineStr">
        <is>
          <t>100 עגבניות אדומות ובשלות (חלוטות, מקולפות וקצוצות)
1 ק"ג עגבניות שרי (קצוצות, אם משתמשים)
3–4 ק"ג פלפלים אדומים (קוביות קטנות או קלויים ומקולפים)
6 פלפלים ירוקים חריפים (קצוצים דק)
22 שיני שום פרוסות או כתושות
1 ליטר שמן (עדיף זית)
מלח גס לפי הטעם
4–5 כפות פפריקה מתוקה בשמן
מעט פפריקה חריפה</t>
        </is>
      </c>
      <c r="E5" s="20" t="inlineStr">
        <is>
          <t>בסיר גדול ורחב מחממים חצי מכמות השמן (500 מ"ל) על אש בינונית. מוסיפים שום ופלפלים חריפים ומטגנים כדקה (להיזהר לא לשרוף את השום).
מוסיפים את הפלפלים האדומים ומבשלים תוך ערבוב כ-15 דקות עד שהם מתרככים.
מוסיפים את העגבניות הקצוצות (והשרי). מביאים לרתיחה, מנמיכים לאש נמוכה ומבשלים ללא מכסה עד שהנוזלים מצטמצמים כמעט לחלוטין (כשעתיים-שלוש).
כשהעגבניות התפרקו והנוזלים התאדו, מוסיפים את יתרת השמן (500 מ"ל), מלח ופפריקה.
ממשיכים לבשל על אש קטנה מאוד עוד כשעה, תוך ערבוב תכוף בתחתית, עד למרקם ריבתי מבריק והשמן נפרד וצף בצדדים.</t>
        </is>
      </c>
      <c r="F5" s="20" t="inlineStr">
        <is>
          <t>בישול ארוך — כ-4 שעות בסך הכל</t>
        </is>
      </c>
    </row>
    <row r="6" ht="120" customHeight="1">
      <c r="A6" s="27" t="inlineStr">
        <is>
          <t>עוגות</t>
        </is>
      </c>
      <c r="B6" s="18" t="inlineStr">
        <is>
          <t>עוגת דבש</t>
        </is>
      </c>
      <c r="C6" s="27" t="inlineStr">
        <is>
          <t>10–12 תבניות אינגליש קייק</t>
        </is>
      </c>
      <c r="D6" s="20" t="inlineStr">
        <is>
          <t>30 ביצים
1.5 ק"ג סוכר (7.5 כוסות)
1.8 ליטר שמן (7.5 כוסות)
7.5 כוסות דבש
10 כפיות גדושות קפה נמס (מומסות ב-3 כוסות מים רותחים)
2.8 ק"ג קמח (20 כוסות)
10 כפיות אבקת אפייה (כ-3 שקיות)
5 כפיות סודה לשתייה
5 כפיות קינמון</t>
        </is>
      </c>
      <c r="E6" s="20" t="inlineStr">
        <is>
          <t>בקערת ערבוב ענקית טורפים היטב את הביצים עם הסוכר עד לתערובת בהירה ומעט תפוחה.
מוסיפים בהדרגה את השמן, הדבש והקפה המומס (לוודא שאינו רותח מדי שלא יבשל את הביצים) וטורפים עד לאיחוד.
בקערה נפרדת מערבבים את היבשים: קמח, אבקת אפייה, סודה לשתייה וקינמון.
מוסיפים את היבשים אל הרטובים וטורפים רק עד לבלילה חלקה ללא גושים (ערבוב יתר יפגע באווריריות).
מחלקים לתבניות אינגליש משומנות (עד 2/3 מגובה התבנית) ואופים ב-165 מעלות 35–45 דקות, עד שקיסם במרכז יוצא יבש עם פירורים לחים.</t>
        </is>
      </c>
      <c r="F6" s="20" t="n"/>
    </row>
    <row r="7" ht="120" customHeight="1">
      <c r="A7" s="27" t="inlineStr">
        <is>
          <t>עוגות</t>
        </is>
      </c>
      <c r="B7" s="18" t="inlineStr">
        <is>
          <t>עוגיות שוקולד צ'יפס</t>
        </is>
      </c>
      <c r="C7" s="27" t="inlineStr">
        <is>
          <t>כ-1.2 ק"ג קמח</t>
        </is>
      </c>
      <c r="D7" s="20" t="inlineStr">
        <is>
          <t>1.2 ק"ג קמח
1 שקית אבקת אפייה
1 כפית סודה לשתייה
675 גרם חמאה קרה (חתוכה לקוביות)
540 גרם סוכר חום כהה
300 גרם סוכר לבן
360 גרם ביצים (כ-6–7 ביצים)
1 כף תמצית וניל
קורט מלח
990 גרם שוקולד צ'יפס</t>
        </is>
      </c>
      <c r="E7" s="20" t="inlineStr">
        <is>
          <t>מעבדים בקערה גדולה (או במיקסר עם וו גיטרה) את החמאה הקרה עם שני סוגי הסוכר עד לתערובת פירורית ואחידה.
מוסיפים את הביצים בהדרגה ואת תמצית הווניל, ומערבבים עד להטמעה.
מוסיפים קמח, אבקת אפייה, סודה לשתייה וקורט מלח, ומערבבים רק עד שמתקבל בצק אחיד (לא ללוש יותר מדי).
מקפלים פנימה את השוקולד צ'יפס. מומלץ להכניס למקרר ל-30 דקות לייצוב.
מכדררים כדורים בגודל כדור פינג-פונג, מניחים על תבנית מרופדת עם מרווחים נדיבים, ואופים ב-175 מעלות 10–12 דקות, עד שהשוליים זהובים והמרכז עדיין רך.</t>
        </is>
      </c>
      <c r="F7" s="20" t="n"/>
    </row>
    <row r="8" ht="120" customHeight="1">
      <c r="A8" s="27" t="inlineStr">
        <is>
          <t>עוגות</t>
        </is>
      </c>
      <c r="B8" s="18" t="inlineStr">
        <is>
          <t>בראוניז ללא גלוטן</t>
        </is>
      </c>
      <c r="C8" s="27" t="inlineStr">
        <is>
          <t>כ-600 גרם שוקולד</t>
        </is>
      </c>
      <c r="D8" s="20" t="inlineStr">
        <is>
          <t>600 גרם שוקולד מריר
660 מ"ל שמן (כ-2.75 כוסות)
3.75 כוסות סוכר
15 ביצים שלמות
3 חבילות אינסטנט פודינג שוקולד או וניל ללא גלוטן</t>
        </is>
      </c>
      <c r="E8" s="20" t="inlineStr">
        <is>
          <t>ממיסים את השוקולד המריר יחד עם השמן בקערה גדולה (במיקרוגל בפולסים של 30 שניות או מעל סיר מים חמים) עד לתערובת חלקה ומבריקה.
בקערה נפרדת טורפים היטב את הביצים יחד עם הסוכר במטרפה ידנית.
יוצקים את תערובת השוקולד והשמן אל הביצים תוך כדי טריפה מתמדת.
מוסיפים את אבקת האינסטנט פודינג וטורפים רק עד לבלילה אחידה ללא גושים.
יוצקים לתבניות מרופדות בנייר אפייה ואופים ב-175 מעלות 25–30 דקות. מוכן כשהשוליים יציבים והמרכז מעט רוטט ופאדג'י. מצננים לחלוטין לפני חיתוך.</t>
        </is>
      </c>
      <c r="F8" s="20" t="inlineStr">
        <is>
          <t>ללא גלוטן — לוודא שכל המצרכים מסומנים</t>
        </is>
      </c>
    </row>
    <row r="9" ht="120" customHeight="1">
      <c r="A9" s="27" t="inlineStr">
        <is>
          <t>סלטים</t>
        </is>
      </c>
      <c r="B9" s="18" t="inlineStr">
        <is>
          <t>סלט חצילים קלויים</t>
        </is>
      </c>
      <c r="C9" s="27" t="inlineStr">
        <is>
          <t>10 חצילים</t>
        </is>
      </c>
      <c r="D9" s="20" t="inlineStr">
        <is>
          <t>10 חצילים שלמים
5–7 שיני שום כתושות
מיץ מ-4–5 לימונים
1 כוס שמן זית (200–250 מ"ל)
מלח לפי הטעם
לחציל בטחינה: 1–1.5 חבילות טחינה גולמית ומעט מים</t>
        </is>
      </c>
      <c r="E9" s="20" t="inlineStr">
        <is>
          <t>דוקרים כל חציל במזלג ב-2–3 מקומות וקולים על להבת גז גלויה, גריל, או בתנור על חום מקסימלי (גריל עליון) 30–40 דקות, עד שהקליפה חרוכה לחלוטין והבשר רך מאוד.
מעבירים למסננת לכ-15 דקות לצינון ולהגרת נוזלים מרירים.
חורצים לאורך, גורפים את בשר החציל בכף לקערה, וקוצצים גס בסכין (לא לטחון בבלנדר).
מוסיפים שום כתוש, מיץ לימון, שמן זית ומלח ומערבבים היטב במזלג.</t>
        </is>
      </c>
      <c r="F9" s="20" t="n"/>
    </row>
    <row r="10" ht="120" customHeight="1">
      <c r="A10" s="27" t="inlineStr">
        <is>
          <t>סלטים</t>
        </is>
      </c>
      <c r="B10" s="18" t="inlineStr">
        <is>
          <t>סלט כרוב מרענן</t>
        </is>
      </c>
      <c r="C10" s="27" t="inlineStr">
        <is>
          <t>4 ראשי כרוב (מלאה)</t>
        </is>
      </c>
      <c r="D10" s="20" t="inlineStr">
        <is>
          <t>4 ראשי כרוב (קצוצים לרצועות דקות)
מיץ מ-4–5 לימונים
1.25 כוסות שמן זית (250–300 מ"ל)
כ-2 כפות מלח (לפי הטעם)
אופציונלי: כפית שטוחה סוכר / פלפל שחור / שמיר קצוץ</t>
        </is>
      </c>
      <c r="E10" s="20" t="inlineStr">
        <is>
          <t>חותכים את הכרוב לרצועות דקות ושמים בקערה גדולה מאוד.
בצנצנת או קערה קטנה טורפים יחד שמן זית, מיץ לימון ומלח עד לאיחוד.
יוצקים את הרוטב מעל הכרוב ומעסים את הכרוב בידיים דקה-שתיים (העיסוי מרכך את הכרוב ומחדיר את הטעמים).
מניחים בצד כ-20 דקות לפני ההגשה, טועמים ומתקנים תיבול.</t>
        </is>
      </c>
      <c r="F10" s="20" t="inlineStr">
        <is>
          <t>מכינים חצי כמות (2 כרובים) לכל ארוחה, סמוך להגשה</t>
        </is>
      </c>
    </row>
    <row r="11" ht="120" customHeight="1">
      <c r="A11" s="27" t="inlineStr">
        <is>
          <t>סלטים</t>
        </is>
      </c>
      <c r="B11" s="18" t="inlineStr">
        <is>
          <t>סלט טחינה ביתית</t>
        </is>
      </c>
      <c r="C11" s="27" t="inlineStr">
        <is>
          <t>3–4 חבילות טחינה (מלאה)</t>
        </is>
      </c>
      <c r="D11" s="20" t="inlineStr">
        <is>
          <t>3–4 חבילות טחינה גולמית (או 2.5 אם הוספתם לחציל)
מיץ מ-5–6 לימונים
4–6 שיני שום כתושות
מים קרים מאוד (בערך נפח הטחינה — להוסיף בהדרגה)
מלח לפי הטעם
2–3 כפות שמן זית לזילוף</t>
        </is>
      </c>
      <c r="E11" s="20" t="inlineStr">
        <is>
          <t>יוצקים את הטחינה הגולמית לקערה גדולה.
מוסיפים מיץ לימון, שום כתוש ומלח, ומתחילים לערבב במטרפה (התערובת תהפוך תחילה סמיכה מאוד וגושית — זה נורמלי).
מוסיפים מים קרים בהדרגה תוך טריפה נמרצת, עד למרקם הרצוי (טחינה מסמיכה בקירור, לא להשאיר סמיכה מדי).
טועמים ומאזנים מליחות וחמיצות.
מעבירים לקערות הגשה ומזלפים מעט שמן זית מעל.</t>
        </is>
      </c>
      <c r="F11" s="20" t="inlineStr">
        <is>
          <t>מכינים חצי כמות לכל ארוחה, סמוך להגשה</t>
        </is>
      </c>
    </row>
    <row r="12">
      <c r="A12" s="27" t="n"/>
      <c r="B12" s="18" t="n"/>
      <c r="C12" s="27" t="n"/>
      <c r="D12" s="20" t="n"/>
      <c r="E12" s="20" t="n"/>
      <c r="F12" s="20" t="n"/>
    </row>
    <row r="13">
      <c r="A13" s="27" t="n"/>
      <c r="B13" s="18" t="n"/>
      <c r="C13" s="27" t="n"/>
      <c r="D13" s="20" t="n"/>
      <c r="E13" s="20" t="n"/>
      <c r="F13" s="20" t="n"/>
    </row>
    <row r="14">
      <c r="A14" s="27" t="n"/>
      <c r="B14" s="18" t="n"/>
      <c r="C14" s="27" t="n"/>
      <c r="D14" s="20" t="n"/>
      <c r="E14" s="20" t="n"/>
      <c r="F14" s="20" t="n"/>
    </row>
    <row r="15">
      <c r="A15" s="27" t="n"/>
      <c r="B15" s="18" t="n"/>
      <c r="C15" s="27" t="n"/>
      <c r="D15" s="20" t="n"/>
      <c r="E15" s="20" t="n"/>
      <c r="F15" s="20" t="n"/>
    </row>
    <row r="16">
      <c r="A16" s="27" t="n"/>
      <c r="B16" s="18" t="n"/>
      <c r="C16" s="27" t="n"/>
      <c r="D16" s="20" t="n"/>
      <c r="E16" s="20" t="n"/>
      <c r="F16" s="20" t="n"/>
    </row>
    <row r="17">
      <c r="A17" s="27" t="n"/>
      <c r="B17" s="18" t="n"/>
      <c r="C17" s="27" t="n"/>
      <c r="D17" s="20" t="n"/>
      <c r="E17" s="20" t="n"/>
      <c r="F17" s="20" t="n"/>
    </row>
    <row r="18">
      <c r="A18" s="27" t="n"/>
      <c r="B18" s="18" t="n"/>
      <c r="C18" s="27" t="n"/>
      <c r="D18" s="20" t="n"/>
      <c r="E18" s="20" t="n"/>
      <c r="F18" s="20" t="n"/>
    </row>
    <row r="19">
      <c r="A19" s="27" t="n"/>
      <c r="B19" s="18" t="n"/>
      <c r="C19" s="27" t="n"/>
      <c r="D19" s="20" t="n"/>
      <c r="E19" s="20" t="n"/>
      <c r="F19" s="20" t="n"/>
    </row>
    <row r="20">
      <c r="A20" s="27" t="n"/>
      <c r="B20" s="18" t="n"/>
      <c r="C20" s="27" t="n"/>
      <c r="D20" s="20" t="n"/>
      <c r="E20" s="20" t="n"/>
      <c r="F20" s="20" t="n"/>
    </row>
    <row r="21">
      <c r="A21" s="27" t="n"/>
      <c r="B21" s="18" t="n"/>
      <c r="C21" s="27" t="n"/>
      <c r="D21" s="20" t="n"/>
      <c r="E21" s="20" t="n"/>
      <c r="F21" s="20" t="n"/>
    </row>
    <row r="22">
      <c r="A22" s="27" t="n"/>
      <c r="B22" s="18" t="n"/>
      <c r="C22" s="27" t="n"/>
      <c r="D22" s="20" t="n"/>
      <c r="E22" s="20" t="n"/>
      <c r="F22" s="20" t="n"/>
    </row>
    <row r="23">
      <c r="A23" s="27" t="n"/>
      <c r="B23" s="18" t="n"/>
      <c r="C23" s="27" t="n"/>
      <c r="D23" s="20" t="n"/>
      <c r="E23" s="20" t="n"/>
      <c r="F23" s="20" t="n"/>
    </row>
    <row r="24">
      <c r="A24" s="27" t="n"/>
      <c r="B24" s="18" t="n"/>
      <c r="C24" s="27" t="n"/>
      <c r="D24" s="20" t="n"/>
      <c r="E24" s="20" t="n"/>
      <c r="F24" s="20" t="n"/>
    </row>
    <row r="25">
      <c r="A25" s="27" t="n"/>
      <c r="B25" s="18" t="n"/>
      <c r="C25" s="27" t="n"/>
      <c r="D25" s="20" t="n"/>
      <c r="E25" s="20" t="n"/>
      <c r="F25" s="20" t="n"/>
    </row>
    <row r="26">
      <c r="A26" s="27" t="n"/>
      <c r="B26" s="18" t="n"/>
      <c r="C26" s="27" t="n"/>
      <c r="D26" s="20" t="n"/>
      <c r="E26" s="20" t="n"/>
      <c r="F26" s="20" t="n"/>
    </row>
    <row r="27">
      <c r="A27" s="27" t="n"/>
      <c r="B27" s="18" t="n"/>
      <c r="C27" s="27" t="n"/>
      <c r="D27" s="20" t="n"/>
      <c r="E27" s="20" t="n"/>
      <c r="F27" s="20" t="n"/>
    </row>
    <row r="28">
      <c r="A28" s="27" t="n"/>
      <c r="B28" s="18" t="n"/>
      <c r="C28" s="27" t="n"/>
      <c r="D28" s="20" t="n"/>
      <c r="E28" s="20" t="n"/>
      <c r="F28" s="20" t="n"/>
    </row>
    <row r="29">
      <c r="A29" s="27" t="n"/>
      <c r="B29" s="18" t="n"/>
      <c r="C29" s="27" t="n"/>
      <c r="D29" s="20" t="n"/>
      <c r="E29" s="20" t="n"/>
      <c r="F29" s="20" t="n"/>
    </row>
    <row r="30">
      <c r="A30" s="27" t="n"/>
      <c r="B30" s="18" t="n"/>
      <c r="C30" s="27" t="n"/>
      <c r="D30" s="20" t="n"/>
      <c r="E30" s="20" t="n"/>
      <c r="F30" s="20" t="n"/>
    </row>
    <row r="31">
      <c r="A31" s="27" t="n"/>
      <c r="B31" s="18" t="n"/>
      <c r="C31" s="27" t="n"/>
      <c r="D31" s="20" t="n"/>
      <c r="E31" s="20" t="n"/>
      <c r="F31" s="20" t="n"/>
    </row>
    <row r="32">
      <c r="A32" s="27" t="n"/>
      <c r="B32" s="18" t="n"/>
      <c r="C32" s="27" t="n"/>
      <c r="D32" s="20" t="n"/>
      <c r="E32" s="20" t="n"/>
      <c r="F32" s="20" t="n"/>
    </row>
    <row r="33">
      <c r="A33" s="27" t="n"/>
      <c r="B33" s="18" t="n"/>
      <c r="C33" s="27" t="n"/>
      <c r="D33" s="20" t="n"/>
      <c r="E33" s="20" t="n"/>
      <c r="F33" s="20" t="n"/>
    </row>
    <row r="34">
      <c r="A34" s="27" t="n"/>
      <c r="B34" s="18" t="n"/>
      <c r="C34" s="27" t="n"/>
      <c r="D34" s="20" t="n"/>
      <c r="E34" s="20" t="n"/>
      <c r="F34" s="20" t="n"/>
    </row>
    <row r="35">
      <c r="A35" s="27" t="n"/>
      <c r="B35" s="18" t="n"/>
      <c r="C35" s="27" t="n"/>
      <c r="D35" s="20" t="n"/>
      <c r="E35" s="20" t="n"/>
      <c r="F35" s="20" t="n"/>
    </row>
    <row r="36">
      <c r="A36" s="27" t="n"/>
      <c r="B36" s="18" t="n"/>
      <c r="C36" s="27" t="n"/>
      <c r="D36" s="20" t="n"/>
      <c r="E36" s="20" t="n"/>
      <c r="F36" s="20" t="n"/>
    </row>
    <row r="37">
      <c r="A37" s="27" t="n"/>
      <c r="B37" s="18" t="n"/>
      <c r="C37" s="27" t="n"/>
      <c r="D37" s="20" t="n"/>
      <c r="E37" s="20" t="n"/>
      <c r="F37" s="20" t="n"/>
    </row>
    <row r="38">
      <c r="A38" s="27" t="n"/>
      <c r="B38" s="18" t="n"/>
      <c r="C38" s="27" t="n"/>
      <c r="D38" s="20" t="n"/>
      <c r="E38" s="20" t="n"/>
      <c r="F38" s="20" t="n"/>
    </row>
    <row r="39">
      <c r="A39" s="27" t="n"/>
      <c r="B39" s="18" t="n"/>
      <c r="C39" s="27" t="n"/>
      <c r="D39" s="20" t="n"/>
      <c r="E39" s="20" t="n"/>
      <c r="F39" s="20" t="n"/>
    </row>
    <row r="40">
      <c r="A40" s="27" t="n"/>
      <c r="B40" s="18" t="n"/>
      <c r="C40" s="27" t="n"/>
      <c r="D40" s="20" t="n"/>
      <c r="E40" s="20" t="n"/>
      <c r="F40" s="20" t="n"/>
    </row>
    <row r="41">
      <c r="A41" s="27" t="n"/>
      <c r="B41" s="18" t="n"/>
      <c r="C41" s="27" t="n"/>
      <c r="D41" s="20" t="n"/>
      <c r="E41" s="20" t="n"/>
      <c r="F41" s="20" t="n"/>
    </row>
    <row r="42">
      <c r="A42" s="27" t="n"/>
      <c r="B42" s="18" t="n"/>
      <c r="C42" s="27" t="n"/>
      <c r="D42" s="20" t="n"/>
      <c r="E42" s="20" t="n"/>
      <c r="F42" s="20" t="n"/>
    </row>
    <row r="43">
      <c r="A43" s="27" t="n"/>
      <c r="B43" s="18" t="n"/>
      <c r="C43" s="27" t="n"/>
      <c r="D43" s="20" t="n"/>
      <c r="E43" s="20" t="n"/>
      <c r="F43" s="20" t="n"/>
    </row>
    <row r="44">
      <c r="A44" s="27" t="n"/>
      <c r="B44" s="18" t="n"/>
      <c r="C44" s="27" t="n"/>
      <c r="D44" s="20" t="n"/>
      <c r="E44" s="20" t="n"/>
      <c r="F44" s="20" t="n"/>
    </row>
    <row r="45">
      <c r="A45" s="27" t="n"/>
      <c r="B45" s="18" t="n"/>
      <c r="C45" s="27" t="n"/>
      <c r="D45" s="20" t="n"/>
      <c r="E45" s="20" t="n"/>
      <c r="F45" s="20" t="n"/>
    </row>
    <row r="46">
      <c r="A46" s="27" t="n"/>
      <c r="B46" s="18" t="n"/>
      <c r="C46" s="27" t="n"/>
      <c r="D46" s="20" t="n"/>
      <c r="E46" s="20" t="n"/>
      <c r="F46" s="20" t="n"/>
    </row>
    <row r="47">
      <c r="A47" s="27" t="n"/>
      <c r="B47" s="18" t="n"/>
      <c r="C47" s="27" t="n"/>
      <c r="D47" s="20" t="n"/>
      <c r="E47" s="20" t="n"/>
      <c r="F47" s="20" t="n"/>
    </row>
    <row r="48">
      <c r="A48" s="27" t="n"/>
      <c r="B48" s="18" t="n"/>
      <c r="C48" s="27" t="n"/>
      <c r="D48" s="20" t="n"/>
      <c r="E48" s="20" t="n"/>
      <c r="F48" s="20" t="n"/>
    </row>
    <row r="49">
      <c r="A49" s="27" t="n"/>
      <c r="B49" s="18" t="n"/>
      <c r="C49" s="27" t="n"/>
      <c r="D49" s="20" t="n"/>
      <c r="E49" s="20" t="n"/>
      <c r="F49" s="20" t="n"/>
    </row>
    <row r="50">
      <c r="A50" s="27" t="n"/>
      <c r="B50" s="18" t="n"/>
      <c r="C50" s="27" t="n"/>
      <c r="D50" s="20" t="n"/>
      <c r="E50" s="20" t="n"/>
      <c r="F50" s="20" t="n"/>
    </row>
    <row r="51">
      <c r="A51" s="27" t="n"/>
      <c r="B51" s="18" t="n"/>
      <c r="C51" s="27" t="n"/>
      <c r="D51" s="20" t="n"/>
      <c r="E51" s="20" t="n"/>
      <c r="F51" s="20" t="n"/>
    </row>
    <row r="52">
      <c r="A52" s="27" t="n"/>
      <c r="B52" s="18" t="n"/>
      <c r="C52" s="27" t="n"/>
      <c r="D52" s="20" t="n"/>
      <c r="E52" s="20" t="n"/>
      <c r="F52" s="20" t="n"/>
    </row>
    <row r="53">
      <c r="A53" s="27" t="n"/>
      <c r="B53" s="18" t="n"/>
      <c r="C53" s="27" t="n"/>
      <c r="D53" s="20" t="n"/>
      <c r="E53" s="20" t="n"/>
      <c r="F53" s="20" t="n"/>
    </row>
    <row r="54">
      <c r="A54" s="27" t="n"/>
      <c r="B54" s="18" t="n"/>
      <c r="C54" s="27" t="n"/>
      <c r="D54" s="20" t="n"/>
      <c r="E54" s="20" t="n"/>
      <c r="F54" s="20" t="n"/>
    </row>
    <row r="55">
      <c r="A55" s="27" t="n"/>
      <c r="B55" s="18" t="n"/>
      <c r="C55" s="27" t="n"/>
      <c r="D55" s="20" t="n"/>
      <c r="E55" s="20" t="n"/>
      <c r="F55" s="20" t="n"/>
    </row>
    <row r="56">
      <c r="A56" s="27" t="n"/>
      <c r="B56" s="18" t="n"/>
      <c r="C56" s="27" t="n"/>
      <c r="D56" s="20" t="n"/>
      <c r="E56" s="20" t="n"/>
      <c r="F56" s="20" t="n"/>
    </row>
    <row r="57">
      <c r="A57" s="27" t="n"/>
      <c r="B57" s="18" t="n"/>
      <c r="C57" s="27" t="n"/>
      <c r="D57" s="20" t="n"/>
      <c r="E57" s="20" t="n"/>
      <c r="F57" s="20" t="n"/>
    </row>
    <row r="58">
      <c r="A58" s="27" t="n"/>
      <c r="B58" s="18" t="n"/>
      <c r="C58" s="27" t="n"/>
      <c r="D58" s="20" t="n"/>
      <c r="E58" s="20" t="n"/>
      <c r="F58" s="20" t="n"/>
    </row>
    <row r="59">
      <c r="A59" s="27" t="n"/>
      <c r="B59" s="18" t="n"/>
      <c r="C59" s="27" t="n"/>
      <c r="D59" s="20" t="n"/>
      <c r="E59" s="20" t="n"/>
      <c r="F59" s="20" t="n"/>
    </row>
    <row r="60">
      <c r="A60" s="27" t="n"/>
      <c r="B60" s="18" t="n"/>
      <c r="C60" s="27" t="n"/>
      <c r="D60" s="20" t="n"/>
      <c r="E60" s="20" t="n"/>
      <c r="F60" s="20" t="n"/>
    </row>
    <row r="61">
      <c r="A61" s="27" t="n"/>
      <c r="B61" s="18" t="n"/>
      <c r="C61" s="27" t="n"/>
      <c r="D61" s="20" t="n"/>
      <c r="E61" s="20" t="n"/>
      <c r="F61" s="20" t="n"/>
    </row>
    <row r="62">
      <c r="A62" s="27" t="n"/>
      <c r="B62" s="18" t="n"/>
      <c r="C62" s="27" t="n"/>
      <c r="D62" s="20" t="n"/>
      <c r="E62" s="20" t="n"/>
      <c r="F62" s="20" t="n"/>
    </row>
    <row r="63">
      <c r="A63" s="27" t="n"/>
      <c r="B63" s="18" t="n"/>
      <c r="C63" s="27" t="n"/>
      <c r="D63" s="20" t="n"/>
      <c r="E63" s="20" t="n"/>
      <c r="F63" s="20" t="n"/>
    </row>
    <row r="64">
      <c r="A64" s="27" t="n"/>
      <c r="B64" s="18" t="n"/>
      <c r="C64" s="27" t="n"/>
      <c r="D64" s="20" t="n"/>
      <c r="E64" s="20" t="n"/>
      <c r="F64" s="20" t="n"/>
    </row>
    <row r="65">
      <c r="A65" s="27" t="n"/>
      <c r="B65" s="18" t="n"/>
      <c r="C65" s="27" t="n"/>
      <c r="D65" s="20" t="n"/>
      <c r="E65" s="20" t="n"/>
      <c r="F65" s="20" t="n"/>
    </row>
    <row r="66">
      <c r="A66" s="27" t="n"/>
      <c r="B66" s="18" t="n"/>
      <c r="C66" s="27" t="n"/>
      <c r="D66" s="20" t="n"/>
      <c r="E66" s="20" t="n"/>
      <c r="F66" s="20" t="n"/>
    </row>
    <row r="67">
      <c r="A67" s="27" t="n"/>
      <c r="B67" s="18" t="n"/>
      <c r="C67" s="27" t="n"/>
      <c r="D67" s="20" t="n"/>
      <c r="E67" s="20" t="n"/>
      <c r="F67" s="20" t="n"/>
    </row>
    <row r="68">
      <c r="A68" s="27" t="n"/>
      <c r="B68" s="18" t="n"/>
      <c r="C68" s="27" t="n"/>
      <c r="D68" s="20" t="n"/>
      <c r="E68" s="20" t="n"/>
      <c r="F68" s="20" t="n"/>
    </row>
    <row r="69">
      <c r="A69" s="27" t="n"/>
      <c r="B69" s="18" t="n"/>
      <c r="C69" s="27" t="n"/>
      <c r="D69" s="20" t="n"/>
      <c r="E69" s="20" t="n"/>
      <c r="F69" s="20" t="n"/>
    </row>
    <row r="70">
      <c r="A70" s="27" t="n"/>
      <c r="B70" s="18" t="n"/>
      <c r="C70" s="27" t="n"/>
      <c r="D70" s="20" t="n"/>
      <c r="E70" s="20" t="n"/>
      <c r="F70" s="20" t="n"/>
    </row>
    <row r="71">
      <c r="A71" s="27" t="n"/>
      <c r="B71" s="18" t="n"/>
      <c r="C71" s="27" t="n"/>
      <c r="D71" s="20" t="n"/>
      <c r="E71" s="20" t="n"/>
      <c r="F71" s="20" t="n"/>
    </row>
    <row r="72">
      <c r="A72" s="27" t="n"/>
      <c r="B72" s="18" t="n"/>
      <c r="C72" s="27" t="n"/>
      <c r="D72" s="20" t="n"/>
      <c r="E72" s="20" t="n"/>
      <c r="F72" s="20" t="n"/>
    </row>
    <row r="73">
      <c r="A73" s="27" t="n"/>
      <c r="B73" s="18" t="n"/>
      <c r="C73" s="27" t="n"/>
      <c r="D73" s="20" t="n"/>
      <c r="E73" s="20" t="n"/>
      <c r="F73" s="20" t="n"/>
    </row>
    <row r="74">
      <c r="A74" s="27" t="n"/>
      <c r="B74" s="18" t="n"/>
      <c r="C74" s="27" t="n"/>
      <c r="D74" s="20" t="n"/>
      <c r="E74" s="20" t="n"/>
      <c r="F74" s="20" t="n"/>
    </row>
    <row r="75">
      <c r="A75" s="27" t="n"/>
      <c r="B75" s="18" t="n"/>
      <c r="C75" s="27" t="n"/>
      <c r="D75" s="20" t="n"/>
      <c r="E75" s="20" t="n"/>
      <c r="F75" s="20" t="n"/>
    </row>
    <row r="76">
      <c r="A76" s="27" t="n"/>
      <c r="B76" s="18" t="n"/>
      <c r="C76" s="27" t="n"/>
      <c r="D76" s="20" t="n"/>
      <c r="E76" s="20" t="n"/>
      <c r="F76" s="20" t="n"/>
    </row>
    <row r="77">
      <c r="A77" s="27" t="n"/>
      <c r="B77" s="18" t="n"/>
      <c r="C77" s="27" t="n"/>
      <c r="D77" s="20" t="n"/>
      <c r="E77" s="20" t="n"/>
      <c r="F77" s="20" t="n"/>
    </row>
    <row r="78">
      <c r="A78" s="27" t="n"/>
      <c r="B78" s="18" t="n"/>
      <c r="C78" s="27" t="n"/>
      <c r="D78" s="20" t="n"/>
      <c r="E78" s="20" t="n"/>
      <c r="F78" s="20" t="n"/>
    </row>
    <row r="79">
      <c r="A79" s="27" t="n"/>
      <c r="B79" s="18" t="n"/>
      <c r="C79" s="27" t="n"/>
      <c r="D79" s="20" t="n"/>
      <c r="E79" s="20" t="n"/>
      <c r="F79" s="20" t="n"/>
    </row>
    <row r="80">
      <c r="A80" s="27" t="n"/>
      <c r="B80" s="18" t="n"/>
      <c r="C80" s="27" t="n"/>
      <c r="D80" s="20" t="n"/>
      <c r="E80" s="20" t="n"/>
      <c r="F80" s="20" t="n"/>
    </row>
    <row r="81">
      <c r="A81" s="27" t="n"/>
      <c r="B81" s="18" t="n"/>
      <c r="C81" s="27" t="n"/>
      <c r="D81" s="20" t="n"/>
      <c r="E81" s="20" t="n"/>
      <c r="F81" s="20" t="n"/>
    </row>
    <row r="82">
      <c r="A82" s="27" t="n"/>
      <c r="B82" s="18" t="n"/>
      <c r="C82" s="27" t="n"/>
      <c r="D82" s="20" t="n"/>
      <c r="E82" s="20" t="n"/>
      <c r="F82" s="20" t="n"/>
    </row>
    <row r="84" ht="28" customHeight="1">
      <c r="A84" s="25" t="inlineStr">
        <is>
          <t>שם המנה (עמודה B) הוא מה שבוחרים בעמודת «מתכון» ב«משימות» — והמתכון מודפס על הפלייר של הקבוצה. מרכיבים והוראות: שורה לכל פריט (Alt+Enter לשורה חדשה בתא).</t>
        </is>
      </c>
    </row>
  </sheetData>
  <mergeCells count="2">
    <mergeCell ref="A1:F1"/>
    <mergeCell ref="A84:F84"/>
  </mergeCells>
  <dataValidations count="1">
    <dataValidation sqref="A3:A82" showDropDown="0" showInputMessage="0" showErrorMessage="0" allowBlank="1" type="list">
      <formula1>"מאפים,עוגות,סלטים,בישול,ארוחת צהריים שישי"</formula1>
    </dataValidation>
  </dataValidations>
  <pageMargins left="0.75" right="0.75" top="1" bottom="1" header="0.5" footer="0.5"/>
  <pageSetup paperSize="9" fitToHeight="0" fitToWidth="1"/>
</worksheet>
</file>

<file path=xl/worksheets/sheet8.xml><?xml version="1.0" encoding="utf-8"?>
<worksheet xmlns="http://schemas.openxmlformats.org/spreadsheetml/2006/main">
  <sheetPr>
    <tabColor rgb="00E8A33D"/>
    <outlinePr summaryBelow="1" summaryRight="1"/>
    <pageSetUpPr fitToPage="1"/>
  </sheetPr>
  <dimension ref="A1:D52"/>
  <sheetViews>
    <sheetView showGridLines="0" rightToLeft="1" workbookViewId="0">
      <pane ySplit="2" topLeftCell="A3" activePane="bottomLeft" state="frozen"/>
      <selection pane="bottomLeft" activeCell="A1" sqref="A1"/>
    </sheetView>
  </sheetViews>
  <sheetFormatPr baseColWidth="8" defaultRowHeight="15"/>
  <cols>
    <col width="18" customWidth="1" min="1" max="1"/>
    <col width="34" customWidth="1" min="2" max="2"/>
    <col width="12" customWidth="1" min="3" max="3"/>
    <col width="44" customWidth="1" min="4" max="4"/>
  </cols>
  <sheetData>
    <row r="1" ht="36" customHeight="1">
      <c r="A1" s="26" t="inlineStr">
        <is>
          <t>קייטרינג — מה מגיע לכל ארוחה</t>
        </is>
      </c>
    </row>
    <row r="2" ht="24" customHeight="1">
      <c r="A2" s="9" t="inlineStr">
        <is>
          <t>ארוחה</t>
        </is>
      </c>
      <c r="B2" s="9" t="inlineStr">
        <is>
          <t>מנה</t>
        </is>
      </c>
      <c r="C2" s="9" t="inlineStr">
        <is>
          <t>כמות</t>
        </is>
      </c>
      <c r="D2" s="9" t="inlineStr">
        <is>
          <t>הערה</t>
        </is>
      </c>
    </row>
    <row r="3">
      <c r="A3" s="27" t="n"/>
      <c r="B3" s="19" t="n"/>
      <c r="C3" s="27" t="n"/>
      <c r="D3" s="20" t="n"/>
    </row>
    <row r="4">
      <c r="A4" s="27" t="n"/>
      <c r="B4" s="19" t="n"/>
      <c r="C4" s="27" t="n"/>
      <c r="D4" s="20" t="n"/>
    </row>
    <row r="5">
      <c r="A5" s="27" t="n"/>
      <c r="B5" s="19" t="n"/>
      <c r="C5" s="27" t="n"/>
      <c r="D5" s="20" t="n"/>
    </row>
    <row r="6">
      <c r="A6" s="27" t="n"/>
      <c r="B6" s="19" t="n"/>
      <c r="C6" s="27" t="n"/>
      <c r="D6" s="20" t="n"/>
    </row>
    <row r="7">
      <c r="A7" s="27" t="n"/>
      <c r="B7" s="19" t="n"/>
      <c r="C7" s="27" t="n"/>
      <c r="D7" s="20" t="n"/>
    </row>
    <row r="8">
      <c r="A8" s="27" t="n"/>
      <c r="B8" s="19" t="n"/>
      <c r="C8" s="27" t="n"/>
      <c r="D8" s="20" t="n"/>
    </row>
    <row r="9">
      <c r="A9" s="27" t="n"/>
      <c r="B9" s="19" t="n"/>
      <c r="C9" s="27" t="n"/>
      <c r="D9" s="20" t="n"/>
    </row>
    <row r="10">
      <c r="A10" s="27" t="n"/>
      <c r="B10" s="19" t="n"/>
      <c r="C10" s="27" t="n"/>
      <c r="D10" s="20" t="n"/>
    </row>
    <row r="11">
      <c r="A11" s="27" t="n"/>
      <c r="B11" s="19" t="n"/>
      <c r="C11" s="27" t="n"/>
      <c r="D11" s="20" t="n"/>
    </row>
    <row r="12">
      <c r="A12" s="27" t="n"/>
      <c r="B12" s="19" t="n"/>
      <c r="C12" s="27" t="n"/>
      <c r="D12" s="20" t="n"/>
    </row>
    <row r="13">
      <c r="A13" s="27" t="n"/>
      <c r="B13" s="19" t="n"/>
      <c r="C13" s="27" t="n"/>
      <c r="D13" s="20" t="n"/>
    </row>
    <row r="14">
      <c r="A14" s="27" t="n"/>
      <c r="B14" s="19" t="n"/>
      <c r="C14" s="27" t="n"/>
      <c r="D14" s="20" t="n"/>
    </row>
    <row r="15">
      <c r="A15" s="27" t="n"/>
      <c r="B15" s="19" t="n"/>
      <c r="C15" s="27" t="n"/>
      <c r="D15" s="20" t="n"/>
    </row>
    <row r="16">
      <c r="A16" s="27" t="n"/>
      <c r="B16" s="19" t="n"/>
      <c r="C16" s="27" t="n"/>
      <c r="D16" s="20" t="n"/>
    </row>
    <row r="17">
      <c r="A17" s="27" t="n"/>
      <c r="B17" s="19" t="n"/>
      <c r="C17" s="27" t="n"/>
      <c r="D17" s="20" t="n"/>
    </row>
    <row r="18">
      <c r="A18" s="27" t="n"/>
      <c r="B18" s="19" t="n"/>
      <c r="C18" s="27" t="n"/>
      <c r="D18" s="20" t="n"/>
    </row>
    <row r="19">
      <c r="A19" s="27" t="n"/>
      <c r="B19" s="19" t="n"/>
      <c r="C19" s="27" t="n"/>
      <c r="D19" s="20" t="n"/>
    </row>
    <row r="20">
      <c r="A20" s="27" t="n"/>
      <c r="B20" s="19" t="n"/>
      <c r="C20" s="27" t="n"/>
      <c r="D20" s="20" t="n"/>
    </row>
    <row r="21">
      <c r="A21" s="27" t="n"/>
      <c r="B21" s="19" t="n"/>
      <c r="C21" s="27" t="n"/>
      <c r="D21" s="20" t="n"/>
    </row>
    <row r="22">
      <c r="A22" s="27" t="n"/>
      <c r="B22" s="19" t="n"/>
      <c r="C22" s="27" t="n"/>
      <c r="D22" s="20" t="n"/>
    </row>
    <row r="23">
      <c r="A23" s="27" t="n"/>
      <c r="B23" s="19" t="n"/>
      <c r="C23" s="27" t="n"/>
      <c r="D23" s="20" t="n"/>
    </row>
    <row r="24">
      <c r="A24" s="27" t="n"/>
      <c r="B24" s="19" t="n"/>
      <c r="C24" s="27" t="n"/>
      <c r="D24" s="20" t="n"/>
    </row>
    <row r="25">
      <c r="A25" s="27" t="n"/>
      <c r="B25" s="19" t="n"/>
      <c r="C25" s="27" t="n"/>
      <c r="D25" s="20" t="n"/>
    </row>
    <row r="26">
      <c r="A26" s="27" t="n"/>
      <c r="B26" s="19" t="n"/>
      <c r="C26" s="27" t="n"/>
      <c r="D26" s="20" t="n"/>
    </row>
    <row r="27">
      <c r="A27" s="27" t="n"/>
      <c r="B27" s="19" t="n"/>
      <c r="C27" s="27" t="n"/>
      <c r="D27" s="20" t="n"/>
    </row>
    <row r="28">
      <c r="A28" s="27" t="n"/>
      <c r="B28" s="19" t="n"/>
      <c r="C28" s="27" t="n"/>
      <c r="D28" s="20" t="n"/>
    </row>
    <row r="29">
      <c r="A29" s="27" t="n"/>
      <c r="B29" s="19" t="n"/>
      <c r="C29" s="27" t="n"/>
      <c r="D29" s="20" t="n"/>
    </row>
    <row r="30">
      <c r="A30" s="27" t="n"/>
      <c r="B30" s="19" t="n"/>
      <c r="C30" s="27" t="n"/>
      <c r="D30" s="20" t="n"/>
    </row>
    <row r="31">
      <c r="A31" s="27" t="n"/>
      <c r="B31" s="19" t="n"/>
      <c r="C31" s="27" t="n"/>
      <c r="D31" s="20" t="n"/>
    </row>
    <row r="32">
      <c r="A32" s="27" t="n"/>
      <c r="B32" s="19" t="n"/>
      <c r="C32" s="27" t="n"/>
      <c r="D32" s="20" t="n"/>
    </row>
    <row r="33">
      <c r="A33" s="27" t="n"/>
      <c r="B33" s="19" t="n"/>
      <c r="C33" s="27" t="n"/>
      <c r="D33" s="20" t="n"/>
    </row>
    <row r="34">
      <c r="A34" s="27" t="n"/>
      <c r="B34" s="19" t="n"/>
      <c r="C34" s="27" t="n"/>
      <c r="D34" s="20" t="n"/>
    </row>
    <row r="35">
      <c r="A35" s="27" t="n"/>
      <c r="B35" s="19" t="n"/>
      <c r="C35" s="27" t="n"/>
      <c r="D35" s="20" t="n"/>
    </row>
    <row r="36">
      <c r="A36" s="27" t="n"/>
      <c r="B36" s="19" t="n"/>
      <c r="C36" s="27" t="n"/>
      <c r="D36" s="20" t="n"/>
    </row>
    <row r="37">
      <c r="A37" s="27" t="n"/>
      <c r="B37" s="19" t="n"/>
      <c r="C37" s="27" t="n"/>
      <c r="D37" s="20" t="n"/>
    </row>
    <row r="38">
      <c r="A38" s="27" t="n"/>
      <c r="B38" s="19" t="n"/>
      <c r="C38" s="27" t="n"/>
      <c r="D38" s="20" t="n"/>
    </row>
    <row r="39">
      <c r="A39" s="27" t="n"/>
      <c r="B39" s="19" t="n"/>
      <c r="C39" s="27" t="n"/>
      <c r="D39" s="20" t="n"/>
    </row>
    <row r="40">
      <c r="A40" s="27" t="n"/>
      <c r="B40" s="19" t="n"/>
      <c r="C40" s="27" t="n"/>
      <c r="D40" s="20" t="n"/>
    </row>
    <row r="41">
      <c r="A41" s="27" t="n"/>
      <c r="B41" s="19" t="n"/>
      <c r="C41" s="27" t="n"/>
      <c r="D41" s="20" t="n"/>
    </row>
    <row r="42">
      <c r="A42" s="27" t="n"/>
      <c r="B42" s="19" t="n"/>
      <c r="C42" s="27" t="n"/>
      <c r="D42" s="20" t="n"/>
    </row>
    <row r="43">
      <c r="A43" s="27" t="n"/>
      <c r="B43" s="19" t="n"/>
      <c r="C43" s="27" t="n"/>
      <c r="D43" s="20" t="n"/>
    </row>
    <row r="44">
      <c r="A44" s="27" t="n"/>
      <c r="B44" s="19" t="n"/>
      <c r="C44" s="27" t="n"/>
      <c r="D44" s="20" t="n"/>
    </row>
    <row r="45">
      <c r="A45" s="27" t="n"/>
      <c r="B45" s="19" t="n"/>
      <c r="C45" s="27" t="n"/>
      <c r="D45" s="20" t="n"/>
    </row>
    <row r="46">
      <c r="A46" s="27" t="n"/>
      <c r="B46" s="19" t="n"/>
      <c r="C46" s="27" t="n"/>
      <c r="D46" s="20" t="n"/>
    </row>
    <row r="47">
      <c r="A47" s="27" t="n"/>
      <c r="B47" s="19" t="n"/>
      <c r="C47" s="27" t="n"/>
      <c r="D47" s="20" t="n"/>
    </row>
    <row r="48">
      <c r="A48" s="27" t="n"/>
      <c r="B48" s="19" t="n"/>
      <c r="C48" s="27" t="n"/>
      <c r="D48" s="20" t="n"/>
    </row>
    <row r="49">
      <c r="A49" s="27" t="n"/>
      <c r="B49" s="19" t="n"/>
      <c r="C49" s="27" t="n"/>
      <c r="D49" s="20" t="n"/>
    </row>
    <row r="50">
      <c r="A50" s="27" t="n"/>
      <c r="B50" s="19" t="n"/>
      <c r="C50" s="27" t="n"/>
      <c r="D50" s="20" t="n"/>
    </row>
    <row r="51">
      <c r="A51" s="27" t="n"/>
      <c r="B51" s="19" t="n"/>
      <c r="C51" s="27" t="n"/>
      <c r="D51" s="20" t="n"/>
    </row>
    <row r="52">
      <c r="A52" s="27" t="n"/>
      <c r="B52" s="19" t="n"/>
      <c r="C52" s="27" t="n"/>
      <c r="D52" s="20" t="n"/>
    </row>
  </sheetData>
  <mergeCells count="1">
    <mergeCell ref="A1:D1"/>
  </mergeCells>
  <dataValidations count="1">
    <dataValidation sqref="A3:A52" showDropDown="0" showInputMessage="0" showErrorMessage="0" allowBlank="1" type="list">
      <formula1>"ארוחת ערב,קידוש,ארוחת צהריים,סעודה שלישית"</formula1>
    </dataValidation>
  </dataValidations>
  <pageMargins left="0.75" right="0.75" top="1" bottom="1" header="0.5" footer="0.5"/>
  <pageSetup paperSize="9" fitToHeight="0" fitToWidth="1"/>
</worksheet>
</file>

<file path=xl/worksheets/sheet9.xml><?xml version="1.0" encoding="utf-8"?>
<worksheet xmlns="http://schemas.openxmlformats.org/spreadsheetml/2006/main">
  <sheetPr>
    <tabColor rgb="009AA5B1"/>
    <outlinePr summaryBelow="1" summaryRight="1"/>
    <pageSetUpPr fitToPage="1"/>
  </sheetPr>
  <dimension ref="A1:E54"/>
  <sheetViews>
    <sheetView showGridLines="0" rightToLeft="1" workbookViewId="0">
      <pane ySplit="2" topLeftCell="A3" activePane="bottomLeft" state="frozen"/>
      <selection pane="bottomLeft" activeCell="A1" sqref="A1"/>
    </sheetView>
  </sheetViews>
  <sheetFormatPr baseColWidth="8" defaultRowHeight="15"/>
  <cols>
    <col width="16" customWidth="1" min="1" max="1"/>
    <col width="26" customWidth="1" min="2" max="2"/>
    <col width="14" customWidth="1" min="3" max="3"/>
    <col width="14" customWidth="1" min="4" max="4"/>
    <col width="46" customWidth="1" min="5" max="5"/>
  </cols>
  <sheetData>
    <row r="1" ht="32" customHeight="1">
      <c r="A1" s="38" t="inlineStr">
        <is>
          <t>לוח שבתות — זמני ירושלים</t>
        </is>
      </c>
    </row>
    <row r="2" ht="24" customHeight="1">
      <c r="A2" s="9" t="inlineStr">
        <is>
          <t>תאריך</t>
        </is>
      </c>
      <c r="B2" s="9" t="inlineStr">
        <is>
          <t>פרשה</t>
        </is>
      </c>
      <c r="C2" s="9" t="inlineStr">
        <is>
          <t>כניסת שבת</t>
        </is>
      </c>
      <c r="D2" s="9" t="inlineStr">
        <is>
          <t>צאת שבת</t>
        </is>
      </c>
      <c r="E2" s="9" t="inlineStr">
        <is>
          <t>ניתן לעריכה</t>
        </is>
      </c>
    </row>
    <row r="3">
      <c r="A3" s="39" t="n">
        <v>46269</v>
      </c>
      <c r="B3" s="40" t="inlineStr">
        <is>
          <t>נצבים, וילך</t>
        </is>
      </c>
      <c r="C3" s="41" t="n">
        <v>0.7638888888888888</v>
      </c>
      <c r="D3" s="41" t="n">
        <v>0.81875</v>
      </c>
      <c r="E3" s="42" t="inlineStr">
        <is>
          <t>הזמנים מחושבים לירושלים (כניסה 40 דק' לפני השקיעה, צאה 40 דק' אחריה). אם הלוח שלך אומר אחרת — תקנו את השורה.</t>
        </is>
      </c>
    </row>
    <row r="4">
      <c r="A4" s="39" t="n">
        <v>46276</v>
      </c>
      <c r="B4" s="40" t="inlineStr">
        <is>
          <t>ראש השנה</t>
        </is>
      </c>
      <c r="C4" s="41" t="n">
        <v>0.7576388888888889</v>
      </c>
      <c r="D4" s="41" t="n">
        <v>0.8125</v>
      </c>
    </row>
    <row r="5">
      <c r="A5" s="39" t="n">
        <v>46283</v>
      </c>
      <c r="B5" s="40" t="inlineStr">
        <is>
          <t>האזינו</t>
        </is>
      </c>
      <c r="C5" s="41" t="n">
        <v>0.7513888888888889</v>
      </c>
      <c r="D5" s="41" t="n">
        <v>0.8055555555555556</v>
      </c>
    </row>
    <row r="6">
      <c r="A6" s="39" t="n">
        <v>46290</v>
      </c>
      <c r="B6" s="40" t="inlineStr">
        <is>
          <t>סוכות</t>
        </is>
      </c>
      <c r="C6" s="41" t="n">
        <v>0.7451388888888889</v>
      </c>
      <c r="D6" s="41" t="n">
        <v>0.7993055555555556</v>
      </c>
    </row>
    <row r="7">
      <c r="A7" s="39" t="n">
        <v>46297</v>
      </c>
      <c r="B7" s="40" t="inlineStr">
        <is>
          <t>שמיני עצרת</t>
        </is>
      </c>
      <c r="C7" s="41" t="n">
        <v>0.7388888888888889</v>
      </c>
      <c r="D7" s="41" t="n">
        <v>0.7930555555555555</v>
      </c>
    </row>
    <row r="8">
      <c r="A8" s="39" t="n">
        <v>46304</v>
      </c>
      <c r="B8" s="40" t="inlineStr">
        <is>
          <t>בראשית</t>
        </is>
      </c>
      <c r="C8" s="41" t="n">
        <v>0.7326388888888888</v>
      </c>
      <c r="D8" s="41" t="n">
        <v>0.7875</v>
      </c>
    </row>
    <row r="9">
      <c r="A9" s="39" t="n">
        <v>46311</v>
      </c>
      <c r="B9" s="40" t="inlineStr">
        <is>
          <t>נח</t>
        </is>
      </c>
      <c r="C9" s="41" t="n">
        <v>0.7263888888888889</v>
      </c>
      <c r="D9" s="41" t="n">
        <v>0.78125</v>
      </c>
    </row>
    <row r="10">
      <c r="A10" s="39" t="n">
        <v>46318</v>
      </c>
      <c r="B10" s="40" t="inlineStr">
        <is>
          <t>לך לך</t>
        </is>
      </c>
      <c r="C10" s="41" t="n">
        <v>0.7215277777777778</v>
      </c>
      <c r="D10" s="41" t="n">
        <v>0.7763888888888889</v>
      </c>
    </row>
    <row r="11">
      <c r="A11" s="39" t="n">
        <v>46325</v>
      </c>
      <c r="B11" s="40" t="inlineStr">
        <is>
          <t>וירא</t>
        </is>
      </c>
      <c r="C11" s="41" t="n">
        <v>0.675</v>
      </c>
      <c r="D11" s="41" t="n">
        <v>0.7298611111111111</v>
      </c>
    </row>
    <row r="12">
      <c r="A12" s="39" t="n">
        <v>46332</v>
      </c>
      <c r="B12" s="40" t="inlineStr">
        <is>
          <t>חיי שרה</t>
        </is>
      </c>
      <c r="C12" s="41" t="n">
        <v>0.6708333333333333</v>
      </c>
      <c r="D12" s="41" t="n">
        <v>0.7256944444444444</v>
      </c>
    </row>
    <row r="13">
      <c r="A13" s="39" t="n">
        <v>46339</v>
      </c>
      <c r="B13" s="40" t="inlineStr">
        <is>
          <t>תולדות</t>
        </is>
      </c>
      <c r="C13" s="41" t="n">
        <v>0.6673611111111111</v>
      </c>
      <c r="D13" s="41" t="n">
        <v>0.7229166666666667</v>
      </c>
    </row>
    <row r="14">
      <c r="A14" s="39" t="n">
        <v>46346</v>
      </c>
      <c r="B14" s="40" t="inlineStr">
        <is>
          <t>ויצא</t>
        </is>
      </c>
      <c r="C14" s="41" t="n">
        <v>0.6652777777777777</v>
      </c>
      <c r="D14" s="41" t="n">
        <v>0.7201388888888889</v>
      </c>
    </row>
    <row r="15">
      <c r="A15" s="39" t="n">
        <v>46353</v>
      </c>
      <c r="B15" s="40" t="inlineStr">
        <is>
          <t>וישלח</t>
        </is>
      </c>
      <c r="C15" s="41" t="n">
        <v>0.6638888888888889</v>
      </c>
      <c r="D15" s="41" t="n">
        <v>0.71875</v>
      </c>
    </row>
    <row r="16">
      <c r="A16" s="39" t="n">
        <v>46360</v>
      </c>
      <c r="B16" s="40" t="inlineStr">
        <is>
          <t>וישב (חנוכה)</t>
        </is>
      </c>
      <c r="C16" s="41" t="n">
        <v>0.6631944444444444</v>
      </c>
      <c r="D16" s="41" t="n">
        <v>0.71875</v>
      </c>
    </row>
    <row r="17">
      <c r="A17" s="39" t="n">
        <v>46367</v>
      </c>
      <c r="B17" s="40" t="inlineStr">
        <is>
          <t>מקץ (חנוכה)</t>
        </is>
      </c>
      <c r="C17" s="41" t="n">
        <v>0.6638888888888889</v>
      </c>
      <c r="D17" s="41" t="n">
        <v>0.7194444444444444</v>
      </c>
    </row>
    <row r="18">
      <c r="A18" s="39" t="n">
        <v>46374</v>
      </c>
      <c r="B18" s="40" t="inlineStr">
        <is>
          <t>ויגש</t>
        </is>
      </c>
      <c r="C18" s="41" t="n">
        <v>0.6652777777777777</v>
      </c>
      <c r="D18" s="41" t="n">
        <v>0.7208333333333333</v>
      </c>
    </row>
    <row r="19">
      <c r="A19" s="39" t="n">
        <v>46381</v>
      </c>
      <c r="B19" s="40" t="inlineStr">
        <is>
          <t>ויחי</t>
        </is>
      </c>
      <c r="C19" s="41" t="n">
        <v>0.6673611111111111</v>
      </c>
      <c r="D19" s="41" t="n">
        <v>0.7236111111111111</v>
      </c>
    </row>
    <row r="20">
      <c r="A20" s="39" t="n">
        <v>46388</v>
      </c>
      <c r="B20" s="40" t="inlineStr">
        <is>
          <t>שמות</t>
        </is>
      </c>
      <c r="C20" s="41" t="n">
        <v>0.6708333333333333</v>
      </c>
      <c r="D20" s="41" t="n">
        <v>0.7270833333333333</v>
      </c>
    </row>
    <row r="21">
      <c r="A21" s="39" t="n">
        <v>46395</v>
      </c>
      <c r="B21" s="40" t="inlineStr">
        <is>
          <t>וארא</t>
        </is>
      </c>
      <c r="C21" s="41" t="n">
        <v>0.675</v>
      </c>
      <c r="D21" s="41" t="n">
        <v>0.7305555555555555</v>
      </c>
    </row>
    <row r="22">
      <c r="A22" s="39" t="n">
        <v>46402</v>
      </c>
      <c r="B22" s="40" t="inlineStr">
        <is>
          <t>בא</t>
        </is>
      </c>
      <c r="C22" s="41" t="n">
        <v>0.6791666666666667</v>
      </c>
      <c r="D22" s="41" t="n">
        <v>0.7354166666666667</v>
      </c>
    </row>
    <row r="23">
      <c r="A23" s="39" t="n">
        <v>46409</v>
      </c>
      <c r="B23" s="40" t="inlineStr">
        <is>
          <t>בשלח (ט״ו בשבט)</t>
        </is>
      </c>
      <c r="C23" s="41" t="n">
        <v>0.6833333333333333</v>
      </c>
      <c r="D23" s="41" t="n">
        <v>0.7395833333333334</v>
      </c>
    </row>
    <row r="24">
      <c r="A24" s="39" t="n">
        <v>46416</v>
      </c>
      <c r="B24" s="40" t="inlineStr">
        <is>
          <t>יתרו</t>
        </is>
      </c>
      <c r="C24" s="41" t="n">
        <v>0.6875</v>
      </c>
      <c r="D24" s="41" t="n">
        <v>0.74375</v>
      </c>
    </row>
    <row r="25">
      <c r="A25" s="39" t="n">
        <v>46423</v>
      </c>
      <c r="B25" s="40" t="inlineStr">
        <is>
          <t>משפטים</t>
        </is>
      </c>
      <c r="C25" s="41" t="n">
        <v>0.6923611111111111</v>
      </c>
      <c r="D25" s="41" t="n">
        <v>0.7486111111111111</v>
      </c>
    </row>
    <row r="26">
      <c r="A26" s="39" t="n">
        <v>46430</v>
      </c>
      <c r="B26" s="40" t="inlineStr">
        <is>
          <t>תרומה</t>
        </is>
      </c>
      <c r="C26" s="41" t="n">
        <v>0.6965277777777777</v>
      </c>
      <c r="D26" s="41" t="n">
        <v>0.7527777777777778</v>
      </c>
    </row>
    <row r="27">
      <c r="A27" s="39" t="n">
        <v>46437</v>
      </c>
      <c r="B27" s="40" t="inlineStr">
        <is>
          <t>תצוה</t>
        </is>
      </c>
      <c r="C27" s="41" t="n">
        <v>0.7006944444444444</v>
      </c>
      <c r="D27" s="41" t="n">
        <v>0.7569444444444444</v>
      </c>
    </row>
    <row r="28">
      <c r="A28" s="39" t="n">
        <v>46444</v>
      </c>
      <c r="B28" s="40" t="inlineStr">
        <is>
          <t>כי תשא</t>
        </is>
      </c>
      <c r="C28" s="41" t="n">
        <v>0.7041666666666667</v>
      </c>
      <c r="D28" s="41" t="n">
        <v>0.7604166666666666</v>
      </c>
    </row>
    <row r="29">
      <c r="A29" s="39" t="n">
        <v>46451</v>
      </c>
      <c r="B29" s="40" t="inlineStr">
        <is>
          <t>ויקהל</t>
        </is>
      </c>
      <c r="C29" s="41" t="n">
        <v>0.7083333333333334</v>
      </c>
      <c r="D29" s="41" t="n">
        <v>0.7638888888888888</v>
      </c>
    </row>
    <row r="30">
      <c r="A30" s="39" t="n">
        <v>46458</v>
      </c>
      <c r="B30" s="40" t="inlineStr">
        <is>
          <t>פקודי</t>
        </is>
      </c>
      <c r="C30" s="41" t="n">
        <v>0.7118055555555556</v>
      </c>
      <c r="D30" s="41" t="n">
        <v>0.7680555555555556</v>
      </c>
    </row>
    <row r="31">
      <c r="A31" s="39" t="n">
        <v>46465</v>
      </c>
      <c r="B31" s="40" t="inlineStr">
        <is>
          <t>ויקרא</t>
        </is>
      </c>
      <c r="C31" s="41" t="n">
        <v>0.7152777777777778</v>
      </c>
      <c r="D31" s="41" t="n">
        <v>0.7708333333333334</v>
      </c>
    </row>
    <row r="32">
      <c r="A32" s="39" t="n">
        <v>46472</v>
      </c>
      <c r="B32" s="40" t="inlineStr">
        <is>
          <t>צו</t>
        </is>
      </c>
      <c r="C32" s="41" t="n">
        <v>0.7597222222222222</v>
      </c>
      <c r="D32" s="41" t="n">
        <v>0.8159722222222222</v>
      </c>
    </row>
    <row r="33">
      <c r="A33" s="39" t="n">
        <v>46479</v>
      </c>
      <c r="B33" s="40" t="inlineStr">
        <is>
          <t>שמיני</t>
        </is>
      </c>
      <c r="C33" s="41" t="n">
        <v>0.7631944444444444</v>
      </c>
      <c r="D33" s="41" t="n">
        <v>0.8194444444444444</v>
      </c>
    </row>
    <row r="34">
      <c r="A34" s="39" t="n">
        <v>46486</v>
      </c>
      <c r="B34" s="40" t="inlineStr">
        <is>
          <t>תזריע</t>
        </is>
      </c>
      <c r="C34" s="41" t="n">
        <v>0.7666666666666667</v>
      </c>
      <c r="D34" s="41" t="n">
        <v>0.8222222222222222</v>
      </c>
    </row>
    <row r="35">
      <c r="A35" s="39" t="n">
        <v>46493</v>
      </c>
      <c r="B35" s="40" t="inlineStr">
        <is>
          <t>מצורע</t>
        </is>
      </c>
      <c r="C35" s="41" t="n">
        <v>0.7701388888888889</v>
      </c>
      <c r="D35" s="41" t="n">
        <v>0.8256944444444444</v>
      </c>
    </row>
    <row r="36">
      <c r="A36" s="39" t="n">
        <v>46500</v>
      </c>
      <c r="B36" s="40" t="inlineStr">
        <is>
          <t>פסח</t>
        </is>
      </c>
      <c r="C36" s="41" t="n">
        <v>0.7729166666666667</v>
      </c>
      <c r="D36" s="41" t="n">
        <v>0.8291666666666667</v>
      </c>
    </row>
    <row r="37">
      <c r="A37" s="39" t="n">
        <v>46507</v>
      </c>
      <c r="B37" s="40" t="inlineStr">
        <is>
          <t>אחרי מות</t>
        </is>
      </c>
      <c r="C37" s="41" t="n">
        <v>0.7763888888888889</v>
      </c>
      <c r="D37" s="41" t="n">
        <v>0.8326388888888889</v>
      </c>
    </row>
    <row r="38">
      <c r="A38" s="39" t="n">
        <v>46514</v>
      </c>
      <c r="B38" s="40" t="inlineStr">
        <is>
          <t>קדושים</t>
        </is>
      </c>
      <c r="C38" s="41" t="n">
        <v>0.7798611111111111</v>
      </c>
      <c r="D38" s="41" t="n">
        <v>0.8361111111111111</v>
      </c>
    </row>
    <row r="39">
      <c r="A39" s="39" t="n">
        <v>46521</v>
      </c>
      <c r="B39" s="40" t="inlineStr">
        <is>
          <t>אמור</t>
        </is>
      </c>
      <c r="C39" s="41" t="n">
        <v>0.7833333333333333</v>
      </c>
      <c r="D39" s="41" t="n">
        <v>0.8395833333333333</v>
      </c>
    </row>
    <row r="40">
      <c r="A40" s="39" t="n">
        <v>46528</v>
      </c>
      <c r="B40" s="40" t="inlineStr">
        <is>
          <t>בהר</t>
        </is>
      </c>
      <c r="C40" s="41" t="n">
        <v>0.7868055555555555</v>
      </c>
      <c r="D40" s="41" t="n">
        <v>0.8423611111111111</v>
      </c>
    </row>
    <row r="41">
      <c r="A41" s="39" t="n">
        <v>46535</v>
      </c>
      <c r="B41" s="40" t="inlineStr">
        <is>
          <t>בחוקותי</t>
        </is>
      </c>
      <c r="C41" s="41" t="n">
        <v>0.7895833333333333</v>
      </c>
      <c r="D41" s="41" t="n">
        <v>0.8458333333333333</v>
      </c>
    </row>
    <row r="42">
      <c r="A42" s="39" t="n">
        <v>46542</v>
      </c>
      <c r="B42" s="40" t="inlineStr">
        <is>
          <t>במדבר</t>
        </is>
      </c>
      <c r="C42" s="41" t="n">
        <v>0.7923611111111111</v>
      </c>
      <c r="D42" s="41" t="n">
        <v>0.8486111111111111</v>
      </c>
    </row>
    <row r="43">
      <c r="A43" s="39" t="n">
        <v>46549</v>
      </c>
      <c r="B43" s="40" t="inlineStr">
        <is>
          <t>נשא</t>
        </is>
      </c>
      <c r="C43" s="41" t="n">
        <v>0.7944444444444444</v>
      </c>
      <c r="D43" s="41" t="n">
        <v>0.8506944444444444</v>
      </c>
    </row>
    <row r="44">
      <c r="A44" s="39" t="n">
        <v>46556</v>
      </c>
      <c r="B44" s="40" t="inlineStr">
        <is>
          <t>בהעלותך</t>
        </is>
      </c>
      <c r="C44" s="41" t="n">
        <v>0.7965277777777777</v>
      </c>
      <c r="D44" s="41" t="n">
        <v>0.8520833333333333</v>
      </c>
    </row>
    <row r="45">
      <c r="A45" s="39" t="n">
        <v>46563</v>
      </c>
      <c r="B45" s="40" t="inlineStr">
        <is>
          <t>שלח</t>
        </is>
      </c>
      <c r="C45" s="41" t="n">
        <v>0.7972222222222223</v>
      </c>
      <c r="D45" s="41" t="n">
        <v>0.8527777777777777</v>
      </c>
    </row>
    <row r="46">
      <c r="A46" s="39" t="n">
        <v>46570</v>
      </c>
      <c r="B46" s="40" t="inlineStr">
        <is>
          <t>קרח</t>
        </is>
      </c>
      <c r="C46" s="41" t="n">
        <v>0.7979166666666667</v>
      </c>
      <c r="D46" s="41" t="n">
        <v>0.8534722222222222</v>
      </c>
    </row>
    <row r="47">
      <c r="A47" s="39" t="n">
        <v>46577</v>
      </c>
      <c r="B47" s="40" t="inlineStr">
        <is>
          <t>חקת</t>
        </is>
      </c>
      <c r="C47" s="41" t="n">
        <v>0.7972222222222223</v>
      </c>
      <c r="D47" s="41" t="n">
        <v>0.8520833333333333</v>
      </c>
    </row>
    <row r="48">
      <c r="A48" s="39" t="n">
        <v>46584</v>
      </c>
      <c r="B48" s="40" t="inlineStr">
        <is>
          <t>בלק</t>
        </is>
      </c>
      <c r="C48" s="41" t="n">
        <v>0.7958333333333333</v>
      </c>
      <c r="D48" s="41" t="n">
        <v>0.8506944444444444</v>
      </c>
    </row>
    <row r="49">
      <c r="A49" s="39" t="n">
        <v>46591</v>
      </c>
      <c r="B49" s="40" t="inlineStr">
        <is>
          <t>פינחס</t>
        </is>
      </c>
      <c r="C49" s="41" t="n">
        <v>0.7930555555555555</v>
      </c>
      <c r="D49" s="41" t="n">
        <v>0.8486111111111111</v>
      </c>
    </row>
    <row r="50">
      <c r="A50" s="39" t="n">
        <v>46598</v>
      </c>
      <c r="B50" s="40" t="inlineStr">
        <is>
          <t>מטות, מסעי</t>
        </is>
      </c>
      <c r="C50" s="41" t="n">
        <v>0.7902777777777777</v>
      </c>
      <c r="D50" s="41" t="n">
        <v>0.8451388888888889</v>
      </c>
    </row>
    <row r="51">
      <c r="A51" s="39" t="n">
        <v>46605</v>
      </c>
      <c r="B51" s="40" t="inlineStr">
        <is>
          <t>דברים</t>
        </is>
      </c>
      <c r="C51" s="41" t="n">
        <v>0.7861111111111111</v>
      </c>
      <c r="D51" s="41" t="n">
        <v>0.8409722222222222</v>
      </c>
    </row>
    <row r="52">
      <c r="A52" s="39" t="n">
        <v>46612</v>
      </c>
      <c r="B52" s="40" t="inlineStr">
        <is>
          <t>ואתחנן</t>
        </is>
      </c>
      <c r="C52" s="41" t="n">
        <v>0.78125</v>
      </c>
      <c r="D52" s="41" t="n">
        <v>0.8361111111111111</v>
      </c>
    </row>
    <row r="53">
      <c r="A53" s="39" t="n">
        <v>46619</v>
      </c>
      <c r="B53" s="40" t="inlineStr">
        <is>
          <t>עקב</t>
        </is>
      </c>
      <c r="C53" s="41" t="n">
        <v>0.7763888888888889</v>
      </c>
      <c r="D53" s="41" t="n">
        <v>0.83125</v>
      </c>
    </row>
    <row r="54">
      <c r="A54" s="39" t="n">
        <v>46626</v>
      </c>
      <c r="B54" s="40" t="inlineStr">
        <is>
          <t>ראה</t>
        </is>
      </c>
      <c r="C54" s="41" t="n">
        <v>0.7708333333333334</v>
      </c>
      <c r="D54" s="41" t="n">
        <v>0.8256944444444444</v>
      </c>
    </row>
  </sheetData>
  <mergeCells count="2">
    <mergeCell ref="E3:E8"/>
    <mergeCell ref="A1:E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2026-09-16T09:38:02Z</dcterms:created>
  <dcterms:modified xsi:type="dcterms:W3CDTF">2026-09-16T09:40:06Z</dcterms:modified>
</cp:coreProperties>
</file>