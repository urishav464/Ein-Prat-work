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v>0.7916666666666666</v>
      </c>
      <c r="C7" s="18" t="inlineStr">
        <is>
          <t>ערב חמישי</t>
        </is>
      </c>
      <c r="D7" s="19" t="n"/>
      <c r="E7" s="20" t="n"/>
      <c r="F7" s="21" t="n">
        <v>0.7916666666666666</v>
      </c>
      <c r="G7" s="22">
        <f>IF(C7="","",COUNTIF('משימות'!$I$3:$I$122,C7))</f>
        <v/>
      </c>
    </row>
    <row r="8" ht="22" customHeight="1">
      <c r="A8" s="23" t="inlineStr">
        <is>
          <t>שישי</t>
        </is>
      </c>
      <c r="B8" s="17" t="n">
        <v>0.3333333333333333</v>
      </c>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v>0.5</v>
      </c>
      <c r="C9" s="18" t="inlineStr">
        <is>
          <t>ארוחת צהריים</t>
        </is>
      </c>
      <c r="D9" s="19" t="n"/>
      <c r="E9" s="20" t="n"/>
      <c r="F9" s="21" t="n">
        <v>0.5</v>
      </c>
      <c r="G9" s="22">
        <f>IF(C9="","",COUNTIF('משימות'!$I$3:$I$122,C9))</f>
        <v/>
      </c>
    </row>
    <row r="10" ht="22" customHeight="1">
      <c r="A10" s="23" t="inlineStr">
        <is>
          <t>שישי</t>
        </is>
      </c>
      <c r="B10" s="17" t="n">
        <v>0.7291666666666666</v>
      </c>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v>0.7513888888888889</v>
      </c>
      <c r="C11" s="18" t="inlineStr">
        <is>
          <t>הדלקת נרות</t>
        </is>
      </c>
      <c r="D11" s="19" t="n"/>
      <c r="E11" s="20" t="n"/>
      <c r="F11" s="21">
        <f>IF($B$4="","",$B$4)</f>
        <v/>
      </c>
      <c r="G11" s="22">
        <f>IF(C11="","",COUNTIF('משימות'!$I$3:$I$122,C11))</f>
        <v/>
      </c>
    </row>
    <row r="12" ht="22" customHeight="1">
      <c r="A12" s="23" t="inlineStr">
        <is>
          <t>שישי</t>
        </is>
      </c>
      <c r="B12" s="17" t="n">
        <v>0.7569444444444444</v>
      </c>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v>0.8333333333333334</v>
      </c>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v>0.8958333333333334</v>
      </c>
      <c r="C14" s="18" t="inlineStr">
        <is>
          <t>טיש</t>
        </is>
      </c>
      <c r="D14" s="19" t="inlineStr">
        <is>
          <t>חדר אוכל</t>
        </is>
      </c>
      <c r="E14" s="20" t="n"/>
      <c r="F14" s="21">
        <f>IF($B$4="","",ROUND(($B$4+TIME(3,30,0))*288,0)/288)</f>
        <v/>
      </c>
      <c r="G14" s="22">
        <f>IF(C14="","",COUNTIF('משימות'!$I$3:$I$122,C14))</f>
        <v/>
      </c>
    </row>
    <row r="15" ht="22" customHeight="1">
      <c r="A15" s="24" t="inlineStr">
        <is>
          <t>שבת</t>
        </is>
      </c>
      <c r="B15" s="17" t="n">
        <v>0.4583333333333333</v>
      </c>
      <c r="C15" s="18" t="inlineStr">
        <is>
          <t>קידוש</t>
        </is>
      </c>
      <c r="D15" s="19" t="inlineStr">
        <is>
          <t>חדר אוכל</t>
        </is>
      </c>
      <c r="E15" s="20" t="n"/>
      <c r="F15" s="21" t="n">
        <v>0.4583333333333333</v>
      </c>
      <c r="G15" s="22">
        <f>IF(C15="","",COUNTIF('משימות'!$I$3:$I$122,C15))</f>
        <v/>
      </c>
    </row>
    <row r="16" ht="22" customHeight="1">
      <c r="A16" s="24" t="inlineStr">
        <is>
          <t>שבת</t>
        </is>
      </c>
      <c r="B16" s="17" t="n">
        <v>0.4895833333333333</v>
      </c>
      <c r="C16" s="18" t="inlineStr">
        <is>
          <t>חבורות</t>
        </is>
      </c>
      <c r="D16" s="19" t="n"/>
      <c r="E16" s="20" t="n"/>
      <c r="F16" s="21" t="n">
        <v>0.4895833333333333</v>
      </c>
      <c r="G16" s="22">
        <f>IF(C16="","",COUNTIF('משימות'!$I$3:$I$122,C16))</f>
        <v/>
      </c>
    </row>
    <row r="17" ht="22" customHeight="1">
      <c r="A17" s="24" t="inlineStr">
        <is>
          <t>שבת</t>
        </is>
      </c>
      <c r="B17" s="17" t="n">
        <v>0.5520833333333334</v>
      </c>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v>0.6666666666666666</v>
      </c>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v>0.75</v>
      </c>
      <c r="C19" s="18" t="inlineStr">
        <is>
          <t>סעודה שלישית</t>
        </is>
      </c>
      <c r="D19" s="19" t="inlineStr">
        <is>
          <t>חדר אוכל</t>
        </is>
      </c>
      <c r="E19" s="20" t="n"/>
      <c r="F19" s="21" t="n">
        <v>0.75</v>
      </c>
      <c r="G19" s="22">
        <f>IF(C19="","",COUNTIF('משימות'!$I$3:$I$122,C19))</f>
        <v/>
      </c>
    </row>
    <row r="20" ht="22" customHeight="1">
      <c r="A20" s="24" t="inlineStr">
        <is>
          <t>שבת</t>
        </is>
      </c>
      <c r="B20" s="17" t="n">
        <v>0.8055555555555556</v>
      </c>
      <c r="C20" s="18" t="inlineStr">
        <is>
          <t>הבדלה</t>
        </is>
      </c>
      <c r="D20" s="19" t="n"/>
      <c r="E20" s="20" t="n"/>
      <c r="F20" s="21">
        <f>IF($D$4="","",$D$4)</f>
        <v/>
      </c>
      <c r="G20" s="22">
        <f>IF(C20="","",COUNTIF('משימות'!$I$3:$I$122,C20))</f>
        <v/>
      </c>
    </row>
    <row r="21" ht="22" customHeight="1">
      <c r="A21" s="24" t="inlineStr">
        <is>
          <t>שבת</t>
        </is>
      </c>
      <c r="B21" s="17" t="n">
        <v>0.8194444444444444</v>
      </c>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0.2916666666666667</v>
      </c>
      <c r="D3" s="19" t="inlineStr">
        <is>
          <t>חלות</t>
        </is>
      </c>
      <c r="E3" s="20" t="inlineStr">
        <is>
          <t>חלות — מ-10 ק"ג קמח</t>
        </is>
      </c>
      <c r="F3" s="28" t="n">
        <v>5</v>
      </c>
      <c r="G3" s="31" t="inlineStr">
        <is>
          <t>ארבל פרנקו, איתמר אסנהיים, טליה קור, אנה עזריאל, רועי צבי סרי</t>
        </is>
      </c>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inlineStr">
        <is>
          <t>איתן כהן, חיים שמאי, הילה עזרא, ירדן בן שחר</t>
        </is>
      </c>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inlineStr">
        <is>
          <t>יעל קהת, שליו שישו, נגה חוה כהן, של״ו רובינשטיין</t>
        </is>
      </c>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inlineStr">
        <is>
          <t>הילה לביא, משה אוברשטיין</t>
        </is>
      </c>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inlineStr">
        <is>
          <t>הילי אלפסי, יהב לוי</t>
        </is>
      </c>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inlineStr">
        <is>
          <t>שי- לי וולגמוט, ניצן שטיין</t>
        </is>
      </c>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inlineStr">
        <is>
          <t>שחר מרקוביץ' גליק, יובל יצחק</t>
        </is>
      </c>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inlineStr">
        <is>
          <t>איתי גוסטינר, נבו בלוך</t>
        </is>
      </c>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inlineStr">
        <is>
          <t>איתי גוסטינר, נבו בלוך</t>
        </is>
      </c>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inlineStr">
        <is>
          <t>איתי גוסטינר, נבו בלוך</t>
        </is>
      </c>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inlineStr">
        <is>
          <t>איתי גוסטינר, נבו בלוך</t>
        </is>
      </c>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inlineStr">
        <is>
          <t>אלה מאיר, רותם דרור, איתן וינסטון, סהר שירון, איתי בן מנחם, איתי בן יהודה, עומר יוסף גנון, שירה אדלה לוזון, נועם ישראל קומפאס, פרת פולס, עשהאל ירושלמי, עופר בביוף, איתי רוס, תמר פרימור, אורי טילינגר, תמר פרידמן</t>
        </is>
      </c>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inlineStr">
        <is>
          <t>אלה מאיר, רותם דרור, איתן וינסטון, סהר שירון, איתי בן מנחם, איתי בן יהודה, עומר יוסף גנון, שירה אדלה לוזון</t>
        </is>
      </c>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inlineStr">
        <is>
          <t>נועם ישראל קומפאס, פרת פולס, עשהאל ירושלמי, עופר בביוף, איתי רוס, תמר פרימור, אורי טילינגר, תמר פרידמן</t>
        </is>
      </c>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inlineStr">
        <is>
          <t>חיים שמאי, יונתן לירז, אלה גוטליב</t>
        </is>
      </c>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inlineStr">
        <is>
          <t>זואי כהן, איתן וינסטון, עמית שי אברהם</t>
        </is>
      </c>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inlineStr">
        <is>
          <t>שירה ספונוב, אורי אסף, חיים שמאי</t>
        </is>
      </c>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inlineStr">
        <is>
          <t>יונתן לירז, אלה גוטליב, זואי כהן, איתן וינסטון, עמית שי אברהם</t>
        </is>
      </c>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inlineStr">
        <is>
          <t>שירה ספונוב, אורי אסף, חיים שמאי</t>
        </is>
      </c>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inlineStr">
        <is>
          <t>חיים שמאי, יונתן לירז, אלה גוטליב, זואי כהן, איתן וינסטון, עמית שי אברהם, שירה ספונוב, אורי אסף</t>
        </is>
      </c>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inlineStr">
        <is>
          <t>מעיין רחל דינר, מעיין יוספי</t>
        </is>
      </c>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inlineStr">
        <is>
          <t>הדר עמדי</t>
        </is>
      </c>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inlineStr">
        <is>
          <t>אחיה נחמני, רוני כהן, מעיין רחל דינר</t>
        </is>
      </c>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inlineStr">
        <is>
          <t>מעיין יוספי, הדר עמדי</t>
        </is>
      </c>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inlineStr">
        <is>
          <t>מעיין רחל דינר, מעיין יוספי, הדר עמדי, אחיה נחמני, רוני כהן</t>
        </is>
      </c>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inlineStr">
        <is>
          <t>עמרי קולטון</t>
        </is>
      </c>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inlineStr">
        <is>
          <t>יעל ברחד</t>
        </is>
      </c>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inlineStr">
        <is>
          <t>אריאלה מרכוס</t>
        </is>
      </c>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inlineStr">
        <is>
          <t>דנה שם טוב</t>
        </is>
      </c>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inlineStr">
        <is>
          <t>ליאור שימרלינג</t>
        </is>
      </c>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inlineStr">
        <is>
          <t>איתמר אסנהיים, נגה שוהם</t>
        </is>
      </c>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inlineStr">
        <is>
          <t>נדב טוקר, נעמי פונקלשטיין, עפרי גזיאל</t>
        </is>
      </c>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inlineStr">
        <is>
          <t>איתמר אסנהיים, נגה שוהם</t>
        </is>
      </c>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inlineStr">
        <is>
          <t>נדב טוקר, נעמי פונקלשטיין</t>
        </is>
      </c>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inlineStr">
        <is>
          <t>איתמר אסנהיים, נגה שוהם, נדב טוקר, נעמי פונקלשטיין, עפרי גזיאל</t>
        </is>
      </c>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inlineStr">
        <is>
          <t>ארבל פרנקו</t>
        </is>
      </c>
      <c r="E3" s="31" t="inlineStr">
        <is>
          <t>ארבל פרנקו, איתמר אסנהיים, טליה קור, אנה עזריאל, רועי צבי סרי</t>
        </is>
      </c>
      <c r="F3" s="22">
        <f>IF(E3="","",LEN(E3)-LEN(SUBSTITUTE(E3,",",""))+1)</f>
        <v/>
      </c>
      <c r="G3" s="22">
        <f>IF(A3="","",COUNTIF('משימות'!$D$3:$D$122,A3))</f>
        <v/>
      </c>
    </row>
    <row r="4" ht="30" customHeight="1">
      <c r="A4" s="18" t="inlineStr">
        <is>
          <t>עוגות שמרים</t>
        </is>
      </c>
      <c r="B4" s="28" t="inlineStr">
        <is>
          <t>הכנות שישי</t>
        </is>
      </c>
      <c r="C4" s="28" t="n">
        <v>3</v>
      </c>
      <c r="D4" s="35" t="inlineStr">
        <is>
          <t>איתן כהן</t>
        </is>
      </c>
      <c r="E4" s="31" t="inlineStr">
        <is>
          <t>איתן כהן, חיים שמאי, הילה עזרא, ירדן בן שחר</t>
        </is>
      </c>
      <c r="F4" s="22">
        <f>IF(E4="","",LEN(E4)-LEN(SUBSTITUTE(E4,",",""))+1)</f>
        <v/>
      </c>
      <c r="G4" s="22">
        <f>IF(A4="","",COUNTIF('משימות'!$D$3:$D$122,A4))</f>
        <v/>
      </c>
    </row>
    <row r="5" ht="30" customHeight="1">
      <c r="A5" s="18" t="inlineStr">
        <is>
          <t>מטבוחה</t>
        </is>
      </c>
      <c r="B5" s="28" t="inlineStr">
        <is>
          <t>הכנות שישי</t>
        </is>
      </c>
      <c r="C5" s="28" t="n">
        <v>3</v>
      </c>
      <c r="D5" s="35" t="inlineStr">
        <is>
          <t>יעל קהת</t>
        </is>
      </c>
      <c r="E5" s="31" t="inlineStr">
        <is>
          <t>יעל קהת, שליו שישו, נגה חוה כהן, של״ו רובינשטיין</t>
        </is>
      </c>
      <c r="F5" s="22">
        <f>IF(E5="","",LEN(E5)-LEN(SUBSTITUTE(E5,",",""))+1)</f>
        <v/>
      </c>
      <c r="G5" s="22">
        <f>IF(A5="","",COUNTIF('משימות'!$D$3:$D$122,A5))</f>
        <v/>
      </c>
    </row>
    <row r="6" ht="30" customHeight="1">
      <c r="A6" s="18" t="inlineStr">
        <is>
          <t>עוגת דבש</t>
        </is>
      </c>
      <c r="B6" s="28" t="inlineStr">
        <is>
          <t>הכנות שישי</t>
        </is>
      </c>
      <c r="C6" s="28" t="n">
        <v>3</v>
      </c>
      <c r="D6" s="35" t="inlineStr">
        <is>
          <t>הילה לביא</t>
        </is>
      </c>
      <c r="E6" s="31" t="inlineStr">
        <is>
          <t>הילה לביא, משה אוברשטיין</t>
        </is>
      </c>
      <c r="F6" s="22">
        <f>IF(E6="","",LEN(E6)-LEN(SUBSTITUTE(E6,",",""))+1)</f>
        <v/>
      </c>
      <c r="G6" s="22">
        <f>IF(A6="","",COUNTIF('משימות'!$D$3:$D$122,A6))</f>
        <v/>
      </c>
    </row>
    <row r="7" ht="30" customHeight="1">
      <c r="A7" s="18" t="inlineStr">
        <is>
          <t>עוגיות שוקולד צ'יפס</t>
        </is>
      </c>
      <c r="B7" s="28" t="inlineStr">
        <is>
          <t>הכנות שישי</t>
        </is>
      </c>
      <c r="C7" s="28" t="n">
        <v>3</v>
      </c>
      <c r="D7" s="35" t="inlineStr">
        <is>
          <t>הילי אלפסי</t>
        </is>
      </c>
      <c r="E7" s="31" t="inlineStr">
        <is>
          <t>הילי אלפסי, יהב לוי</t>
        </is>
      </c>
      <c r="F7" s="22">
        <f>IF(E7="","",LEN(E7)-LEN(SUBSTITUTE(E7,",",""))+1)</f>
        <v/>
      </c>
      <c r="G7" s="22">
        <f>IF(A7="","",COUNTIF('משימות'!$D$3:$D$122,A7))</f>
        <v/>
      </c>
    </row>
    <row r="8" ht="30" customHeight="1">
      <c r="A8" s="18" t="inlineStr">
        <is>
          <t>בראוניז ללא גלוטן</t>
        </is>
      </c>
      <c r="B8" s="28" t="inlineStr">
        <is>
          <t>הכנות שישי</t>
        </is>
      </c>
      <c r="C8" s="28" t="n">
        <v>3</v>
      </c>
      <c r="D8" s="35" t="inlineStr">
        <is>
          <t>שי- לי וולגמוט</t>
        </is>
      </c>
      <c r="E8" s="31" t="inlineStr">
        <is>
          <t>שי- לי וולגמוט, ניצן שטיין</t>
        </is>
      </c>
      <c r="F8" s="22">
        <f>IF(E8="","",LEN(E8)-LEN(SUBSTITUTE(E8,",",""))+1)</f>
        <v/>
      </c>
      <c r="G8" s="22">
        <f>IF(A8="","",COUNTIF('משימות'!$D$3:$D$122,A8))</f>
        <v/>
      </c>
    </row>
    <row r="9" ht="30" customHeight="1">
      <c r="A9" s="18" t="inlineStr">
        <is>
          <t>סלט חצילים</t>
        </is>
      </c>
      <c r="B9" s="28" t="inlineStr">
        <is>
          <t>הכנות שישי</t>
        </is>
      </c>
      <c r="C9" s="28" t="n">
        <v>3</v>
      </c>
      <c r="D9" s="35" t="inlineStr">
        <is>
          <t>שחר מרקוביץ' גליק</t>
        </is>
      </c>
      <c r="E9" s="31" t="inlineStr">
        <is>
          <t>שחר מרקוביץ' גליק, יובל יצחק</t>
        </is>
      </c>
      <c r="F9" s="22">
        <f>IF(E9="","",LEN(E9)-LEN(SUBSTITUTE(E9,",",""))+1)</f>
        <v/>
      </c>
      <c r="G9" s="22">
        <f>IF(A9="","",COUNTIF('משימות'!$D$3:$D$122,A9))</f>
        <v/>
      </c>
    </row>
    <row r="10" ht="30" customHeight="1">
      <c r="A10" s="18" t="inlineStr">
        <is>
          <t>ארוחת צהריים שישי</t>
        </is>
      </c>
      <c r="B10" s="28" t="inlineStr">
        <is>
          <t>הכנות שישי</t>
        </is>
      </c>
      <c r="C10" s="28" t="n">
        <v>3</v>
      </c>
      <c r="D10" s="35" t="inlineStr">
        <is>
          <t>איתי גוסטינר</t>
        </is>
      </c>
      <c r="E10" s="31" t="inlineStr">
        <is>
          <t>איתי גוסטינר, נבו בלוך</t>
        </is>
      </c>
      <c r="F10" s="22">
        <f>IF(E10="","",LEN(E10)-LEN(SUBSTITUTE(E10,",",""))+1)</f>
        <v/>
      </c>
      <c r="G10" s="22">
        <f>IF(A10="","",COUNTIF('משימות'!$D$3:$D$122,A10))</f>
        <v/>
      </c>
    </row>
    <row r="11" ht="30" customHeight="1">
      <c r="A11" s="18" t="inlineStr">
        <is>
          <t>בית מדרש</t>
        </is>
      </c>
      <c r="B11" s="28" t="inlineStr">
        <is>
          <t>תורנות שישי</t>
        </is>
      </c>
      <c r="C11" s="28" t="n">
        <v>3</v>
      </c>
      <c r="D11" s="35" t="n"/>
      <c r="E11" s="31" t="inlineStr">
        <is>
          <t>אלה מאיר, רותם דרור, איתן וינסטון, סהר שירון, איתי בן מנחם, איתי בן יהודה, עומר יוסף גנון, שירה אדלה לוזון, נועם ישראל קומפאס, פרת פולס, עשהאל ירושלמי, עופר בביוף, איתי רוס, תמר פרימור, אורי טילינגר, תמר פרידמן</t>
        </is>
      </c>
      <c r="F11" s="22">
        <f>IF(E11="","",LEN(E11)-LEN(SUBSTITUTE(E11,",",""))+1)</f>
        <v/>
      </c>
      <c r="G11" s="22">
        <f>IF(A11="","",COUNTIF('משימות'!$D$3:$D$122,A11))</f>
        <v/>
      </c>
    </row>
    <row r="12" ht="30" customHeight="1">
      <c r="A12" s="18" t="inlineStr">
        <is>
          <t>ארוחת ערב</t>
        </is>
      </c>
      <c r="B12" s="28" t="inlineStr">
        <is>
          <t>תורנות שבת</t>
        </is>
      </c>
      <c r="C12" s="28" t="n">
        <v>2</v>
      </c>
      <c r="D12" s="35" t="inlineStr">
        <is>
          <t>חיים שמאי</t>
        </is>
      </c>
      <c r="E12" s="31" t="inlineStr">
        <is>
          <t>חיים שמאי, יונתן לירז, אלה גוטליב, זואי כהן, איתן וינסטון, עמית שי אברהם, שירה ספונוב, אורי אסף</t>
        </is>
      </c>
      <c r="F12" s="22">
        <f>IF(E12="","",LEN(E12)-LEN(SUBSTITUTE(E12,",",""))+1)</f>
        <v/>
      </c>
      <c r="G12" s="22">
        <f>IF(A12="","",COUNTIF('משימות'!$D$3:$D$122,A12))</f>
        <v/>
      </c>
    </row>
    <row r="13" ht="30" customHeight="1">
      <c r="A13" s="18" t="inlineStr">
        <is>
          <t>טיש</t>
        </is>
      </c>
      <c r="B13" s="28" t="inlineStr">
        <is>
          <t>תורנות שבת</t>
        </is>
      </c>
      <c r="C13" s="28" t="n">
        <v>1</v>
      </c>
      <c r="D13" s="35" t="inlineStr">
        <is>
          <t>מעיין רחל דינר</t>
        </is>
      </c>
      <c r="E13" s="31" t="inlineStr">
        <is>
          <t>מעיין רחל דינר, מעיין יוספי, הדר עמדי, אחיה נחמני, רוני כהן</t>
        </is>
      </c>
      <c r="F13" s="22">
        <f>IF(E13="","",LEN(E13)-LEN(SUBSTITUTE(E13,",",""))+1)</f>
        <v/>
      </c>
      <c r="G13" s="22">
        <f>IF(A13="","",COUNTIF('משימות'!$D$3:$D$122,A13))</f>
        <v/>
      </c>
    </row>
    <row r="14" ht="30" customHeight="1">
      <c r="A14" s="18" t="inlineStr">
        <is>
          <t>קידוש</t>
        </is>
      </c>
      <c r="B14" s="28" t="inlineStr">
        <is>
          <t>תורנות שבת</t>
        </is>
      </c>
      <c r="C14" s="28" t="n">
        <v>1</v>
      </c>
      <c r="D14" s="35" t="inlineStr">
        <is>
          <t>עמרי קולטון</t>
        </is>
      </c>
      <c r="E14" s="31" t="inlineStr">
        <is>
          <t>עמרי קולטון, יעל ברחד, אריאלה מרכוס, דנה שם טוב, ליאור שימרלינג</t>
        </is>
      </c>
      <c r="F14" s="22">
        <f>IF(E14="","",LEN(E14)-LEN(SUBSTITUTE(E14,",",""))+1)</f>
        <v/>
      </c>
      <c r="G14" s="22">
        <f>IF(A14="","",COUNTIF('משימות'!$D$3:$D$122,A14))</f>
        <v/>
      </c>
    </row>
    <row r="15" ht="30" customHeight="1">
      <c r="A15" s="18" t="inlineStr">
        <is>
          <t>ארוחת צהריים שבת</t>
        </is>
      </c>
      <c r="B15" s="28" t="inlineStr">
        <is>
          <t>תורנות שבת</t>
        </is>
      </c>
      <c r="C15" s="28" t="n">
        <v>2</v>
      </c>
      <c r="D15" s="35" t="inlineStr">
        <is>
          <t>איתמר אסנהיים</t>
        </is>
      </c>
      <c r="E15" s="31" t="inlineStr">
        <is>
          <t>איתמר אסנהיים, נגה שוהם, נדב טוקר, נעמי פונקלשטיין, עפרי גזיאל</t>
        </is>
      </c>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inlineStr">
        <is>
          <t>אבי</t>
        </is>
      </c>
      <c r="D3" s="36" t="inlineStr">
        <is>
          <t>כן</t>
        </is>
      </c>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inlineStr">
        <is>
          <t>אבי</t>
        </is>
      </c>
      <c r="D4" s="36" t="inlineStr">
        <is>
          <t>כן</t>
        </is>
      </c>
      <c r="E4" s="35" t="inlineStr">
        <is>
          <t>בית מדרש; ארוחת ערב</t>
        </is>
      </c>
      <c r="F4" s="22">
        <f>IF(A4="","",COUNTIF('משימות'!$G$3:$G$122,"*"&amp;A4&amp;"*"))</f>
        <v/>
      </c>
      <c r="G4" s="36" t="n">
        <v>5</v>
      </c>
      <c r="H4" s="22">
        <f>IF(A4="","",SUMIF('היסטוריה'!$B$3:$B$3002,A4,'היסטוריה'!$E$3:$E$3002))</f>
        <v/>
      </c>
      <c r="I4" s="35" t="n"/>
    </row>
    <row r="5">
      <c r="A5" s="19" t="inlineStr">
        <is>
          <t>יובל יצחק</t>
        </is>
      </c>
      <c r="B5" s="28" t="inlineStr">
        <is>
          <t>מדרשה</t>
        </is>
      </c>
      <c r="C5" s="36" t="inlineStr">
        <is>
          <t>בניה</t>
        </is>
      </c>
      <c r="D5" s="36" t="inlineStr">
        <is>
          <t>כן</t>
        </is>
      </c>
      <c r="E5" s="35" t="inlineStr">
        <is>
          <t>סלט חצילים</t>
        </is>
      </c>
      <c r="F5" s="22">
        <f>IF(A5="","",COUNTIF('משימות'!$G$3:$G$122,"*"&amp;A5&amp;"*"))</f>
        <v/>
      </c>
      <c r="G5" s="36" t="n">
        <v>3</v>
      </c>
      <c r="H5" s="22">
        <f>IF(A5="","",SUMIF('היסטוריה'!$B$3:$B$3002,A5,'היסטוריה'!$E$3:$E$3002))</f>
        <v/>
      </c>
      <c r="I5" s="35" t="n"/>
    </row>
    <row r="6">
      <c r="A6" s="19" t="inlineStr">
        <is>
          <t>הילי אלפסי</t>
        </is>
      </c>
      <c r="B6" s="28" t="inlineStr">
        <is>
          <t>מדרשה</t>
        </is>
      </c>
      <c r="C6" s="36" t="inlineStr">
        <is>
          <t>הילה</t>
        </is>
      </c>
      <c r="D6" s="36" t="inlineStr">
        <is>
          <t>כן</t>
        </is>
      </c>
      <c r="E6" s="35" t="inlineStr">
        <is>
          <t>עוגיות שוקולד צ'יפס</t>
        </is>
      </c>
      <c r="F6" s="22">
        <f>IF(A6="","",COUNTIF('משימות'!$G$3:$G$122,"*"&amp;A6&amp;"*"))</f>
        <v/>
      </c>
      <c r="G6" s="36" t="n">
        <v>3</v>
      </c>
      <c r="H6" s="22">
        <f>IF(A6="","",SUMIF('היסטוריה'!$B$3:$B$3002,A6,'היסטוריה'!$E$3:$E$3002))</f>
        <v/>
      </c>
      <c r="I6" s="35" t="n"/>
    </row>
    <row r="7">
      <c r="A7" s="19" t="inlineStr">
        <is>
          <t>יהב לוי</t>
        </is>
      </c>
      <c r="B7" s="28" t="inlineStr">
        <is>
          <t>מדרשה</t>
        </is>
      </c>
      <c r="C7" s="36" t="inlineStr">
        <is>
          <t>יואב</t>
        </is>
      </c>
      <c r="D7" s="36" t="inlineStr">
        <is>
          <t>כן</t>
        </is>
      </c>
      <c r="E7" s="35" t="inlineStr">
        <is>
          <t>עוגיות שוקולד צ'יפס</t>
        </is>
      </c>
      <c r="F7" s="22">
        <f>IF(A7="","",COUNTIF('משימות'!$G$3:$G$122,"*"&amp;A7&amp;"*"))</f>
        <v/>
      </c>
      <c r="G7" s="36" t="n">
        <v>3</v>
      </c>
      <c r="H7" s="22">
        <f>IF(A7="","",SUMIF('היסטוריה'!$B$3:$B$3002,A7,'היסטוריה'!$E$3:$E$3002))</f>
        <v/>
      </c>
      <c r="I7" s="35" t="n"/>
    </row>
    <row r="8">
      <c r="A8" s="19" t="inlineStr">
        <is>
          <t>שחר קרן</t>
        </is>
      </c>
      <c r="B8" s="28" t="inlineStr">
        <is>
          <t>מדרשה</t>
        </is>
      </c>
      <c r="C8" s="36" t="inlineStr">
        <is>
          <t>הילה</t>
        </is>
      </c>
      <c r="D8" s="36" t="inlineStr">
        <is>
          <t>כן</t>
        </is>
      </c>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inlineStr">
        <is>
          <t>הילה</t>
        </is>
      </c>
      <c r="D9" s="36" t="inlineStr">
        <is>
          <t>כן</t>
        </is>
      </c>
      <c r="E9" s="35" t="inlineStr">
        <is>
          <t>עוגות שמרים</t>
        </is>
      </c>
      <c r="F9" s="22">
        <f>IF(A9="","",COUNTIF('משימות'!$G$3:$G$122,"*"&amp;A9&amp;"*"))</f>
        <v/>
      </c>
      <c r="G9" s="36" t="n">
        <v>3</v>
      </c>
      <c r="H9" s="22">
        <f>IF(A9="","",SUMIF('היסטוריה'!$B$3:$B$3002,A9,'היסטוריה'!$E$3:$E$3002))</f>
        <v/>
      </c>
      <c r="I9" s="35" t="n"/>
    </row>
    <row r="10">
      <c r="A10" s="19" t="inlineStr">
        <is>
          <t>אחיה נחמני</t>
        </is>
      </c>
      <c r="B10" s="28" t="inlineStr">
        <is>
          <t>מדרשה</t>
        </is>
      </c>
      <c r="C10" s="36" t="inlineStr">
        <is>
          <t>אבי</t>
        </is>
      </c>
      <c r="D10" s="36" t="inlineStr">
        <is>
          <t>כן</t>
        </is>
      </c>
      <c r="E10" s="35" t="inlineStr">
        <is>
          <t>טיש</t>
        </is>
      </c>
      <c r="F10" s="22">
        <f>IF(A10="","",COUNTIF('משימות'!$G$3:$G$122,"*"&amp;A10&amp;"*"))</f>
        <v/>
      </c>
      <c r="G10" s="36" t="n">
        <v>1</v>
      </c>
      <c r="H10" s="22">
        <f>IF(A10="","",SUMIF('היסטוריה'!$B$3:$B$3002,A10,'היסטוריה'!$E$3:$E$3002))</f>
        <v/>
      </c>
      <c r="I10" s="35" t="n"/>
    </row>
    <row r="11">
      <c r="A11" s="19" t="inlineStr">
        <is>
          <t>ניצן שטיין</t>
        </is>
      </c>
      <c r="B11" s="28" t="inlineStr">
        <is>
          <t>מדרשה</t>
        </is>
      </c>
      <c r="C11" s="36" t="inlineStr">
        <is>
          <t>יואב</t>
        </is>
      </c>
      <c r="D11" s="36" t="inlineStr">
        <is>
          <t>כן</t>
        </is>
      </c>
      <c r="E11" s="35" t="inlineStr">
        <is>
          <t>בראוניז ללא גלוטן</t>
        </is>
      </c>
      <c r="F11" s="22">
        <f>IF(A11="","",COUNTIF('משימות'!$G$3:$G$122,"*"&amp;A11&amp;"*"))</f>
        <v/>
      </c>
      <c r="G11" s="36" t="n">
        <v>3</v>
      </c>
      <c r="H11" s="22">
        <f>IF(A11="","",SUMIF('היסטוריה'!$B$3:$B$3002,A11,'היסטוריה'!$E$3:$E$3002))</f>
        <v/>
      </c>
      <c r="I11" s="35" t="n"/>
    </row>
    <row r="12">
      <c r="A12" s="19" t="inlineStr">
        <is>
          <t>מעיין יוספי</t>
        </is>
      </c>
      <c r="B12" s="28" t="inlineStr">
        <is>
          <t>מדרשה</t>
        </is>
      </c>
      <c r="C12" s="36" t="inlineStr">
        <is>
          <t>יואב</t>
        </is>
      </c>
      <c r="D12" s="36" t="inlineStr">
        <is>
          <t>כן</t>
        </is>
      </c>
      <c r="E12" s="35" t="inlineStr">
        <is>
          <t>טיש</t>
        </is>
      </c>
      <c r="F12" s="22">
        <f>IF(A12="","",COUNTIF('משימות'!$G$3:$G$122,"*"&amp;A12&amp;"*"))</f>
        <v/>
      </c>
      <c r="G12" s="36" t="n">
        <v>1</v>
      </c>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inlineStr">
        <is>
          <t>לא נוכח/ת</t>
        </is>
      </c>
    </row>
    <row r="14">
      <c r="A14" s="19" t="inlineStr">
        <is>
          <t>עמית סיילס</t>
        </is>
      </c>
      <c r="B14" s="28" t="inlineStr">
        <is>
          <t>מדרשה</t>
        </is>
      </c>
      <c r="C14" s="36" t="inlineStr">
        <is>
          <t>תמר</t>
        </is>
      </c>
      <c r="D14" s="36" t="inlineStr">
        <is>
          <t>כן</t>
        </is>
      </c>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inlineStr">
        <is>
          <t>הילה</t>
        </is>
      </c>
      <c r="D15" s="36" t="inlineStr">
        <is>
          <t>כן</t>
        </is>
      </c>
      <c r="E15" s="35" t="inlineStr">
        <is>
          <t>קידוש</t>
        </is>
      </c>
      <c r="F15" s="22">
        <f>IF(A15="","",COUNTIF('משימות'!$G$3:$G$122,"*"&amp;A15&amp;"*"))</f>
        <v/>
      </c>
      <c r="G15" s="36" t="n">
        <v>1</v>
      </c>
      <c r="H15" s="22">
        <f>IF(A15="","",SUMIF('היסטוריה'!$B$3:$B$3002,A15,'היסטוריה'!$E$3:$E$3002))</f>
        <v/>
      </c>
      <c r="I15" s="35" t="n"/>
    </row>
    <row r="16">
      <c r="A16" s="19" t="inlineStr">
        <is>
          <t>משה אוברשטיין</t>
        </is>
      </c>
      <c r="B16" s="28" t="inlineStr">
        <is>
          <t>מדרשה</t>
        </is>
      </c>
      <c r="C16" s="36" t="inlineStr">
        <is>
          <t>תמר</t>
        </is>
      </c>
      <c r="D16" s="36" t="inlineStr">
        <is>
          <t>כן</t>
        </is>
      </c>
      <c r="E16" s="35" t="inlineStr">
        <is>
          <t>עוגת דבש</t>
        </is>
      </c>
      <c r="F16" s="22">
        <f>IF(A16="","",COUNTIF('משימות'!$G$3:$G$122,"*"&amp;A16&amp;"*"))</f>
        <v/>
      </c>
      <c r="G16" s="36" t="n">
        <v>3</v>
      </c>
      <c r="H16" s="22">
        <f>IF(A16="","",SUMIF('היסטוריה'!$B$3:$B$3002,A16,'היסטוריה'!$E$3:$E$3002))</f>
        <v/>
      </c>
      <c r="I16" s="35" t="n"/>
    </row>
    <row r="17">
      <c r="A17" s="19" t="inlineStr">
        <is>
          <t>אוריה תעשה</t>
        </is>
      </c>
      <c r="B17" s="28" t="inlineStr">
        <is>
          <t>מדרשה</t>
        </is>
      </c>
      <c r="C17" s="36" t="inlineStr">
        <is>
          <t>יואב</t>
        </is>
      </c>
      <c r="D17" s="36" t="inlineStr">
        <is>
          <t>כן</t>
        </is>
      </c>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inlineStr">
        <is>
          <t>יואב</t>
        </is>
      </c>
      <c r="D18" s="36" t="inlineStr">
        <is>
          <t>כן</t>
        </is>
      </c>
      <c r="E18" s="35" t="inlineStr">
        <is>
          <t>ארוחת ערב</t>
        </is>
      </c>
      <c r="F18" s="22">
        <f>IF(A18="","",COUNTIF('משימות'!$G$3:$G$122,"*"&amp;A18&amp;"*"))</f>
        <v/>
      </c>
      <c r="G18" s="36" t="n">
        <v>2</v>
      </c>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inlineStr">
        <is>
          <t>לא נוכח/ת</t>
        </is>
      </c>
    </row>
    <row r="20">
      <c r="A20" s="19" t="inlineStr">
        <is>
          <t>נדב טוקר</t>
        </is>
      </c>
      <c r="B20" s="28" t="inlineStr">
        <is>
          <t>מדרשה</t>
        </is>
      </c>
      <c r="C20" s="36" t="inlineStr">
        <is>
          <t>בניה</t>
        </is>
      </c>
      <c r="D20" s="36" t="inlineStr">
        <is>
          <t>כן</t>
        </is>
      </c>
      <c r="E20" s="35" t="inlineStr">
        <is>
          <t>ארוחת צהריים שבת</t>
        </is>
      </c>
      <c r="F20" s="22">
        <f>IF(A20="","",COUNTIF('משימות'!$G$3:$G$122,"*"&amp;A20&amp;"*"))</f>
        <v/>
      </c>
      <c r="G20" s="36" t="n">
        <v>2</v>
      </c>
      <c r="H20" s="22">
        <f>IF(A20="","",SUMIF('היסטוריה'!$B$3:$B$3002,A20,'היסטוריה'!$E$3:$E$3002))</f>
        <v/>
      </c>
      <c r="I20" s="35" t="n"/>
    </row>
    <row r="21">
      <c r="A21" s="19" t="inlineStr">
        <is>
          <t>הדר עמדי</t>
        </is>
      </c>
      <c r="B21" s="28" t="inlineStr">
        <is>
          <t>מדרשה</t>
        </is>
      </c>
      <c r="C21" s="36" t="inlineStr">
        <is>
          <t>תמר</t>
        </is>
      </c>
      <c r="D21" s="36" t="inlineStr">
        <is>
          <t>כן</t>
        </is>
      </c>
      <c r="E21" s="35" t="inlineStr">
        <is>
          <t>טיש</t>
        </is>
      </c>
      <c r="F21" s="22">
        <f>IF(A21="","",COUNTIF('משימות'!$G$3:$G$122,"*"&amp;A21&amp;"*"))</f>
        <v/>
      </c>
      <c r="G21" s="36" t="n">
        <v>1</v>
      </c>
      <c r="H21" s="22">
        <f>IF(A21="","",SUMIF('היסטוריה'!$B$3:$B$3002,A21,'היסטוריה'!$E$3:$E$3002))</f>
        <v/>
      </c>
      <c r="I21" s="35" t="n"/>
    </row>
    <row r="22">
      <c r="A22" s="19" t="inlineStr">
        <is>
          <t>יואב אוחנה</t>
        </is>
      </c>
      <c r="B22" s="28" t="inlineStr">
        <is>
          <t>מדרשה</t>
        </is>
      </c>
      <c r="C22" s="36" t="inlineStr">
        <is>
          <t>הילה</t>
        </is>
      </c>
      <c r="D22" s="36" t="inlineStr">
        <is>
          <t>כן</t>
        </is>
      </c>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inlineStr">
        <is>
          <t>תמר</t>
        </is>
      </c>
      <c r="D23" s="36" t="inlineStr">
        <is>
          <t>כן</t>
        </is>
      </c>
      <c r="E23" s="35" t="inlineStr">
        <is>
          <t>בית מדרש</t>
        </is>
      </c>
      <c r="F23" s="22">
        <f>IF(A23="","",COUNTIF('משימות'!$G$3:$G$122,"*"&amp;A23&amp;"*"))</f>
        <v/>
      </c>
      <c r="G23" s="36" t="n">
        <v>3</v>
      </c>
      <c r="H23" s="22">
        <f>IF(A23="","",SUMIF('היסטוריה'!$B$3:$B$3002,A23,'היסטוריה'!$E$3:$E$3002))</f>
        <v/>
      </c>
      <c r="I23" s="35" t="n"/>
    </row>
    <row r="24">
      <c r="A24" s="19" t="inlineStr">
        <is>
          <t>עופר בביוף</t>
        </is>
      </c>
      <c r="B24" s="28" t="inlineStr">
        <is>
          <t>מדרשה</t>
        </is>
      </c>
      <c r="C24" s="36" t="inlineStr">
        <is>
          <t>יואב</t>
        </is>
      </c>
      <c r="D24" s="36" t="inlineStr">
        <is>
          <t>כן</t>
        </is>
      </c>
      <c r="E24" s="35" t="inlineStr">
        <is>
          <t>בית מדרש</t>
        </is>
      </c>
      <c r="F24" s="22">
        <f>IF(A24="","",COUNTIF('משימות'!$G$3:$G$122,"*"&amp;A24&amp;"*"))</f>
        <v/>
      </c>
      <c r="G24" s="36" t="n">
        <v>3</v>
      </c>
      <c r="H24" s="22">
        <f>IF(A24="","",SUMIF('היסטוריה'!$B$3:$B$3002,A24,'היסטוריה'!$E$3:$E$3002))</f>
        <v/>
      </c>
      <c r="I24" s="35" t="n"/>
    </row>
    <row r="25">
      <c r="A25" s="19" t="inlineStr">
        <is>
          <t>הילה עזרא</t>
        </is>
      </c>
      <c r="B25" s="28" t="inlineStr">
        <is>
          <t>מדרשה</t>
        </is>
      </c>
      <c r="C25" s="36" t="inlineStr">
        <is>
          <t>הילה</t>
        </is>
      </c>
      <c r="D25" s="36" t="inlineStr">
        <is>
          <t>כן</t>
        </is>
      </c>
      <c r="E25" s="35" t="inlineStr">
        <is>
          <t>עוגות שמרים</t>
        </is>
      </c>
      <c r="F25" s="22">
        <f>IF(A25="","",COUNTIF('משימות'!$G$3:$G$122,"*"&amp;A25&amp;"*"))</f>
        <v/>
      </c>
      <c r="G25" s="36" t="n">
        <v>3</v>
      </c>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inlineStr">
        <is>
          <t>לא נוכח/ת</t>
        </is>
      </c>
    </row>
    <row r="27">
      <c r="A27" s="19" t="inlineStr">
        <is>
          <t>שחר מרקוביץ' גליק</t>
        </is>
      </c>
      <c r="B27" s="28" t="inlineStr">
        <is>
          <t>מדרשה</t>
        </is>
      </c>
      <c r="C27" s="36" t="n"/>
      <c r="D27" s="36" t="inlineStr">
        <is>
          <t>כן</t>
        </is>
      </c>
      <c r="E27" s="35" t="inlineStr">
        <is>
          <t>סלט חצילים</t>
        </is>
      </c>
      <c r="F27" s="22">
        <f>IF(A27="","",COUNTIF('משימות'!$G$3:$G$122,"*"&amp;A27&amp;"*"))</f>
        <v/>
      </c>
      <c r="G27" s="36" t="n">
        <v>3</v>
      </c>
      <c r="H27" s="22">
        <f>IF(A27="","",SUMIF('היסטוריה'!$B$3:$B$3002,A27,'היסטוריה'!$E$3:$E$3002))</f>
        <v/>
      </c>
      <c r="I27" s="35" t="n"/>
    </row>
    <row r="28">
      <c r="A28" s="19" t="inlineStr">
        <is>
          <t>שליו שישו</t>
        </is>
      </c>
      <c r="B28" s="28" t="inlineStr">
        <is>
          <t>מדרשה</t>
        </is>
      </c>
      <c r="C28" s="36" t="inlineStr">
        <is>
          <t>תמר</t>
        </is>
      </c>
      <c r="D28" s="36" t="inlineStr">
        <is>
          <t>כן</t>
        </is>
      </c>
      <c r="E28" s="35" t="inlineStr">
        <is>
          <t>מטבוחה</t>
        </is>
      </c>
      <c r="F28" s="22">
        <f>IF(A28="","",COUNTIF('משימות'!$G$3:$G$122,"*"&amp;A28&amp;"*"))</f>
        <v/>
      </c>
      <c r="G28" s="36" t="n">
        <v>3</v>
      </c>
      <c r="H28" s="22">
        <f>IF(A28="","",SUMIF('היסטוריה'!$B$3:$B$3002,A28,'היסטוריה'!$E$3:$E$3002))</f>
        <v/>
      </c>
      <c r="I28" s="35" t="n"/>
    </row>
    <row r="29">
      <c r="A29" s="19" t="inlineStr">
        <is>
          <t>חיים שמאי</t>
        </is>
      </c>
      <c r="B29" s="28" t="inlineStr">
        <is>
          <t>מדרשה</t>
        </is>
      </c>
      <c r="C29" s="36" t="inlineStr">
        <is>
          <t>הילה</t>
        </is>
      </c>
      <c r="D29" s="36" t="inlineStr">
        <is>
          <t>כן</t>
        </is>
      </c>
      <c r="E29" s="35" t="inlineStr">
        <is>
          <t>עוגות שמרים; ארוחת ערב</t>
        </is>
      </c>
      <c r="F29" s="22">
        <f>IF(A29="","",COUNTIF('משימות'!$G$3:$G$122,"*"&amp;A29&amp;"*"))</f>
        <v/>
      </c>
      <c r="G29" s="36" t="n">
        <v>5</v>
      </c>
      <c r="H29" s="22">
        <f>IF(A29="","",SUMIF('היסטוריה'!$B$3:$B$3002,A29,'היסטוריה'!$E$3:$E$3002))</f>
        <v/>
      </c>
      <c r="I29" s="35" t="n"/>
    </row>
    <row r="30">
      <c r="A30" s="19" t="inlineStr">
        <is>
          <t>אנה עזריאל</t>
        </is>
      </c>
      <c r="B30" s="28" t="inlineStr">
        <is>
          <t>מדרשה</t>
        </is>
      </c>
      <c r="C30" s="36" t="inlineStr">
        <is>
          <t>יואב</t>
        </is>
      </c>
      <c r="D30" s="36" t="inlineStr">
        <is>
          <t>כן</t>
        </is>
      </c>
      <c r="E30" s="35" t="inlineStr">
        <is>
          <t>חלות</t>
        </is>
      </c>
      <c r="F30" s="22">
        <f>IF(A30="","",COUNTIF('משימות'!$G$3:$G$122,"*"&amp;A30&amp;"*"))</f>
        <v/>
      </c>
      <c r="G30" s="36" t="n">
        <v>3</v>
      </c>
      <c r="H30" s="22">
        <f>IF(A30="","",SUMIF('היסטוריה'!$B$3:$B$3002,A30,'היסטוריה'!$E$3:$E$3002))</f>
        <v/>
      </c>
      <c r="I30" s="35" t="n"/>
    </row>
    <row r="31">
      <c r="A31" s="19" t="inlineStr">
        <is>
          <t>אלרואי גרינברג</t>
        </is>
      </c>
      <c r="B31" s="28" t="inlineStr">
        <is>
          <t>מדרשה</t>
        </is>
      </c>
      <c r="C31" s="36" t="inlineStr">
        <is>
          <t>אבי</t>
        </is>
      </c>
      <c r="D31" s="36" t="inlineStr">
        <is>
          <t>כן</t>
        </is>
      </c>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inlineStr">
        <is>
          <t>תמר</t>
        </is>
      </c>
      <c r="D32" s="36" t="inlineStr">
        <is>
          <t>כן</t>
        </is>
      </c>
      <c r="E32" s="35" t="inlineStr">
        <is>
          <t>ארוחת ערב</t>
        </is>
      </c>
      <c r="F32" s="22">
        <f>IF(A32="","",COUNTIF('משימות'!$G$3:$G$122,"*"&amp;A32&amp;"*"))</f>
        <v/>
      </c>
      <c r="G32" s="36" t="n">
        <v>2</v>
      </c>
      <c r="H32" s="22">
        <f>IF(A32="","",SUMIF('היסטוריה'!$B$3:$B$3002,A32,'היסטוריה'!$E$3:$E$3002))</f>
        <v/>
      </c>
      <c r="I32" s="35" t="n"/>
    </row>
    <row r="33">
      <c r="A33" s="19" t="inlineStr">
        <is>
          <t>רותם דרור</t>
        </is>
      </c>
      <c r="B33" s="28" t="inlineStr">
        <is>
          <t>מדרשה</t>
        </is>
      </c>
      <c r="C33" s="36" t="inlineStr">
        <is>
          <t>אבי</t>
        </is>
      </c>
      <c r="D33" s="36" t="inlineStr">
        <is>
          <t>כן</t>
        </is>
      </c>
      <c r="E33" s="35" t="inlineStr">
        <is>
          <t>בית מדרש</t>
        </is>
      </c>
      <c r="F33" s="22">
        <f>IF(A33="","",COUNTIF('משימות'!$G$3:$G$122,"*"&amp;A33&amp;"*"))</f>
        <v/>
      </c>
      <c r="G33" s="36" t="n">
        <v>3</v>
      </c>
      <c r="H33" s="22">
        <f>IF(A33="","",SUMIF('היסטוריה'!$B$3:$B$3002,A33,'היסטוריה'!$E$3:$E$3002))</f>
        <v/>
      </c>
      <c r="I33" s="35" t="n"/>
    </row>
    <row r="34">
      <c r="A34" s="19" t="inlineStr">
        <is>
          <t>עומר יוסף גנון</t>
        </is>
      </c>
      <c r="B34" s="28" t="inlineStr">
        <is>
          <t>מדרשה</t>
        </is>
      </c>
      <c r="C34" s="36" t="inlineStr">
        <is>
          <t>בניה</t>
        </is>
      </c>
      <c r="D34" s="36" t="inlineStr">
        <is>
          <t>כן</t>
        </is>
      </c>
      <c r="E34" s="35" t="inlineStr">
        <is>
          <t>בית מדרש</t>
        </is>
      </c>
      <c r="F34" s="22">
        <f>IF(A34="","",COUNTIF('משימות'!$G$3:$G$122,"*"&amp;A34&amp;"*"))</f>
        <v/>
      </c>
      <c r="G34" s="36" t="n">
        <v>3</v>
      </c>
      <c r="H34" s="22">
        <f>IF(A34="","",SUMIF('היסטוריה'!$B$3:$B$3002,A34,'היסטוריה'!$E$3:$E$3002))</f>
        <v/>
      </c>
      <c r="I34" s="35" t="n"/>
    </row>
    <row r="35">
      <c r="A35" s="19" t="inlineStr">
        <is>
          <t>סהר שירון</t>
        </is>
      </c>
      <c r="B35" s="28" t="inlineStr">
        <is>
          <t>מדרשה</t>
        </is>
      </c>
      <c r="C35" s="36" t="inlineStr">
        <is>
          <t>הילה</t>
        </is>
      </c>
      <c r="D35" s="36" t="inlineStr">
        <is>
          <t>כן</t>
        </is>
      </c>
      <c r="E35" s="35" t="inlineStr">
        <is>
          <t>בית מדרש</t>
        </is>
      </c>
      <c r="F35" s="22">
        <f>IF(A35="","",COUNTIF('משימות'!$G$3:$G$122,"*"&amp;A35&amp;"*"))</f>
        <v/>
      </c>
      <c r="G35" s="36" t="n">
        <v>3</v>
      </c>
      <c r="H35" s="22">
        <f>IF(A35="","",SUMIF('היסטוריה'!$B$3:$B$3002,A35,'היסטוריה'!$E$3:$E$3002))</f>
        <v/>
      </c>
      <c r="I35" s="35" t="n"/>
    </row>
    <row r="36">
      <c r="A36" s="19" t="inlineStr">
        <is>
          <t>שירה ספונוב</t>
        </is>
      </c>
      <c r="B36" s="28" t="inlineStr">
        <is>
          <t>מדרשה</t>
        </is>
      </c>
      <c r="C36" s="36" t="inlineStr">
        <is>
          <t>הילה</t>
        </is>
      </c>
      <c r="D36" s="36" t="inlineStr">
        <is>
          <t>כן</t>
        </is>
      </c>
      <c r="E36" s="35" t="inlineStr">
        <is>
          <t>ארוחת ערב</t>
        </is>
      </c>
      <c r="F36" s="22">
        <f>IF(A36="","",COUNTIF('משימות'!$G$3:$G$122,"*"&amp;A36&amp;"*"))</f>
        <v/>
      </c>
      <c r="G36" s="36" t="n">
        <v>2</v>
      </c>
      <c r="H36" s="22">
        <f>IF(A36="","",SUMIF('היסטוריה'!$B$3:$B$3002,A36,'היסטוריה'!$E$3:$E$3002))</f>
        <v/>
      </c>
      <c r="I36" s="35" t="n"/>
    </row>
    <row r="37">
      <c r="A37" s="19" t="inlineStr">
        <is>
          <t>הלל פינגולד</t>
        </is>
      </c>
      <c r="B37" s="28" t="inlineStr">
        <is>
          <t>מדרשה</t>
        </is>
      </c>
      <c r="C37" s="36" t="inlineStr">
        <is>
          <t>הילה</t>
        </is>
      </c>
      <c r="D37" s="36" t="inlineStr">
        <is>
          <t>כן</t>
        </is>
      </c>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inlineStr">
        <is>
          <t>לא נוכח/ת</t>
        </is>
      </c>
    </row>
    <row r="39">
      <c r="A39" s="19" t="inlineStr">
        <is>
          <t>מעיין רחל דינר</t>
        </is>
      </c>
      <c r="B39" s="28" t="inlineStr">
        <is>
          <t>מדרשה</t>
        </is>
      </c>
      <c r="C39" s="36" t="inlineStr">
        <is>
          <t>בניה</t>
        </is>
      </c>
      <c r="D39" s="36" t="inlineStr">
        <is>
          <t>כן</t>
        </is>
      </c>
      <c r="E39" s="35" t="inlineStr">
        <is>
          <t>טיש</t>
        </is>
      </c>
      <c r="F39" s="22">
        <f>IF(A39="","",COUNTIF('משימות'!$G$3:$G$122,"*"&amp;A39&amp;"*"))</f>
        <v/>
      </c>
      <c r="G39" s="36" t="n">
        <v>1</v>
      </c>
      <c r="H39" s="22">
        <f>IF(A39="","",SUMIF('היסטוריה'!$B$3:$B$3002,A39,'היסטוריה'!$E$3:$E$3002))</f>
        <v/>
      </c>
      <c r="I39" s="35" t="n"/>
    </row>
    <row r="40">
      <c r="A40" s="19" t="inlineStr">
        <is>
          <t>עמרי קולטון</t>
        </is>
      </c>
      <c r="B40" s="28" t="inlineStr">
        <is>
          <t>מדרשה</t>
        </is>
      </c>
      <c r="C40" s="36" t="inlineStr">
        <is>
          <t>בניה</t>
        </is>
      </c>
      <c r="D40" s="36" t="inlineStr">
        <is>
          <t>כן</t>
        </is>
      </c>
      <c r="E40" s="35" t="inlineStr">
        <is>
          <t>קידוש</t>
        </is>
      </c>
      <c r="F40" s="22">
        <f>IF(A40="","",COUNTIF('משימות'!$G$3:$G$122,"*"&amp;A40&amp;"*"))</f>
        <v/>
      </c>
      <c r="G40" s="36" t="n">
        <v>1</v>
      </c>
      <c r="H40" s="22">
        <f>IF(A40="","",SUMIF('היסטוריה'!$B$3:$B$3002,A40,'היסטוריה'!$E$3:$E$3002))</f>
        <v/>
      </c>
      <c r="I40" s="35" t="n"/>
    </row>
    <row r="41">
      <c r="A41" s="19" t="inlineStr">
        <is>
          <t>נגה חוה כהן</t>
        </is>
      </c>
      <c r="B41" s="28" t="inlineStr">
        <is>
          <t>מדרשה</t>
        </is>
      </c>
      <c r="C41" s="36" t="inlineStr">
        <is>
          <t>תמר</t>
        </is>
      </c>
      <c r="D41" s="36" t="inlineStr">
        <is>
          <t>כן</t>
        </is>
      </c>
      <c r="E41" s="35" t="inlineStr">
        <is>
          <t>מטבוחה</t>
        </is>
      </c>
      <c r="F41" s="22">
        <f>IF(A41="","",COUNTIF('משימות'!$G$3:$G$122,"*"&amp;A41&amp;"*"))</f>
        <v/>
      </c>
      <c r="G41" s="36" t="n">
        <v>3</v>
      </c>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inlineStr">
        <is>
          <t>לא נוכח/ת</t>
        </is>
      </c>
    </row>
    <row r="43">
      <c r="A43" s="19" t="inlineStr">
        <is>
          <t>נגה שוהם</t>
        </is>
      </c>
      <c r="B43" s="28" t="inlineStr">
        <is>
          <t>מדרשה</t>
        </is>
      </c>
      <c r="C43" s="36" t="inlineStr">
        <is>
          <t>יואב</t>
        </is>
      </c>
      <c r="D43" s="36" t="inlineStr">
        <is>
          <t>כן</t>
        </is>
      </c>
      <c r="E43" s="35" t="inlineStr">
        <is>
          <t>ארוחת צהריים שבת</t>
        </is>
      </c>
      <c r="F43" s="22">
        <f>IF(A43="","",COUNTIF('משימות'!$G$3:$G$122,"*"&amp;A43&amp;"*"))</f>
        <v/>
      </c>
      <c r="G43" s="36" t="n">
        <v>2</v>
      </c>
      <c r="H43" s="22">
        <f>IF(A43="","",SUMIF('היסטוריה'!$B$3:$B$3002,A43,'היסטוריה'!$E$3:$E$3002))</f>
        <v/>
      </c>
      <c r="I43" s="35" t="n"/>
    </row>
    <row r="44">
      <c r="A44" s="19" t="inlineStr">
        <is>
          <t>ינון לוי</t>
        </is>
      </c>
      <c r="B44" s="28" t="inlineStr">
        <is>
          <t>מדרשה</t>
        </is>
      </c>
      <c r="C44" s="36" t="inlineStr">
        <is>
          <t>אבי</t>
        </is>
      </c>
      <c r="D44" s="36" t="inlineStr">
        <is>
          <t>כן</t>
        </is>
      </c>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inlineStr">
        <is>
          <t>לא נוכח/ת</t>
        </is>
      </c>
    </row>
    <row r="46">
      <c r="A46" s="19" t="inlineStr">
        <is>
          <t>אלה מאיר</t>
        </is>
      </c>
      <c r="B46" s="28" t="inlineStr">
        <is>
          <t>מדרשה</t>
        </is>
      </c>
      <c r="C46" s="36" t="inlineStr">
        <is>
          <t>תמר</t>
        </is>
      </c>
      <c r="D46" s="36" t="inlineStr">
        <is>
          <t>כן</t>
        </is>
      </c>
      <c r="E46" s="35" t="inlineStr">
        <is>
          <t>בית מדרש</t>
        </is>
      </c>
      <c r="F46" s="22">
        <f>IF(A46="","",COUNTIF('משימות'!$G$3:$G$122,"*"&amp;A46&amp;"*"))</f>
        <v/>
      </c>
      <c r="G46" s="36" t="n">
        <v>3</v>
      </c>
      <c r="H46" s="22">
        <f>IF(A46="","",SUMIF('היסטוריה'!$B$3:$B$3002,A46,'היסטוריה'!$E$3:$E$3002))</f>
        <v/>
      </c>
      <c r="I46" s="35" t="n"/>
    </row>
    <row r="47">
      <c r="A47" s="19" t="inlineStr">
        <is>
          <t>זואי כהן</t>
        </is>
      </c>
      <c r="B47" s="28" t="inlineStr">
        <is>
          <t>מדרשה</t>
        </is>
      </c>
      <c r="C47" s="36" t="inlineStr">
        <is>
          <t>תמר</t>
        </is>
      </c>
      <c r="D47" s="36" t="inlineStr">
        <is>
          <t>כן</t>
        </is>
      </c>
      <c r="E47" s="35" t="inlineStr">
        <is>
          <t>ארוחת ערב</t>
        </is>
      </c>
      <c r="F47" s="22">
        <f>IF(A47="","",COUNTIF('משימות'!$G$3:$G$122,"*"&amp;A47&amp;"*"))</f>
        <v/>
      </c>
      <c r="G47" s="36" t="n">
        <v>2</v>
      </c>
      <c r="H47" s="22">
        <f>IF(A47="","",SUMIF('היסטוריה'!$B$3:$B$3002,A47,'היסטוריה'!$E$3:$E$3002))</f>
        <v/>
      </c>
      <c r="I47" s="35" t="n"/>
    </row>
    <row r="48">
      <c r="A48" s="19" t="inlineStr">
        <is>
          <t>של״ו רובינשטיין</t>
        </is>
      </c>
      <c r="B48" s="28" t="inlineStr">
        <is>
          <t>מדרשה</t>
        </is>
      </c>
      <c r="C48" s="36" t="inlineStr">
        <is>
          <t>הילה</t>
        </is>
      </c>
      <c r="D48" s="36" t="inlineStr">
        <is>
          <t>כן</t>
        </is>
      </c>
      <c r="E48" s="35" t="inlineStr">
        <is>
          <t>מטבוחה</t>
        </is>
      </c>
      <c r="F48" s="22">
        <f>IF(A48="","",COUNTIF('משימות'!$G$3:$G$122,"*"&amp;A48&amp;"*"))</f>
        <v/>
      </c>
      <c r="G48" s="36" t="n">
        <v>3</v>
      </c>
      <c r="H48" s="22">
        <f>IF(A48="","",SUMIF('היסטוריה'!$B$3:$B$3002,A48,'היסטוריה'!$E$3:$E$3002))</f>
        <v/>
      </c>
      <c r="I48" s="35" t="n"/>
    </row>
    <row r="49">
      <c r="A49" s="19" t="inlineStr">
        <is>
          <t>כליל בלאוקופף</t>
        </is>
      </c>
      <c r="B49" s="28" t="inlineStr">
        <is>
          <t>מדרשה</t>
        </is>
      </c>
      <c r="C49" s="36" t="inlineStr">
        <is>
          <t>בניה</t>
        </is>
      </c>
      <c r="D49" s="36" t="inlineStr">
        <is>
          <t>כן</t>
        </is>
      </c>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inlineStr">
        <is>
          <t>אבי</t>
        </is>
      </c>
      <c r="D50" s="36" t="inlineStr">
        <is>
          <t>כן</t>
        </is>
      </c>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inlineStr">
        <is>
          <t>בניה</t>
        </is>
      </c>
      <c r="D51" s="36" t="inlineStr">
        <is>
          <t>כן</t>
        </is>
      </c>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inlineStr">
        <is>
          <t>הילה</t>
        </is>
      </c>
      <c r="D52" s="36" t="inlineStr">
        <is>
          <t>כן</t>
        </is>
      </c>
      <c r="E52" s="35" t="inlineStr">
        <is>
          <t>עוגת דבש</t>
        </is>
      </c>
      <c r="F52" s="22">
        <f>IF(A52="","",COUNTIF('משימות'!$G$3:$G$122,"*"&amp;A52&amp;"*"))</f>
        <v/>
      </c>
      <c r="G52" s="36" t="n">
        <v>3</v>
      </c>
      <c r="H52" s="22">
        <f>IF(A52="","",SUMIF('היסטוריה'!$B$3:$B$3002,A52,'היסטוריה'!$E$3:$E$3002))</f>
        <v/>
      </c>
      <c r="I52" s="35" t="n"/>
    </row>
    <row r="53">
      <c r="A53" s="19" t="inlineStr">
        <is>
          <t>עמית שי אברהם</t>
        </is>
      </c>
      <c r="B53" s="28" t="inlineStr">
        <is>
          <t>מדרשה</t>
        </is>
      </c>
      <c r="C53" s="36" t="inlineStr">
        <is>
          <t>הילה</t>
        </is>
      </c>
      <c r="D53" s="36" t="inlineStr">
        <is>
          <t>כן</t>
        </is>
      </c>
      <c r="E53" s="35" t="inlineStr">
        <is>
          <t>ארוחת ערב</t>
        </is>
      </c>
      <c r="F53" s="22">
        <f>IF(A53="","",COUNTIF('משימות'!$G$3:$G$122,"*"&amp;A53&amp;"*"))</f>
        <v/>
      </c>
      <c r="G53" s="36" t="n">
        <v>2</v>
      </c>
      <c r="H53" s="22">
        <f>IF(A53="","",SUMIF('היסטוריה'!$B$3:$B$3002,A53,'היסטוריה'!$E$3:$E$3002))</f>
        <v/>
      </c>
      <c r="I53" s="35" t="n"/>
    </row>
    <row r="54">
      <c r="A54" s="19" t="inlineStr">
        <is>
          <t>תמר פרימור</t>
        </is>
      </c>
      <c r="B54" s="28" t="inlineStr">
        <is>
          <t>מדרשה</t>
        </is>
      </c>
      <c r="C54" s="36" t="inlineStr">
        <is>
          <t>יואב</t>
        </is>
      </c>
      <c r="D54" s="36" t="inlineStr">
        <is>
          <t>כן</t>
        </is>
      </c>
      <c r="E54" s="35" t="inlineStr">
        <is>
          <t>בית מדרש</t>
        </is>
      </c>
      <c r="F54" s="22">
        <f>IF(A54="","",COUNTIF('משימות'!$G$3:$G$122,"*"&amp;A54&amp;"*"))</f>
        <v/>
      </c>
      <c r="G54" s="36" t="n">
        <v>3</v>
      </c>
      <c r="H54" s="22">
        <f>IF(A54="","",SUMIF('היסטוריה'!$B$3:$B$3002,A54,'היסטוריה'!$E$3:$E$3002))</f>
        <v/>
      </c>
      <c r="I54" s="35" t="n"/>
    </row>
    <row r="55">
      <c r="A55" s="19" t="inlineStr">
        <is>
          <t>נבו בלוך</t>
        </is>
      </c>
      <c r="B55" s="28" t="inlineStr">
        <is>
          <t>מדרשה</t>
        </is>
      </c>
      <c r="C55" s="36" t="inlineStr">
        <is>
          <t>אבי</t>
        </is>
      </c>
      <c r="D55" s="36" t="inlineStr">
        <is>
          <t>כן</t>
        </is>
      </c>
      <c r="E55" s="35" t="inlineStr">
        <is>
          <t>ארוחת צהריים שישי</t>
        </is>
      </c>
      <c r="F55" s="22">
        <f>IF(A55="","",COUNTIF('משימות'!$G$3:$G$122,"*"&amp;A55&amp;"*"))</f>
        <v/>
      </c>
      <c r="G55" s="36" t="n">
        <v>3</v>
      </c>
      <c r="H55" s="22">
        <f>IF(A55="","",SUMIF('היסטוריה'!$B$3:$B$3002,A55,'היסטוריה'!$E$3:$E$3002))</f>
        <v/>
      </c>
      <c r="I55" s="35" t="n"/>
    </row>
    <row r="56">
      <c r="A56" s="19" t="inlineStr">
        <is>
          <t>ארבל פרנקו</t>
        </is>
      </c>
      <c r="B56" s="28" t="inlineStr">
        <is>
          <t>מדרשה</t>
        </is>
      </c>
      <c r="C56" s="36" t="inlineStr">
        <is>
          <t>בניה</t>
        </is>
      </c>
      <c r="D56" s="36" t="inlineStr">
        <is>
          <t>כן</t>
        </is>
      </c>
      <c r="E56" s="35" t="inlineStr">
        <is>
          <t>חלות</t>
        </is>
      </c>
      <c r="F56" s="22">
        <f>IF(A56="","",COUNTIF('משימות'!$G$3:$G$122,"*"&amp;A56&amp;"*"))</f>
        <v/>
      </c>
      <c r="G56" s="36" t="n">
        <v>3</v>
      </c>
      <c r="H56" s="22">
        <f>IF(A56="","",SUMIF('היסטוריה'!$B$3:$B$3002,A56,'היסטוריה'!$E$3:$E$3002))</f>
        <v/>
      </c>
      <c r="I56" s="35" t="n"/>
    </row>
    <row r="57">
      <c r="A57" s="19" t="inlineStr">
        <is>
          <t>יעל קהת</t>
        </is>
      </c>
      <c r="B57" s="28" t="inlineStr">
        <is>
          <t>מדרשה</t>
        </is>
      </c>
      <c r="C57" s="36" t="inlineStr">
        <is>
          <t>יואב</t>
        </is>
      </c>
      <c r="D57" s="36" t="inlineStr">
        <is>
          <t>כן</t>
        </is>
      </c>
      <c r="E57" s="35" t="inlineStr">
        <is>
          <t>מטבוחה</t>
        </is>
      </c>
      <c r="F57" s="22">
        <f>IF(A57="","",COUNTIF('משימות'!$G$3:$G$122,"*"&amp;A57&amp;"*"))</f>
        <v/>
      </c>
      <c r="G57" s="36" t="n">
        <v>3</v>
      </c>
      <c r="H57" s="22">
        <f>IF(A57="","",SUMIF('היסטוריה'!$B$3:$B$3002,A57,'היסטוריה'!$E$3:$E$3002))</f>
        <v/>
      </c>
      <c r="I57" s="35" t="n"/>
    </row>
    <row r="58">
      <c r="A58" s="19" t="inlineStr">
        <is>
          <t>יעל ברחד</t>
        </is>
      </c>
      <c r="B58" s="28" t="inlineStr">
        <is>
          <t>מדרשה</t>
        </is>
      </c>
      <c r="C58" s="36" t="inlineStr">
        <is>
          <t>בניה</t>
        </is>
      </c>
      <c r="D58" s="36" t="inlineStr">
        <is>
          <t>כן</t>
        </is>
      </c>
      <c r="E58" s="35" t="inlineStr">
        <is>
          <t>קידוש</t>
        </is>
      </c>
      <c r="F58" s="22">
        <f>IF(A58="","",COUNTIF('משימות'!$G$3:$G$122,"*"&amp;A58&amp;"*"))</f>
        <v/>
      </c>
      <c r="G58" s="36" t="n">
        <v>1</v>
      </c>
      <c r="H58" s="22">
        <f>IF(A58="","",SUMIF('היסטוריה'!$B$3:$B$3002,A58,'היסטוריה'!$E$3:$E$3002))</f>
        <v/>
      </c>
      <c r="I58" s="35" t="n"/>
    </row>
    <row r="59">
      <c r="A59" s="19" t="inlineStr">
        <is>
          <t>תמר פרידמן</t>
        </is>
      </c>
      <c r="B59" s="28" t="inlineStr">
        <is>
          <t>מדרשה</t>
        </is>
      </c>
      <c r="C59" s="36" t="inlineStr">
        <is>
          <t>תמר</t>
        </is>
      </c>
      <c r="D59" s="36" t="inlineStr">
        <is>
          <t>כן</t>
        </is>
      </c>
      <c r="E59" s="35" t="inlineStr">
        <is>
          <t>בית מדרש</t>
        </is>
      </c>
      <c r="F59" s="22">
        <f>IF(A59="","",COUNTIF('משימות'!$G$3:$G$122,"*"&amp;A59&amp;"*"))</f>
        <v/>
      </c>
      <c r="G59" s="36" t="n">
        <v>3</v>
      </c>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inlineStr">
        <is>
          <t>לא נוכח/ת</t>
        </is>
      </c>
    </row>
    <row r="61">
      <c r="A61" s="19" t="inlineStr">
        <is>
          <t>איתמר אסנהיים</t>
        </is>
      </c>
      <c r="B61" s="28" t="inlineStr">
        <is>
          <t>מדרשה</t>
        </is>
      </c>
      <c r="C61" s="36" t="inlineStr">
        <is>
          <t>תמר</t>
        </is>
      </c>
      <c r="D61" s="36" t="inlineStr">
        <is>
          <t>כן</t>
        </is>
      </c>
      <c r="E61" s="35" t="inlineStr">
        <is>
          <t>חלות; ארוחת צהריים שבת</t>
        </is>
      </c>
      <c r="F61" s="22">
        <f>IF(A61="","",COUNTIF('משימות'!$G$3:$G$122,"*"&amp;A61&amp;"*"))</f>
        <v/>
      </c>
      <c r="G61" s="36" t="n">
        <v>5</v>
      </c>
      <c r="H61" s="22">
        <f>IF(A61="","",SUMIF('היסטוריה'!$B$3:$B$3002,A61,'היסטוריה'!$E$3:$E$3002))</f>
        <v/>
      </c>
      <c r="I61" s="35" t="n"/>
    </row>
    <row r="62">
      <c r="A62" s="19" t="inlineStr">
        <is>
          <t>שי- לי וולגמוט</t>
        </is>
      </c>
      <c r="B62" s="28" t="inlineStr">
        <is>
          <t>מדרשה</t>
        </is>
      </c>
      <c r="C62" s="36" t="inlineStr">
        <is>
          <t>בניה</t>
        </is>
      </c>
      <c r="D62" s="36" t="inlineStr">
        <is>
          <t>כן</t>
        </is>
      </c>
      <c r="E62" s="35" t="inlineStr">
        <is>
          <t>בראוניז ללא גלוטן</t>
        </is>
      </c>
      <c r="F62" s="22">
        <f>IF(A62="","",COUNTIF('משימות'!$G$3:$G$122,"*"&amp;A62&amp;"*"))</f>
        <v/>
      </c>
      <c r="G62" s="36" t="n">
        <v>3</v>
      </c>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inlineStr">
        <is>
          <t>לא נוכח/ת</t>
        </is>
      </c>
    </row>
    <row r="64">
      <c r="A64" s="19" t="inlineStr">
        <is>
          <t>שילת פילפל</t>
        </is>
      </c>
      <c r="B64" s="28" t="inlineStr">
        <is>
          <t>מדרשה</t>
        </is>
      </c>
      <c r="C64" s="36" t="inlineStr">
        <is>
          <t>בניה</t>
        </is>
      </c>
      <c r="D64" s="36" t="inlineStr">
        <is>
          <t>כן</t>
        </is>
      </c>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inlineStr">
        <is>
          <t>בניה</t>
        </is>
      </c>
      <c r="D65" s="36" t="inlineStr">
        <is>
          <t>כן</t>
        </is>
      </c>
      <c r="E65" s="35" t="inlineStr">
        <is>
          <t>בית מדרש</t>
        </is>
      </c>
      <c r="F65" s="22">
        <f>IF(A65="","",COUNTIF('משימות'!$G$3:$G$122,"*"&amp;A65&amp;"*"))</f>
        <v/>
      </c>
      <c r="G65" s="36" t="n">
        <v>3</v>
      </c>
      <c r="H65" s="22">
        <f>IF(A65="","",SUMIF('היסטוריה'!$B$3:$B$3002,A65,'היסטוריה'!$E$3:$E$3002))</f>
        <v/>
      </c>
      <c r="I65" s="35" t="n"/>
    </row>
    <row r="66">
      <c r="A66" s="19" t="inlineStr">
        <is>
          <t>רועי צבי סרי</t>
        </is>
      </c>
      <c r="B66" s="28" t="inlineStr">
        <is>
          <t>מדרשה</t>
        </is>
      </c>
      <c r="C66" s="36" t="inlineStr">
        <is>
          <t>תמר</t>
        </is>
      </c>
      <c r="D66" s="36" t="inlineStr">
        <is>
          <t>כן</t>
        </is>
      </c>
      <c r="E66" s="35" t="inlineStr">
        <is>
          <t>חלות</t>
        </is>
      </c>
      <c r="F66" s="22">
        <f>IF(A66="","",COUNTIF('משימות'!$G$3:$G$122,"*"&amp;A66&amp;"*"))</f>
        <v/>
      </c>
      <c r="G66" s="36" t="n">
        <v>3</v>
      </c>
      <c r="H66" s="22">
        <f>IF(A66="","",SUMIF('היסטוריה'!$B$3:$B$3002,A66,'היסטוריה'!$E$3:$E$3002))</f>
        <v/>
      </c>
      <c r="I66" s="35" t="n"/>
    </row>
    <row r="67">
      <c r="A67" s="19" t="inlineStr">
        <is>
          <t>שירה אדלה לוזון</t>
        </is>
      </c>
      <c r="B67" s="28" t="inlineStr">
        <is>
          <t>מדרשה</t>
        </is>
      </c>
      <c r="C67" s="36" t="inlineStr">
        <is>
          <t>יואב</t>
        </is>
      </c>
      <c r="D67" s="36" t="inlineStr">
        <is>
          <t>כן</t>
        </is>
      </c>
      <c r="E67" s="35" t="inlineStr">
        <is>
          <t>בית מדרש</t>
        </is>
      </c>
      <c r="F67" s="22">
        <f>IF(A67="","",COUNTIF('משימות'!$G$3:$G$122,"*"&amp;A67&amp;"*"))</f>
        <v/>
      </c>
      <c r="G67" s="36" t="n">
        <v>3</v>
      </c>
      <c r="H67" s="22">
        <f>IF(A67="","",SUMIF('היסטוריה'!$B$3:$B$3002,A67,'היסטוריה'!$E$3:$E$3002))</f>
        <v/>
      </c>
      <c r="I67" s="35" t="n"/>
    </row>
    <row r="68">
      <c r="A68" s="19" t="inlineStr">
        <is>
          <t>איתן כהן</t>
        </is>
      </c>
      <c r="B68" s="28" t="inlineStr">
        <is>
          <t>מדרשה</t>
        </is>
      </c>
      <c r="C68" s="36" t="inlineStr">
        <is>
          <t>הילה</t>
        </is>
      </c>
      <c r="D68" s="36" t="inlineStr">
        <is>
          <t>כן</t>
        </is>
      </c>
      <c r="E68" s="35" t="inlineStr">
        <is>
          <t>עוגות שמרים</t>
        </is>
      </c>
      <c r="F68" s="22">
        <f>IF(A68="","",COUNTIF('משימות'!$G$3:$G$122,"*"&amp;A68&amp;"*"))</f>
        <v/>
      </c>
      <c r="G68" s="36" t="n">
        <v>3</v>
      </c>
      <c r="H68" s="22">
        <f>IF(A68="","",SUMIF('היסטוריה'!$B$3:$B$3002,A68,'היסטוריה'!$E$3:$E$3002))</f>
        <v/>
      </c>
      <c r="I68" s="35" t="n"/>
    </row>
    <row r="69">
      <c r="A69" s="19" t="inlineStr">
        <is>
          <t>אורי טילינגר</t>
        </is>
      </c>
      <c r="B69" s="28" t="inlineStr">
        <is>
          <t>מדרשה</t>
        </is>
      </c>
      <c r="C69" s="36" t="inlineStr">
        <is>
          <t>יואב</t>
        </is>
      </c>
      <c r="D69" s="36" t="inlineStr">
        <is>
          <t>כן</t>
        </is>
      </c>
      <c r="E69" s="35" t="inlineStr">
        <is>
          <t>בית מדרש</t>
        </is>
      </c>
      <c r="F69" s="22">
        <f>IF(A69="","",COUNTIF('משימות'!$G$3:$G$122,"*"&amp;A69&amp;"*"))</f>
        <v/>
      </c>
      <c r="G69" s="36" t="n">
        <v>3</v>
      </c>
      <c r="H69" s="22">
        <f>IF(A69="","",SUMIF('היסטוריה'!$B$3:$B$3002,A69,'היסטוריה'!$E$3:$E$3002))</f>
        <v/>
      </c>
      <c r="I69" s="35" t="n"/>
    </row>
    <row r="70">
      <c r="A70" s="19" t="inlineStr">
        <is>
          <t>איתי בן מנחם</t>
        </is>
      </c>
      <c r="B70" s="28" t="inlineStr">
        <is>
          <t>מדרשה</t>
        </is>
      </c>
      <c r="C70" s="36" t="inlineStr">
        <is>
          <t>בניה</t>
        </is>
      </c>
      <c r="D70" s="36" t="inlineStr">
        <is>
          <t>כן</t>
        </is>
      </c>
      <c r="E70" s="35" t="inlineStr">
        <is>
          <t>בית מדרש</t>
        </is>
      </c>
      <c r="F70" s="22">
        <f>IF(A70="","",COUNTIF('משימות'!$G$3:$G$122,"*"&amp;A70&amp;"*"))</f>
        <v/>
      </c>
      <c r="G70" s="36" t="n">
        <v>3</v>
      </c>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inlineStr">
        <is>
          <t>לא נוכח/ת</t>
        </is>
      </c>
    </row>
    <row r="72">
      <c r="A72" s="19" t="inlineStr">
        <is>
          <t>טליה קור</t>
        </is>
      </c>
      <c r="B72" s="28" t="inlineStr">
        <is>
          <t>מדרשה</t>
        </is>
      </c>
      <c r="C72" s="36" t="inlineStr">
        <is>
          <t>הילה</t>
        </is>
      </c>
      <c r="D72" s="36" t="inlineStr">
        <is>
          <t>כן</t>
        </is>
      </c>
      <c r="E72" s="35" t="inlineStr">
        <is>
          <t>חלות</t>
        </is>
      </c>
      <c r="F72" s="22">
        <f>IF(A72="","",COUNTIF('משימות'!$G$3:$G$122,"*"&amp;A72&amp;"*"))</f>
        <v/>
      </c>
      <c r="G72" s="36" t="n">
        <v>3</v>
      </c>
      <c r="H72" s="22">
        <f>IF(A72="","",SUMIF('היסטוריה'!$B$3:$B$3002,A72,'היסטוריה'!$E$3:$E$3002))</f>
        <v/>
      </c>
      <c r="I72" s="35" t="n"/>
    </row>
    <row r="73">
      <c r="A73" s="19" t="inlineStr">
        <is>
          <t>ניצן גמלא</t>
        </is>
      </c>
      <c r="B73" s="28" t="inlineStr">
        <is>
          <t>מדרשה</t>
        </is>
      </c>
      <c r="C73" s="36" t="inlineStr">
        <is>
          <t>תמר</t>
        </is>
      </c>
      <c r="D73" s="36" t="inlineStr">
        <is>
          <t>כן</t>
        </is>
      </c>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inlineStr">
        <is>
          <t>אלול</t>
        </is>
      </c>
      <c r="D74" s="36" t="inlineStr">
        <is>
          <t>כן</t>
        </is>
      </c>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inlineStr">
        <is>
          <t>אלול</t>
        </is>
      </c>
      <c r="D75" s="36" t="inlineStr">
        <is>
          <t>כן</t>
        </is>
      </c>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inlineStr">
        <is>
          <t>אלול</t>
        </is>
      </c>
      <c r="D76" s="36" t="inlineStr">
        <is>
          <t>כן</t>
        </is>
      </c>
      <c r="E76" s="35" t="inlineStr">
        <is>
          <t>ארוחת ערב</t>
        </is>
      </c>
      <c r="F76" s="22">
        <f>IF(A76="","",COUNTIF('משימות'!$G$3:$G$122,"*"&amp;A76&amp;"*"))</f>
        <v/>
      </c>
      <c r="G76" s="36" t="n">
        <v>2</v>
      </c>
      <c r="H76" s="22">
        <f>IF(A76="","",SUMIF('היסטוריה'!$B$3:$B$3002,A76,'היסטוריה'!$E$3:$E$3002))</f>
        <v/>
      </c>
      <c r="I76" s="35" t="n"/>
    </row>
    <row r="77">
      <c r="A77" s="19" t="inlineStr">
        <is>
          <t>איתי גוסטינר</t>
        </is>
      </c>
      <c r="B77" s="28" t="inlineStr">
        <is>
          <t>אלול</t>
        </is>
      </c>
      <c r="C77" s="36" t="inlineStr">
        <is>
          <t>אלול</t>
        </is>
      </c>
      <c r="D77" s="36" t="inlineStr">
        <is>
          <t>כן</t>
        </is>
      </c>
      <c r="E77" s="35" t="inlineStr">
        <is>
          <t>ארוחת צהריים שישי</t>
        </is>
      </c>
      <c r="F77" s="22">
        <f>IF(A77="","",COUNTIF('משימות'!$G$3:$G$122,"*"&amp;A77&amp;"*"))</f>
        <v/>
      </c>
      <c r="G77" s="36" t="n">
        <v>3</v>
      </c>
      <c r="H77" s="22">
        <f>IF(A77="","",SUMIF('היסטוריה'!$B$3:$B$3002,A77,'היסטוריה'!$E$3:$E$3002))</f>
        <v/>
      </c>
      <c r="I77" s="35" t="n"/>
    </row>
    <row r="78">
      <c r="A78" s="19" t="inlineStr">
        <is>
          <t>איתי רוס</t>
        </is>
      </c>
      <c r="B78" s="28" t="inlineStr">
        <is>
          <t>אלול</t>
        </is>
      </c>
      <c r="C78" s="36" t="inlineStr">
        <is>
          <t>אלול</t>
        </is>
      </c>
      <c r="D78" s="36" t="inlineStr">
        <is>
          <t>כן</t>
        </is>
      </c>
      <c r="E78" s="35" t="inlineStr">
        <is>
          <t>בית מדרש</t>
        </is>
      </c>
      <c r="F78" s="22">
        <f>IF(A78="","",COUNTIF('משימות'!$G$3:$G$122,"*"&amp;A78&amp;"*"))</f>
        <v/>
      </c>
      <c r="G78" s="36" t="n">
        <v>3</v>
      </c>
      <c r="H78" s="22">
        <f>IF(A78="","",SUMIF('היסטוריה'!$B$3:$B$3002,A78,'היסטוריה'!$E$3:$E$3002))</f>
        <v/>
      </c>
      <c r="I78" s="35" t="n"/>
    </row>
    <row r="79">
      <c r="A79" s="19" t="inlineStr">
        <is>
          <t>אלון דיין</t>
        </is>
      </c>
      <c r="B79" s="28" t="inlineStr">
        <is>
          <t>אלול</t>
        </is>
      </c>
      <c r="C79" s="36" t="inlineStr">
        <is>
          <t>אלול</t>
        </is>
      </c>
      <c r="D79" s="36" t="inlineStr">
        <is>
          <t>כן</t>
        </is>
      </c>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inlineStr">
        <is>
          <t>אלול</t>
        </is>
      </c>
      <c r="D80" s="36" t="inlineStr">
        <is>
          <t>כן</t>
        </is>
      </c>
      <c r="E80" s="35" t="inlineStr">
        <is>
          <t>קידוש</t>
        </is>
      </c>
      <c r="F80" s="22">
        <f>IF(A80="","",COUNTIF('משימות'!$G$3:$G$122,"*"&amp;A80&amp;"*"))</f>
        <v/>
      </c>
      <c r="G80" s="36" t="n">
        <v>1</v>
      </c>
      <c r="H80" s="22">
        <f>IF(A80="","",SUMIF('היסטוריה'!$B$3:$B$3002,A80,'היסטוריה'!$E$3:$E$3002))</f>
        <v/>
      </c>
      <c r="I80" s="35" t="n"/>
    </row>
    <row r="81">
      <c r="A81" s="19" t="inlineStr">
        <is>
          <t>יאר אלפסי</t>
        </is>
      </c>
      <c r="B81" s="28" t="inlineStr">
        <is>
          <t>אלול</t>
        </is>
      </c>
      <c r="C81" s="36" t="inlineStr">
        <is>
          <t>אלול</t>
        </is>
      </c>
      <c r="D81" s="36" t="inlineStr">
        <is>
          <t>כן</t>
        </is>
      </c>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inlineStr">
        <is>
          <t>אלול</t>
        </is>
      </c>
      <c r="D82" s="36" t="inlineStr">
        <is>
          <t>כן</t>
        </is>
      </c>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inlineStr">
        <is>
          <t>אלול</t>
        </is>
      </c>
      <c r="D83" s="36" t="inlineStr">
        <is>
          <t>כן</t>
        </is>
      </c>
      <c r="E83" s="35" t="inlineStr">
        <is>
          <t>קידוש</t>
        </is>
      </c>
      <c r="F83" s="22">
        <f>IF(A83="","",COUNTIF('משימות'!$G$3:$G$122,"*"&amp;A83&amp;"*"))</f>
        <v/>
      </c>
      <c r="G83" s="36" t="n">
        <v>1</v>
      </c>
      <c r="H83" s="22">
        <f>IF(A83="","",SUMIF('היסטוריה'!$B$3:$B$3002,A83,'היסטוריה'!$E$3:$E$3002))</f>
        <v/>
      </c>
      <c r="I83" s="35" t="n"/>
    </row>
    <row r="84">
      <c r="A84" s="19" t="inlineStr">
        <is>
          <t>ליבי בוכריס</t>
        </is>
      </c>
      <c r="B84" s="28" t="inlineStr">
        <is>
          <t>אלול</t>
        </is>
      </c>
      <c r="C84" s="36" t="inlineStr">
        <is>
          <t>אלול</t>
        </is>
      </c>
      <c r="D84" s="36" t="inlineStr">
        <is>
          <t>כן</t>
        </is>
      </c>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inlineStr">
        <is>
          <t>אלול</t>
        </is>
      </c>
      <c r="D85" s="36" t="inlineStr">
        <is>
          <t>כן</t>
        </is>
      </c>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inlineStr">
        <is>
          <t>אלול</t>
        </is>
      </c>
      <c r="D86" s="36" t="inlineStr">
        <is>
          <t>כן</t>
        </is>
      </c>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inlineStr">
        <is>
          <t>אלול</t>
        </is>
      </c>
      <c r="D87" s="36" t="inlineStr">
        <is>
          <t>כן</t>
        </is>
      </c>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inlineStr">
        <is>
          <t>אלול</t>
        </is>
      </c>
      <c r="D88" s="36" t="inlineStr">
        <is>
          <t>כן</t>
        </is>
      </c>
      <c r="E88" s="35" t="inlineStr">
        <is>
          <t>ארוחת צהריים שבת</t>
        </is>
      </c>
      <c r="F88" s="22">
        <f>IF(A88="","",COUNTIF('משימות'!$G$3:$G$122,"*"&amp;A88&amp;"*"))</f>
        <v/>
      </c>
      <c r="G88" s="36" t="n">
        <v>2</v>
      </c>
      <c r="H88" s="22">
        <f>IF(A88="","",SUMIF('היסטוריה'!$B$3:$B$3002,A88,'היסטוריה'!$E$3:$E$3002))</f>
        <v/>
      </c>
      <c r="I88" s="35" t="n"/>
    </row>
    <row r="89">
      <c r="A89" s="19" t="inlineStr">
        <is>
          <t>עליזה בלום</t>
        </is>
      </c>
      <c r="B89" s="28" t="inlineStr">
        <is>
          <t>אלול</t>
        </is>
      </c>
      <c r="C89" s="36" t="inlineStr">
        <is>
          <t>אלול</t>
        </is>
      </c>
      <c r="D89" s="36" t="inlineStr">
        <is>
          <t>כן</t>
        </is>
      </c>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inlineStr">
        <is>
          <t>אלול</t>
        </is>
      </c>
      <c r="D90" s="36" t="inlineStr">
        <is>
          <t>כן</t>
        </is>
      </c>
      <c r="E90" s="35" t="inlineStr">
        <is>
          <t>ארוחת צהריים שבת</t>
        </is>
      </c>
      <c r="F90" s="22">
        <f>IF(A90="","",COUNTIF('משימות'!$G$3:$G$122,"*"&amp;A90&amp;"*"))</f>
        <v/>
      </c>
      <c r="G90" s="36" t="n">
        <v>2</v>
      </c>
      <c r="H90" s="22">
        <f>IF(A90="","",SUMIF('היסטוריה'!$B$3:$B$3002,A90,'היסטוריה'!$E$3:$E$3002))</f>
        <v/>
      </c>
      <c r="I90" s="35" t="n"/>
    </row>
    <row r="91">
      <c r="A91" s="19" t="inlineStr">
        <is>
          <t>עשהאל ירושלמי</t>
        </is>
      </c>
      <c r="B91" s="28" t="inlineStr">
        <is>
          <t>אלול</t>
        </is>
      </c>
      <c r="C91" s="36" t="inlineStr">
        <is>
          <t>אלול</t>
        </is>
      </c>
      <c r="D91" s="36" t="inlineStr">
        <is>
          <t>כן</t>
        </is>
      </c>
      <c r="E91" s="35" t="inlineStr">
        <is>
          <t>בית מדרש</t>
        </is>
      </c>
      <c r="F91" s="22">
        <f>IF(A91="","",COUNTIF('משימות'!$G$3:$G$122,"*"&amp;A91&amp;"*"))</f>
        <v/>
      </c>
      <c r="G91" s="36" t="n">
        <v>3</v>
      </c>
      <c r="H91" s="22">
        <f>IF(A91="","",SUMIF('היסטוריה'!$B$3:$B$3002,A91,'היסטוריה'!$E$3:$E$3002))</f>
        <v/>
      </c>
      <c r="I91" s="35" t="n"/>
    </row>
    <row r="92">
      <c r="A92" s="19" t="inlineStr">
        <is>
          <t>פרת פולס</t>
        </is>
      </c>
      <c r="B92" s="28" t="inlineStr">
        <is>
          <t>אלול</t>
        </is>
      </c>
      <c r="C92" s="36" t="inlineStr">
        <is>
          <t>אלול</t>
        </is>
      </c>
      <c r="D92" s="36" t="inlineStr">
        <is>
          <t>כן</t>
        </is>
      </c>
      <c r="E92" s="35" t="inlineStr">
        <is>
          <t>בית מדרש</t>
        </is>
      </c>
      <c r="F92" s="22">
        <f>IF(A92="","",COUNTIF('משימות'!$G$3:$G$122,"*"&amp;A92&amp;"*"))</f>
        <v/>
      </c>
      <c r="G92" s="36" t="n">
        <v>3</v>
      </c>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inlineStr">
        <is>
          <t>לא נוכח/ת</t>
        </is>
      </c>
    </row>
    <row r="94">
      <c r="A94" s="19" t="inlineStr">
        <is>
          <t>רוני כהן</t>
        </is>
      </c>
      <c r="B94" s="28" t="inlineStr">
        <is>
          <t>אלול</t>
        </is>
      </c>
      <c r="C94" s="36" t="inlineStr">
        <is>
          <t>אלול</t>
        </is>
      </c>
      <c r="D94" s="36" t="inlineStr">
        <is>
          <t>כן</t>
        </is>
      </c>
      <c r="E94" s="35" t="inlineStr">
        <is>
          <t>טיש</t>
        </is>
      </c>
      <c r="F94" s="22">
        <f>IF(A94="","",COUNTIF('משימות'!$G$3:$G$122,"*"&amp;A94&amp;"*"))</f>
        <v/>
      </c>
      <c r="G94" s="36" t="n">
        <v>1</v>
      </c>
      <c r="H94" s="22">
        <f>IF(A94="","",SUMIF('היסטוריה'!$B$3:$B$3002,A94,'היסטוריה'!$E$3:$E$3002))</f>
        <v/>
      </c>
      <c r="I94" s="35" t="n"/>
    </row>
    <row r="95">
      <c r="A95" s="19" t="inlineStr">
        <is>
          <t>יובל רוזנברג</t>
        </is>
      </c>
      <c r="B95" s="28" t="inlineStr">
        <is>
          <t>אלול</t>
        </is>
      </c>
      <c r="C95" s="36" t="inlineStr">
        <is>
          <t>אלול</t>
        </is>
      </c>
      <c r="D95" s="36" t="inlineStr">
        <is>
          <t>כן</t>
        </is>
      </c>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45" t="n">
        <v>46269</v>
      </c>
      <c r="B3" s="46" t="inlineStr">
        <is>
          <t>אוריה תעשה</t>
        </is>
      </c>
      <c r="C3" s="47" t="inlineStr">
        <is>
          <t>הכנות שישי</t>
        </is>
      </c>
      <c r="D3" s="46" t="inlineStr">
        <is>
          <t>ארוחת צהריים שישי</t>
        </is>
      </c>
      <c r="E3" s="47" t="n">
        <v>3</v>
      </c>
    </row>
    <row r="4">
      <c r="A4" s="45" t="n">
        <v>46269</v>
      </c>
      <c r="B4" s="46" t="inlineStr">
        <is>
          <t>ינון לוי</t>
        </is>
      </c>
      <c r="C4" s="47" t="inlineStr">
        <is>
          <t>הכנות שישי</t>
        </is>
      </c>
      <c r="D4" s="46" t="inlineStr">
        <is>
          <t>ארוחת צהריים שישי</t>
        </is>
      </c>
      <c r="E4" s="47" t="n">
        <v>3</v>
      </c>
    </row>
    <row r="5">
      <c r="A5" s="45" t="n">
        <v>46269</v>
      </c>
      <c r="B5" s="46" t="inlineStr">
        <is>
          <t>ליעם גבע</t>
        </is>
      </c>
      <c r="C5" s="47" t="inlineStr">
        <is>
          <t>הכנות שישי</t>
        </is>
      </c>
      <c r="D5" s="46" t="inlineStr">
        <is>
          <t>ארוחת צהריים שישי</t>
        </is>
      </c>
      <c r="E5" s="47" t="n">
        <v>3</v>
      </c>
    </row>
    <row r="6">
      <c r="A6" s="45" t="n">
        <v>46269</v>
      </c>
      <c r="B6" s="46" t="inlineStr">
        <is>
          <t>שי- לי וולגמוט</t>
        </is>
      </c>
      <c r="C6" s="47" t="inlineStr">
        <is>
          <t>הכנות שישי</t>
        </is>
      </c>
      <c r="D6" s="46" t="inlineStr">
        <is>
          <t>ארוחת צהריים שישי</t>
        </is>
      </c>
      <c r="E6" s="47" t="n">
        <v>3</v>
      </c>
    </row>
    <row r="7">
      <c r="A7" s="45" t="n">
        <v>46269</v>
      </c>
      <c r="B7" s="46" t="inlineStr">
        <is>
          <t>אביה וייל</t>
        </is>
      </c>
      <c r="C7" s="47" t="inlineStr">
        <is>
          <t>הכנות שישי</t>
        </is>
      </c>
      <c r="D7" s="46" t="inlineStr">
        <is>
          <t>עוגות · צוות יותם</t>
        </is>
      </c>
      <c r="E7" s="47" t="n">
        <v>3</v>
      </c>
    </row>
    <row r="8">
      <c r="A8" s="45" t="n">
        <v>46269</v>
      </c>
      <c r="B8" s="46" t="inlineStr">
        <is>
          <t>יואב אוחנה</t>
        </is>
      </c>
      <c r="C8" s="47" t="inlineStr">
        <is>
          <t>הכנות שישי</t>
        </is>
      </c>
      <c r="D8" s="46" t="inlineStr">
        <is>
          <t>עוגות · צוות יותם</t>
        </is>
      </c>
      <c r="E8" s="47" t="n">
        <v>3</v>
      </c>
    </row>
    <row r="9">
      <c r="A9" s="45" t="n">
        <v>46269</v>
      </c>
      <c r="B9" s="46" t="inlineStr">
        <is>
          <t>יותם ספיר</t>
        </is>
      </c>
      <c r="C9" s="47" t="inlineStr">
        <is>
          <t>הכנות שישי</t>
        </is>
      </c>
      <c r="D9" s="46" t="inlineStr">
        <is>
          <t>עוגות · צוות יותם</t>
        </is>
      </c>
      <c r="E9" s="47" t="n">
        <v>3</v>
      </c>
    </row>
    <row r="10">
      <c r="A10" s="45" t="n">
        <v>46269</v>
      </c>
      <c r="B10" s="46" t="inlineStr">
        <is>
          <t>כליל בלאוקופף</t>
        </is>
      </c>
      <c r="C10" s="47" t="inlineStr">
        <is>
          <t>הכנות שישי</t>
        </is>
      </c>
      <c r="D10" s="46" t="inlineStr">
        <is>
          <t>עוגות · צוות סהר</t>
        </is>
      </c>
      <c r="E10" s="47" t="n">
        <v>3</v>
      </c>
    </row>
    <row r="11">
      <c r="A11" s="45" t="n">
        <v>46269</v>
      </c>
      <c r="B11" s="46" t="inlineStr">
        <is>
          <t>נוה גריינר</t>
        </is>
      </c>
      <c r="C11" s="47" t="inlineStr">
        <is>
          <t>הכנות שישי</t>
        </is>
      </c>
      <c r="D11" s="46" t="inlineStr">
        <is>
          <t>עוגות · צוות סהר</t>
        </is>
      </c>
      <c r="E11" s="47" t="n">
        <v>3</v>
      </c>
    </row>
    <row r="12">
      <c r="A12" s="45" t="n">
        <v>46269</v>
      </c>
      <c r="B12" s="46" t="inlineStr">
        <is>
          <t>סהר שירון</t>
        </is>
      </c>
      <c r="C12" s="47" t="inlineStr">
        <is>
          <t>הכנות שישי</t>
        </is>
      </c>
      <c r="D12" s="46" t="inlineStr">
        <is>
          <t>עוגות · צוות סהר</t>
        </is>
      </c>
      <c r="E12" s="47" t="n">
        <v>3</v>
      </c>
    </row>
    <row r="13">
      <c r="A13" s="45" t="n">
        <v>46269</v>
      </c>
      <c r="B13" s="46" t="inlineStr">
        <is>
          <t>הילה עזרא</t>
        </is>
      </c>
      <c r="C13" s="47" t="inlineStr">
        <is>
          <t>הכנות שישי</t>
        </is>
      </c>
      <c r="D13" s="46" t="inlineStr">
        <is>
          <t>עוגות · צוות רותם</t>
        </is>
      </c>
      <c r="E13" s="47" t="n">
        <v>3</v>
      </c>
    </row>
    <row r="14">
      <c r="A14" s="45" t="n">
        <v>46269</v>
      </c>
      <c r="B14" s="46" t="inlineStr">
        <is>
          <t>יאר אלפסי</t>
        </is>
      </c>
      <c r="C14" s="47" t="inlineStr">
        <is>
          <t>הכנות שישי</t>
        </is>
      </c>
      <c r="D14" s="46" t="inlineStr">
        <is>
          <t>עוגות · צוות רותם</t>
        </is>
      </c>
      <c r="E14" s="47" t="n">
        <v>3</v>
      </c>
    </row>
    <row r="15">
      <c r="A15" s="45" t="n">
        <v>46269</v>
      </c>
      <c r="B15" s="46" t="inlineStr">
        <is>
          <t>רותם דרור</t>
        </is>
      </c>
      <c r="C15" s="47" t="inlineStr">
        <is>
          <t>הכנות שישי</t>
        </is>
      </c>
      <c r="D15" s="46" t="inlineStr">
        <is>
          <t>עוגות · צוות רותם</t>
        </is>
      </c>
      <c r="E15" s="47" t="n">
        <v>3</v>
      </c>
    </row>
    <row r="16">
      <c r="A16" s="45" t="n">
        <v>46269</v>
      </c>
      <c r="B16" s="46" t="inlineStr">
        <is>
          <t>רוני פרנקל</t>
        </is>
      </c>
      <c r="C16" s="47" t="inlineStr">
        <is>
          <t>הכנות שישי</t>
        </is>
      </c>
      <c r="D16" s="46" t="inlineStr">
        <is>
          <t>עוגות · צוות שילת</t>
        </is>
      </c>
      <c r="E16" s="47" t="n">
        <v>3</v>
      </c>
    </row>
    <row r="17">
      <c r="A17" s="45" t="n">
        <v>46269</v>
      </c>
      <c r="B17" s="46" t="inlineStr">
        <is>
          <t>שילת פילפל</t>
        </is>
      </c>
      <c r="C17" s="47" t="inlineStr">
        <is>
          <t>הכנות שישי</t>
        </is>
      </c>
      <c r="D17" s="46" t="inlineStr">
        <is>
          <t>עוגות · צוות שילת</t>
        </is>
      </c>
      <c r="E17" s="47" t="n">
        <v>3</v>
      </c>
    </row>
    <row r="18">
      <c r="A18" s="45" t="n">
        <v>46269</v>
      </c>
      <c r="B18" s="46" t="inlineStr">
        <is>
          <t>אריאלה מרכוס</t>
        </is>
      </c>
      <c r="C18" s="47" t="inlineStr">
        <is>
          <t>תורנות שבת</t>
        </is>
      </c>
      <c r="D18" s="46" t="inlineStr">
        <is>
          <t>בית מדרש · ארוחת ערב וטיש</t>
        </is>
      </c>
      <c r="E18" s="47" t="n">
        <v>2</v>
      </c>
    </row>
    <row r="19">
      <c r="A19" s="45" t="n">
        <v>46269</v>
      </c>
      <c r="B19" s="46" t="inlineStr">
        <is>
          <t>דנה שם טוב</t>
        </is>
      </c>
      <c r="C19" s="47" t="inlineStr">
        <is>
          <t>תורנות שבת</t>
        </is>
      </c>
      <c r="D19" s="46" t="inlineStr">
        <is>
          <t>בית מדרש · ארוחת ערב וטיש</t>
        </is>
      </c>
      <c r="E19" s="47" t="n">
        <v>2</v>
      </c>
    </row>
    <row r="20">
      <c r="A20" s="45" t="n">
        <v>46269</v>
      </c>
      <c r="B20" s="46" t="inlineStr">
        <is>
          <t>יערה ריס</t>
        </is>
      </c>
      <c r="C20" s="47" t="inlineStr">
        <is>
          <t>תורנות שבת</t>
        </is>
      </c>
      <c r="D20" s="46" t="inlineStr">
        <is>
          <t>בית מדרש · ארוחת ערב וטיש</t>
        </is>
      </c>
      <c r="E20" s="47" t="n">
        <v>2</v>
      </c>
    </row>
    <row r="21">
      <c r="A21" s="45" t="n">
        <v>46269</v>
      </c>
      <c r="B21" s="46" t="inlineStr">
        <is>
          <t>מאיה פקטר</t>
        </is>
      </c>
      <c r="C21" s="47" t="inlineStr">
        <is>
          <t>תורנות שבת</t>
        </is>
      </c>
      <c r="D21" s="46" t="inlineStr">
        <is>
          <t>בית מדרש · ארוחת ערב וטיש</t>
        </is>
      </c>
      <c r="E21" s="47" t="n">
        <v>2</v>
      </c>
    </row>
    <row r="22">
      <c r="A22" s="45" t="n">
        <v>46269</v>
      </c>
      <c r="B22" s="46" t="inlineStr">
        <is>
          <t>נדב טוקר</t>
        </is>
      </c>
      <c r="C22" s="47" t="inlineStr">
        <is>
          <t>תורנות שבת</t>
        </is>
      </c>
      <c r="D22" s="46" t="inlineStr">
        <is>
          <t>בית מדרש · ארוחת ערב וטיש</t>
        </is>
      </c>
      <c r="E22" s="47" t="n">
        <v>2</v>
      </c>
    </row>
    <row r="23">
      <c r="A23" s="45" t="n">
        <v>46269</v>
      </c>
      <c r="B23" s="46" t="inlineStr">
        <is>
          <t>נועם גלס</t>
        </is>
      </c>
      <c r="C23" s="47" t="inlineStr">
        <is>
          <t>תורנות שבת</t>
        </is>
      </c>
      <c r="D23" s="46" t="inlineStr">
        <is>
          <t>בית מדרש · ארוחת ערב וטיש</t>
        </is>
      </c>
      <c r="E23" s="47" t="n">
        <v>2</v>
      </c>
    </row>
    <row r="24">
      <c r="A24" s="45" t="n">
        <v>46269</v>
      </c>
      <c r="B24" s="46" t="inlineStr">
        <is>
          <t>ניתאי שלום</t>
        </is>
      </c>
      <c r="C24" s="47" t="inlineStr">
        <is>
          <t>תורנות שבת</t>
        </is>
      </c>
      <c r="D24" s="46" t="inlineStr">
        <is>
          <t>בית מדרש · ארוחת ערב וטיש</t>
        </is>
      </c>
      <c r="E24" s="47" t="n">
        <v>2</v>
      </c>
    </row>
    <row r="25">
      <c r="A25" s="45" t="n">
        <v>46269</v>
      </c>
      <c r="B25" s="46" t="inlineStr">
        <is>
          <t>עליזה בלום</t>
        </is>
      </c>
      <c r="C25" s="47" t="inlineStr">
        <is>
          <t>תורנות שבת</t>
        </is>
      </c>
      <c r="D25" s="46" t="inlineStr">
        <is>
          <t>בית מדרש · ארוחת ערב וטיש</t>
        </is>
      </c>
      <c r="E25" s="47" t="n">
        <v>2</v>
      </c>
    </row>
    <row r="26">
      <c r="A26" s="45" t="n">
        <v>46269</v>
      </c>
      <c r="B26" s="46" t="inlineStr">
        <is>
          <t>עמית סיילס</t>
        </is>
      </c>
      <c r="C26" s="47" t="inlineStr">
        <is>
          <t>תורנות שבת</t>
        </is>
      </c>
      <c r="D26" s="46" t="inlineStr">
        <is>
          <t>בית מדרש · ארוחת ערב וטיש</t>
        </is>
      </c>
      <c r="E26" s="47" t="n">
        <v>2</v>
      </c>
    </row>
    <row r="27">
      <c r="A27" s="45" t="n">
        <v>46269</v>
      </c>
      <c r="B27" s="46" t="inlineStr">
        <is>
          <t>שחר קרן</t>
        </is>
      </c>
      <c r="C27" s="47" t="inlineStr">
        <is>
          <t>תורנות שבת</t>
        </is>
      </c>
      <c r="D27" s="46" t="inlineStr">
        <is>
          <t>בית מדרש · ארוחת ערב וטיש</t>
        </is>
      </c>
      <c r="E27" s="47" t="n">
        <v>2</v>
      </c>
    </row>
    <row r="28">
      <c r="A28" s="45" t="n">
        <v>46269</v>
      </c>
      <c r="B28" s="46" t="inlineStr">
        <is>
          <t>אלון דיין</t>
        </is>
      </c>
      <c r="C28" s="47" t="inlineStr">
        <is>
          <t>תורנות שבת</t>
        </is>
      </c>
      <c r="D28" s="46" t="inlineStr">
        <is>
          <t>בית מדרש · צהריים בשבת</t>
        </is>
      </c>
      <c r="E28" s="47" t="n">
        <v>2</v>
      </c>
    </row>
    <row r="29">
      <c r="A29" s="45" t="n">
        <v>46269</v>
      </c>
      <c r="B29" s="46" t="inlineStr">
        <is>
          <t>יעל קהת</t>
        </is>
      </c>
      <c r="C29" s="47" t="inlineStr">
        <is>
          <t>תורנות שבת</t>
        </is>
      </c>
      <c r="D29" s="46" t="inlineStr">
        <is>
          <t>בית מדרש · צהריים בשבת</t>
        </is>
      </c>
      <c r="E29" s="47" t="n">
        <v>2</v>
      </c>
    </row>
    <row r="30">
      <c r="A30" s="45" t="n">
        <v>46269</v>
      </c>
      <c r="B30" s="46" t="inlineStr">
        <is>
          <t>נגה שוהם</t>
        </is>
      </c>
      <c r="C30" s="47" t="inlineStr">
        <is>
          <t>תורנות שבת</t>
        </is>
      </c>
      <c r="D30" s="46" t="inlineStr">
        <is>
          <t>בית מדרש · צהריים בשבת</t>
        </is>
      </c>
      <c r="E30" s="47" t="n">
        <v>2</v>
      </c>
    </row>
    <row r="31">
      <c r="A31" s="45" t="n">
        <v>46269</v>
      </c>
      <c r="B31" s="46" t="inlineStr">
        <is>
          <t>עפרי גזיאל</t>
        </is>
      </c>
      <c r="C31" s="47" t="inlineStr">
        <is>
          <t>תורנות שבת</t>
        </is>
      </c>
      <c r="D31" s="46" t="inlineStr">
        <is>
          <t>בית מדרש · צהריים בשבת</t>
        </is>
      </c>
      <c r="E31" s="47" t="n">
        <v>2</v>
      </c>
    </row>
    <row r="32">
      <c r="A32" s="45" t="n">
        <v>46269</v>
      </c>
      <c r="B32" s="46" t="inlineStr">
        <is>
          <t>קובי סמייסון</t>
        </is>
      </c>
      <c r="C32" s="47" t="inlineStr">
        <is>
          <t>תורנות שבת</t>
        </is>
      </c>
      <c r="D32" s="46" t="inlineStr">
        <is>
          <t>בית מדרש · צהריים בשבת</t>
        </is>
      </c>
      <c r="E32" s="47" t="n">
        <v>2</v>
      </c>
    </row>
    <row r="33">
      <c r="A33" s="45" t="n">
        <v>46269</v>
      </c>
      <c r="B33" s="46" t="inlineStr">
        <is>
          <t>אחיה נחמני</t>
        </is>
      </c>
      <c r="C33" s="47" t="inlineStr">
        <is>
          <t>תורנות שבת</t>
        </is>
      </c>
      <c r="D33" s="46" t="inlineStr">
        <is>
          <t>בית מדרש · קידוש</t>
        </is>
      </c>
      <c r="E33" s="47" t="n">
        <v>1</v>
      </c>
    </row>
    <row r="34">
      <c r="A34" s="45" t="n">
        <v>46269</v>
      </c>
      <c r="B34" s="46" t="inlineStr">
        <is>
          <t>יעל ברחד</t>
        </is>
      </c>
      <c r="C34" s="47" t="inlineStr">
        <is>
          <t>תורנות שבת</t>
        </is>
      </c>
      <c r="D34" s="46" t="inlineStr">
        <is>
          <t>בית מדרש · קידוש</t>
        </is>
      </c>
      <c r="E34" s="47" t="n">
        <v>1</v>
      </c>
    </row>
    <row r="35">
      <c r="A35" s="45" t="n">
        <v>46269</v>
      </c>
      <c r="B35" s="46" t="inlineStr">
        <is>
          <t>ליאור שימרלינג</t>
        </is>
      </c>
      <c r="C35" s="47" t="inlineStr">
        <is>
          <t>תורנות שבת</t>
        </is>
      </c>
      <c r="D35" s="46" t="inlineStr">
        <is>
          <t>בית מדרש · קידוש</t>
        </is>
      </c>
      <c r="E35" s="47" t="n">
        <v>1</v>
      </c>
    </row>
    <row r="36">
      <c r="A36" s="45" t="n">
        <v>46269</v>
      </c>
      <c r="B36" s="46" t="inlineStr">
        <is>
          <t>מעיין יוספי</t>
        </is>
      </c>
      <c r="C36" s="47" t="inlineStr">
        <is>
          <t>תורנות שבת</t>
        </is>
      </c>
      <c r="D36" s="46" t="inlineStr">
        <is>
          <t>בית מדרש · קידוש</t>
        </is>
      </c>
      <c r="E36" s="47" t="n">
        <v>1</v>
      </c>
    </row>
    <row r="37">
      <c r="A37" s="45" t="n">
        <v>46269</v>
      </c>
      <c r="B37" s="46" t="inlineStr">
        <is>
          <t>נעמי פונקלשטיין</t>
        </is>
      </c>
      <c r="C37" s="47" t="inlineStr">
        <is>
          <t>תורנות שבת</t>
        </is>
      </c>
      <c r="D37" s="46" t="inlineStr">
        <is>
          <t>בית מדרש · קידוש</t>
        </is>
      </c>
      <c r="E37" s="47" t="n">
        <v>1</v>
      </c>
    </row>
    <row r="38">
      <c r="A38" s="45" t="n">
        <v>46283</v>
      </c>
      <c r="B38" s="46" t="inlineStr">
        <is>
          <t>איתי גוסטינר</t>
        </is>
      </c>
      <c r="C38" s="47" t="inlineStr">
        <is>
          <t>הכנות שישי</t>
        </is>
      </c>
      <c r="D38" s="46" t="inlineStr">
        <is>
          <t>ארוחת צהריים שישי</t>
        </is>
      </c>
      <c r="E38" s="47" t="n">
        <v>3</v>
      </c>
    </row>
    <row r="39">
      <c r="A39" s="45" t="n">
        <v>46283</v>
      </c>
      <c r="B39" s="46" t="inlineStr">
        <is>
          <t>נבו בלוך</t>
        </is>
      </c>
      <c r="C39" s="47" t="inlineStr">
        <is>
          <t>הכנות שישי</t>
        </is>
      </c>
      <c r="D39" s="46" t="inlineStr">
        <is>
          <t>ארוחת צהריים שישי</t>
        </is>
      </c>
      <c r="E39" s="47" t="n">
        <v>3</v>
      </c>
    </row>
    <row r="40">
      <c r="A40" s="45" t="n">
        <v>46283</v>
      </c>
      <c r="B40" s="46" t="inlineStr">
        <is>
          <t>ניצן שטיין</t>
        </is>
      </c>
      <c r="C40" s="47" t="inlineStr">
        <is>
          <t>הכנות שישי</t>
        </is>
      </c>
      <c r="D40" s="46" t="inlineStr">
        <is>
          <t>בראוניז ללא גלוטן</t>
        </is>
      </c>
      <c r="E40" s="47" t="n">
        <v>3</v>
      </c>
    </row>
    <row r="41">
      <c r="A41" s="45" t="n">
        <v>46283</v>
      </c>
      <c r="B41" s="46" t="inlineStr">
        <is>
          <t>שי- לי וולגמוט</t>
        </is>
      </c>
      <c r="C41" s="47" t="inlineStr">
        <is>
          <t>הכנות שישי</t>
        </is>
      </c>
      <c r="D41" s="46" t="inlineStr">
        <is>
          <t>בראוניז ללא גלוטן</t>
        </is>
      </c>
      <c r="E41" s="47" t="n">
        <v>3</v>
      </c>
    </row>
    <row r="42">
      <c r="A42" s="45" t="n">
        <v>46283</v>
      </c>
      <c r="B42" s="46" t="inlineStr">
        <is>
          <t>איתמר אסנהיים</t>
        </is>
      </c>
      <c r="C42" s="47" t="inlineStr">
        <is>
          <t>הכנות שישי</t>
        </is>
      </c>
      <c r="D42" s="46" t="inlineStr">
        <is>
          <t>חלות</t>
        </is>
      </c>
      <c r="E42" s="47" t="n">
        <v>3</v>
      </c>
    </row>
    <row r="43">
      <c r="A43" s="45" t="n">
        <v>46283</v>
      </c>
      <c r="B43" s="46" t="inlineStr">
        <is>
          <t>אנה עזריאל</t>
        </is>
      </c>
      <c r="C43" s="47" t="inlineStr">
        <is>
          <t>הכנות שישי</t>
        </is>
      </c>
      <c r="D43" s="46" t="inlineStr">
        <is>
          <t>חלות</t>
        </is>
      </c>
      <c r="E43" s="47" t="n">
        <v>3</v>
      </c>
    </row>
    <row r="44">
      <c r="A44" s="45" t="n">
        <v>46283</v>
      </c>
      <c r="B44" s="46" t="inlineStr">
        <is>
          <t>ארבל פרנקו</t>
        </is>
      </c>
      <c r="C44" s="47" t="inlineStr">
        <is>
          <t>הכנות שישי</t>
        </is>
      </c>
      <c r="D44" s="46" t="inlineStr">
        <is>
          <t>חלות</t>
        </is>
      </c>
      <c r="E44" s="47" t="n">
        <v>3</v>
      </c>
    </row>
    <row r="45">
      <c r="A45" s="45" t="n">
        <v>46283</v>
      </c>
      <c r="B45" s="46" t="inlineStr">
        <is>
          <t>טליה קור</t>
        </is>
      </c>
      <c r="C45" s="47" t="inlineStr">
        <is>
          <t>הכנות שישי</t>
        </is>
      </c>
      <c r="D45" s="46" t="inlineStr">
        <is>
          <t>חלות</t>
        </is>
      </c>
      <c r="E45" s="47" t="n">
        <v>3</v>
      </c>
    </row>
    <row r="46">
      <c r="A46" s="45" t="n">
        <v>46283</v>
      </c>
      <c r="B46" s="46" t="inlineStr">
        <is>
          <t>רועי צבי סרי</t>
        </is>
      </c>
      <c r="C46" s="47" t="inlineStr">
        <is>
          <t>הכנות שישי</t>
        </is>
      </c>
      <c r="D46" s="46" t="inlineStr">
        <is>
          <t>חלות</t>
        </is>
      </c>
      <c r="E46" s="47" t="n">
        <v>3</v>
      </c>
    </row>
    <row r="47">
      <c r="A47" s="45" t="n">
        <v>46283</v>
      </c>
      <c r="B47" s="46" t="inlineStr">
        <is>
          <t>יעל קהת</t>
        </is>
      </c>
      <c r="C47" s="47" t="inlineStr">
        <is>
          <t>הכנות שישי</t>
        </is>
      </c>
      <c r="D47" s="46" t="inlineStr">
        <is>
          <t>מטבוחה</t>
        </is>
      </c>
      <c r="E47" s="47" t="n">
        <v>3</v>
      </c>
    </row>
    <row r="48">
      <c r="A48" s="45" t="n">
        <v>46283</v>
      </c>
      <c r="B48" s="46" t="inlineStr">
        <is>
          <t>נגה חוה כהן</t>
        </is>
      </c>
      <c r="C48" s="47" t="inlineStr">
        <is>
          <t>הכנות שישי</t>
        </is>
      </c>
      <c r="D48" s="46" t="inlineStr">
        <is>
          <t>מטבוחה</t>
        </is>
      </c>
      <c r="E48" s="47" t="n">
        <v>3</v>
      </c>
    </row>
    <row r="49">
      <c r="A49" s="45" t="n">
        <v>46283</v>
      </c>
      <c r="B49" s="46" t="inlineStr">
        <is>
          <t>שליו שישו</t>
        </is>
      </c>
      <c r="C49" s="47" t="inlineStr">
        <is>
          <t>הכנות שישי</t>
        </is>
      </c>
      <c r="D49" s="46" t="inlineStr">
        <is>
          <t>מטבוחה</t>
        </is>
      </c>
      <c r="E49" s="47" t="n">
        <v>3</v>
      </c>
    </row>
    <row r="50">
      <c r="A50" s="45" t="n">
        <v>46283</v>
      </c>
      <c r="B50" s="46" t="inlineStr">
        <is>
          <t>של״ו רובינשטיין</t>
        </is>
      </c>
      <c r="C50" s="47" t="inlineStr">
        <is>
          <t>הכנות שישי</t>
        </is>
      </c>
      <c r="D50" s="46" t="inlineStr">
        <is>
          <t>מטבוחה</t>
        </is>
      </c>
      <c r="E50" s="47" t="n">
        <v>3</v>
      </c>
    </row>
    <row r="51">
      <c r="A51" s="45" t="n">
        <v>46283</v>
      </c>
      <c r="B51" s="46" t="inlineStr">
        <is>
          <t>יובל יצחק</t>
        </is>
      </c>
      <c r="C51" s="47" t="inlineStr">
        <is>
          <t>הכנות שישי</t>
        </is>
      </c>
      <c r="D51" s="46" t="inlineStr">
        <is>
          <t>סלט חצילים</t>
        </is>
      </c>
      <c r="E51" s="47" t="n">
        <v>3</v>
      </c>
    </row>
    <row r="52">
      <c r="A52" s="45" t="n">
        <v>46283</v>
      </c>
      <c r="B52" s="46" t="inlineStr">
        <is>
          <t>שחר מרקוביץ' גליק</t>
        </is>
      </c>
      <c r="C52" s="47" t="inlineStr">
        <is>
          <t>הכנות שישי</t>
        </is>
      </c>
      <c r="D52" s="46" t="inlineStr">
        <is>
          <t>סלט חצילים</t>
        </is>
      </c>
      <c r="E52" s="47" t="n">
        <v>3</v>
      </c>
    </row>
    <row r="53">
      <c r="A53" s="45" t="n">
        <v>46283</v>
      </c>
      <c r="B53" s="46" t="inlineStr">
        <is>
          <t>איתן כהן</t>
        </is>
      </c>
      <c r="C53" s="47" t="inlineStr">
        <is>
          <t>הכנות שישי</t>
        </is>
      </c>
      <c r="D53" s="46" t="inlineStr">
        <is>
          <t>עוגות שמרים</t>
        </is>
      </c>
      <c r="E53" s="47" t="n">
        <v>3</v>
      </c>
    </row>
    <row r="54">
      <c r="A54" s="45" t="n">
        <v>46283</v>
      </c>
      <c r="B54" s="46" t="inlineStr">
        <is>
          <t>הילה עזרא</t>
        </is>
      </c>
      <c r="C54" s="47" t="inlineStr">
        <is>
          <t>הכנות שישי</t>
        </is>
      </c>
      <c r="D54" s="46" t="inlineStr">
        <is>
          <t>עוגות שמרים</t>
        </is>
      </c>
      <c r="E54" s="47" t="n">
        <v>3</v>
      </c>
    </row>
    <row r="55">
      <c r="A55" s="45" t="n">
        <v>46283</v>
      </c>
      <c r="B55" s="46" t="inlineStr">
        <is>
          <t>חיים שמאי</t>
        </is>
      </c>
      <c r="C55" s="47" t="inlineStr">
        <is>
          <t>הכנות שישי</t>
        </is>
      </c>
      <c r="D55" s="46" t="inlineStr">
        <is>
          <t>עוגות שמרים</t>
        </is>
      </c>
      <c r="E55" s="47" t="n">
        <v>3</v>
      </c>
    </row>
    <row r="56">
      <c r="A56" s="45" t="n">
        <v>46283</v>
      </c>
      <c r="B56" s="46" t="inlineStr">
        <is>
          <t>ירדן בן שחר</t>
        </is>
      </c>
      <c r="C56" s="47" t="inlineStr">
        <is>
          <t>הכנות שישי</t>
        </is>
      </c>
      <c r="D56" s="46" t="inlineStr">
        <is>
          <t>עוגות שמרים</t>
        </is>
      </c>
      <c r="E56" s="47" t="n">
        <v>3</v>
      </c>
    </row>
    <row r="57">
      <c r="A57" s="45" t="n">
        <v>46283</v>
      </c>
      <c r="B57" s="46" t="inlineStr">
        <is>
          <t>הילי אלפסי</t>
        </is>
      </c>
      <c r="C57" s="47" t="inlineStr">
        <is>
          <t>הכנות שישי</t>
        </is>
      </c>
      <c r="D57" s="46" t="inlineStr">
        <is>
          <t>עוגיות שוקולד צ'יפס</t>
        </is>
      </c>
      <c r="E57" s="47" t="n">
        <v>3</v>
      </c>
    </row>
    <row r="58">
      <c r="A58" s="45" t="n">
        <v>46283</v>
      </c>
      <c r="B58" s="46" t="inlineStr">
        <is>
          <t>יהב לוי</t>
        </is>
      </c>
      <c r="C58" s="47" t="inlineStr">
        <is>
          <t>הכנות שישי</t>
        </is>
      </c>
      <c r="D58" s="46" t="inlineStr">
        <is>
          <t>עוגיות שוקולד צ'יפס</t>
        </is>
      </c>
      <c r="E58" s="47" t="n">
        <v>3</v>
      </c>
    </row>
    <row r="59">
      <c r="A59" s="45" t="n">
        <v>46283</v>
      </c>
      <c r="B59" s="46" t="inlineStr">
        <is>
          <t>הילה לביא</t>
        </is>
      </c>
      <c r="C59" s="47" t="inlineStr">
        <is>
          <t>הכנות שישי</t>
        </is>
      </c>
      <c r="D59" s="46" t="inlineStr">
        <is>
          <t>עוגת דבש</t>
        </is>
      </c>
      <c r="E59" s="47" t="n">
        <v>3</v>
      </c>
    </row>
    <row r="60">
      <c r="A60" s="45" t="n">
        <v>46283</v>
      </c>
      <c r="B60" s="46" t="inlineStr">
        <is>
          <t>משה אוברשטיין</t>
        </is>
      </c>
      <c r="C60" s="47" t="inlineStr">
        <is>
          <t>הכנות שישי</t>
        </is>
      </c>
      <c r="D60" s="46" t="inlineStr">
        <is>
          <t>עוגת דבש</t>
        </is>
      </c>
      <c r="E60" s="47" t="n">
        <v>3</v>
      </c>
    </row>
    <row r="61">
      <c r="A61" s="45" t="n">
        <v>46283</v>
      </c>
      <c r="B61" s="46" t="inlineStr">
        <is>
          <t>אורי אסף</t>
        </is>
      </c>
      <c r="C61" s="47" t="inlineStr">
        <is>
          <t>תורנות שבת</t>
        </is>
      </c>
      <c r="D61" s="46" t="inlineStr">
        <is>
          <t>ארוחת ערב</t>
        </is>
      </c>
      <c r="E61" s="47" t="n">
        <v>2</v>
      </c>
    </row>
    <row r="62">
      <c r="A62" s="45" t="n">
        <v>46283</v>
      </c>
      <c r="B62" s="46" t="inlineStr">
        <is>
          <t>איתן וינסטון</t>
        </is>
      </c>
      <c r="C62" s="47" t="inlineStr">
        <is>
          <t>תורנות שבת</t>
        </is>
      </c>
      <c r="D62" s="46" t="inlineStr">
        <is>
          <t>ארוחת ערב</t>
        </is>
      </c>
      <c r="E62" s="47" t="n">
        <v>2</v>
      </c>
    </row>
    <row r="63">
      <c r="A63" s="45" t="n">
        <v>46283</v>
      </c>
      <c r="B63" s="46" t="inlineStr">
        <is>
          <t>אלה גוטליב</t>
        </is>
      </c>
      <c r="C63" s="47" t="inlineStr">
        <is>
          <t>תורנות שבת</t>
        </is>
      </c>
      <c r="D63" s="46" t="inlineStr">
        <is>
          <t>ארוחת ערב</t>
        </is>
      </c>
      <c r="E63" s="47" t="n">
        <v>2</v>
      </c>
    </row>
    <row r="64">
      <c r="A64" s="45" t="n">
        <v>46283</v>
      </c>
      <c r="B64" s="46" t="inlineStr">
        <is>
          <t>זואי כהן</t>
        </is>
      </c>
      <c r="C64" s="47" t="inlineStr">
        <is>
          <t>תורנות שבת</t>
        </is>
      </c>
      <c r="D64" s="46" t="inlineStr">
        <is>
          <t>ארוחת ערב</t>
        </is>
      </c>
      <c r="E64" s="47" t="n">
        <v>2</v>
      </c>
    </row>
    <row r="65">
      <c r="A65" s="45" t="n">
        <v>46283</v>
      </c>
      <c r="B65" s="46" t="inlineStr">
        <is>
          <t>חיים שמאי</t>
        </is>
      </c>
      <c r="C65" s="47" t="inlineStr">
        <is>
          <t>תורנות שבת</t>
        </is>
      </c>
      <c r="D65" s="46" t="inlineStr">
        <is>
          <t>ארוחת ערב</t>
        </is>
      </c>
      <c r="E65" s="47" t="n">
        <v>2</v>
      </c>
    </row>
    <row r="66">
      <c r="A66" s="45" t="n">
        <v>46283</v>
      </c>
      <c r="B66" s="46" t="inlineStr">
        <is>
          <t>יונתן לירז</t>
        </is>
      </c>
      <c r="C66" s="47" t="inlineStr">
        <is>
          <t>תורנות שבת</t>
        </is>
      </c>
      <c r="D66" s="46" t="inlineStr">
        <is>
          <t>ארוחת ערב</t>
        </is>
      </c>
      <c r="E66" s="47" t="n">
        <v>2</v>
      </c>
    </row>
    <row r="67">
      <c r="A67" s="45" t="n">
        <v>46283</v>
      </c>
      <c r="B67" s="46" t="inlineStr">
        <is>
          <t>עמית שי אברהם</t>
        </is>
      </c>
      <c r="C67" s="47" t="inlineStr">
        <is>
          <t>תורנות שבת</t>
        </is>
      </c>
      <c r="D67" s="46" t="inlineStr">
        <is>
          <t>ארוחת ערב</t>
        </is>
      </c>
      <c r="E67" s="47" t="n">
        <v>2</v>
      </c>
    </row>
    <row r="68">
      <c r="A68" s="45" t="n">
        <v>46283</v>
      </c>
      <c r="B68" s="46" t="inlineStr">
        <is>
          <t>שירה ספונוב</t>
        </is>
      </c>
      <c r="C68" s="47" t="inlineStr">
        <is>
          <t>תורנות שבת</t>
        </is>
      </c>
      <c r="D68" s="46" t="inlineStr">
        <is>
          <t>ארוחת ערב</t>
        </is>
      </c>
      <c r="E68" s="47" t="n">
        <v>2</v>
      </c>
    </row>
    <row r="69">
      <c r="A69" s="45" t="n">
        <v>46283</v>
      </c>
      <c r="B69" s="46" t="inlineStr">
        <is>
          <t>איתמר אסנהיים</t>
        </is>
      </c>
      <c r="C69" s="47" t="inlineStr">
        <is>
          <t>תורנות שבת</t>
        </is>
      </c>
      <c r="D69" s="46" t="inlineStr">
        <is>
          <t>ארוחת צהריים שבת</t>
        </is>
      </c>
      <c r="E69" s="47" t="n">
        <v>2</v>
      </c>
    </row>
    <row r="70">
      <c r="A70" s="45" t="n">
        <v>46283</v>
      </c>
      <c r="B70" s="46" t="inlineStr">
        <is>
          <t>נגה שוהם</t>
        </is>
      </c>
      <c r="C70" s="47" t="inlineStr">
        <is>
          <t>תורנות שבת</t>
        </is>
      </c>
      <c r="D70" s="46" t="inlineStr">
        <is>
          <t>ארוחת צהריים שבת</t>
        </is>
      </c>
      <c r="E70" s="47" t="n">
        <v>2</v>
      </c>
    </row>
    <row r="71">
      <c r="A71" s="45" t="n">
        <v>46283</v>
      </c>
      <c r="B71" s="46" t="inlineStr">
        <is>
          <t>נדב טוקר</t>
        </is>
      </c>
      <c r="C71" s="47" t="inlineStr">
        <is>
          <t>תורנות שבת</t>
        </is>
      </c>
      <c r="D71" s="46" t="inlineStr">
        <is>
          <t>ארוחת צהריים שבת</t>
        </is>
      </c>
      <c r="E71" s="47" t="n">
        <v>2</v>
      </c>
    </row>
    <row r="72">
      <c r="A72" s="45" t="n">
        <v>46283</v>
      </c>
      <c r="B72" s="46" t="inlineStr">
        <is>
          <t>נעמי פונקלשטיין</t>
        </is>
      </c>
      <c r="C72" s="47" t="inlineStr">
        <is>
          <t>תורנות שבת</t>
        </is>
      </c>
      <c r="D72" s="46" t="inlineStr">
        <is>
          <t>ארוחת צהריים שבת</t>
        </is>
      </c>
      <c r="E72" s="47" t="n">
        <v>2</v>
      </c>
    </row>
    <row r="73">
      <c r="A73" s="45" t="n">
        <v>46283</v>
      </c>
      <c r="B73" s="46" t="inlineStr">
        <is>
          <t>עפרי גזיאל</t>
        </is>
      </c>
      <c r="C73" s="47" t="inlineStr">
        <is>
          <t>תורנות שבת</t>
        </is>
      </c>
      <c r="D73" s="46" t="inlineStr">
        <is>
          <t>ארוחת צהריים שבת</t>
        </is>
      </c>
      <c r="E73" s="47" t="n">
        <v>2</v>
      </c>
    </row>
    <row r="74">
      <c r="A74" s="45" t="n">
        <v>46283</v>
      </c>
      <c r="B74" s="46" t="inlineStr">
        <is>
          <t>אחיה נחמני</t>
        </is>
      </c>
      <c r="C74" s="47" t="inlineStr">
        <is>
          <t>תורנות שבת</t>
        </is>
      </c>
      <c r="D74" s="46" t="inlineStr">
        <is>
          <t>טיש</t>
        </is>
      </c>
      <c r="E74" s="47" t="n">
        <v>1</v>
      </c>
    </row>
    <row r="75">
      <c r="A75" s="45" t="n">
        <v>46283</v>
      </c>
      <c r="B75" s="46" t="inlineStr">
        <is>
          <t>הדר עמדי</t>
        </is>
      </c>
      <c r="C75" s="47" t="inlineStr">
        <is>
          <t>תורנות שבת</t>
        </is>
      </c>
      <c r="D75" s="46" t="inlineStr">
        <is>
          <t>טיש</t>
        </is>
      </c>
      <c r="E75" s="47" t="n">
        <v>1</v>
      </c>
    </row>
    <row r="76">
      <c r="A76" s="45" t="n">
        <v>46283</v>
      </c>
      <c r="B76" s="46" t="inlineStr">
        <is>
          <t>מעיין יוספי</t>
        </is>
      </c>
      <c r="C76" s="47" t="inlineStr">
        <is>
          <t>תורנות שבת</t>
        </is>
      </c>
      <c r="D76" s="46" t="inlineStr">
        <is>
          <t>טיש</t>
        </is>
      </c>
      <c r="E76" s="47" t="n">
        <v>1</v>
      </c>
    </row>
    <row r="77">
      <c r="A77" s="45" t="n">
        <v>46283</v>
      </c>
      <c r="B77" s="46" t="inlineStr">
        <is>
          <t>מעיין רחל דינר</t>
        </is>
      </c>
      <c r="C77" s="47" t="inlineStr">
        <is>
          <t>תורנות שבת</t>
        </is>
      </c>
      <c r="D77" s="46" t="inlineStr">
        <is>
          <t>טיש</t>
        </is>
      </c>
      <c r="E77" s="47" t="n">
        <v>1</v>
      </c>
    </row>
    <row r="78">
      <c r="A78" s="45" t="n">
        <v>46283</v>
      </c>
      <c r="B78" s="46" t="inlineStr">
        <is>
          <t>רוני כהן</t>
        </is>
      </c>
      <c r="C78" s="47" t="inlineStr">
        <is>
          <t>תורנות שבת</t>
        </is>
      </c>
      <c r="D78" s="46" t="inlineStr">
        <is>
          <t>טיש</t>
        </is>
      </c>
      <c r="E78" s="47" t="n">
        <v>1</v>
      </c>
    </row>
    <row r="79">
      <c r="A79" s="45" t="n">
        <v>46283</v>
      </c>
      <c r="B79" s="46" t="inlineStr">
        <is>
          <t>אריאלה מרכוס</t>
        </is>
      </c>
      <c r="C79" s="47" t="inlineStr">
        <is>
          <t>תורנות שבת</t>
        </is>
      </c>
      <c r="D79" s="46" t="inlineStr">
        <is>
          <t>קידוש</t>
        </is>
      </c>
      <c r="E79" s="47" t="n">
        <v>1</v>
      </c>
    </row>
    <row r="80">
      <c r="A80" s="45" t="n">
        <v>46283</v>
      </c>
      <c r="B80" s="46" t="inlineStr">
        <is>
          <t>דנה שם טוב</t>
        </is>
      </c>
      <c r="C80" s="47" t="inlineStr">
        <is>
          <t>תורנות שבת</t>
        </is>
      </c>
      <c r="D80" s="46" t="inlineStr">
        <is>
          <t>קידוש</t>
        </is>
      </c>
      <c r="E80" s="47" t="n">
        <v>1</v>
      </c>
    </row>
    <row r="81">
      <c r="A81" s="45" t="n">
        <v>46283</v>
      </c>
      <c r="B81" s="46" t="inlineStr">
        <is>
          <t>יעל ברחד</t>
        </is>
      </c>
      <c r="C81" s="47" t="inlineStr">
        <is>
          <t>תורנות שבת</t>
        </is>
      </c>
      <c r="D81" s="46" t="inlineStr">
        <is>
          <t>קידוש</t>
        </is>
      </c>
      <c r="E81" s="47" t="n">
        <v>1</v>
      </c>
    </row>
    <row r="82">
      <c r="A82" s="45" t="n">
        <v>46283</v>
      </c>
      <c r="B82" s="46" t="inlineStr">
        <is>
          <t>ליאור שימרלינג</t>
        </is>
      </c>
      <c r="C82" s="47" t="inlineStr">
        <is>
          <t>תורנות שבת</t>
        </is>
      </c>
      <c r="D82" s="46" t="inlineStr">
        <is>
          <t>קידוש</t>
        </is>
      </c>
      <c r="E82" s="47" t="n">
        <v>1</v>
      </c>
    </row>
    <row r="83">
      <c r="A83" s="45" t="n">
        <v>46283</v>
      </c>
      <c r="B83" s="46" t="inlineStr">
        <is>
          <t>עמרי קולטון</t>
        </is>
      </c>
      <c r="C83" s="47" t="inlineStr">
        <is>
          <t>תורנות שבת</t>
        </is>
      </c>
      <c r="D83" s="46" t="inlineStr">
        <is>
          <t>קידוש</t>
        </is>
      </c>
      <c r="E83" s="47" t="n">
        <v>1</v>
      </c>
    </row>
    <row r="84">
      <c r="A84" s="45" t="n">
        <v>46283</v>
      </c>
      <c r="B84" s="46" t="inlineStr">
        <is>
          <t>אורי טילינגר</t>
        </is>
      </c>
      <c r="C84" s="47" t="inlineStr">
        <is>
          <t>תורנות שישי</t>
        </is>
      </c>
      <c r="D84" s="46" t="inlineStr">
        <is>
          <t>בית מדרש</t>
        </is>
      </c>
      <c r="E84" s="47" t="n">
        <v>3</v>
      </c>
    </row>
    <row r="85">
      <c r="A85" s="45" t="n">
        <v>46283</v>
      </c>
      <c r="B85" s="46" t="inlineStr">
        <is>
          <t>איתי בן יהודה</t>
        </is>
      </c>
      <c r="C85" s="47" t="inlineStr">
        <is>
          <t>תורנות שישי</t>
        </is>
      </c>
      <c r="D85" s="46" t="inlineStr">
        <is>
          <t>בית מדרש</t>
        </is>
      </c>
      <c r="E85" s="47" t="n">
        <v>3</v>
      </c>
    </row>
    <row r="86">
      <c r="A86" s="45" t="n">
        <v>46283</v>
      </c>
      <c r="B86" s="46" t="inlineStr">
        <is>
          <t>איתי בן מנחם</t>
        </is>
      </c>
      <c r="C86" s="47" t="inlineStr">
        <is>
          <t>תורנות שישי</t>
        </is>
      </c>
      <c r="D86" s="46" t="inlineStr">
        <is>
          <t>בית מדרש</t>
        </is>
      </c>
      <c r="E86" s="47" t="n">
        <v>3</v>
      </c>
    </row>
    <row r="87">
      <c r="A87" s="45" t="n">
        <v>46283</v>
      </c>
      <c r="B87" s="46" t="inlineStr">
        <is>
          <t>איתי רוס</t>
        </is>
      </c>
      <c r="C87" s="47" t="inlineStr">
        <is>
          <t>תורנות שישי</t>
        </is>
      </c>
      <c r="D87" s="46" t="inlineStr">
        <is>
          <t>בית מדרש</t>
        </is>
      </c>
      <c r="E87" s="47" t="n">
        <v>3</v>
      </c>
    </row>
    <row r="88">
      <c r="A88" s="45" t="n">
        <v>46283</v>
      </c>
      <c r="B88" s="46" t="inlineStr">
        <is>
          <t>איתן וינסטון</t>
        </is>
      </c>
      <c r="C88" s="47" t="inlineStr">
        <is>
          <t>תורנות שישי</t>
        </is>
      </c>
      <c r="D88" s="46" t="inlineStr">
        <is>
          <t>בית מדרש</t>
        </is>
      </c>
      <c r="E88" s="47" t="n">
        <v>3</v>
      </c>
    </row>
    <row r="89">
      <c r="A89" s="45" t="n">
        <v>46283</v>
      </c>
      <c r="B89" s="46" t="inlineStr">
        <is>
          <t>אלה מאיר</t>
        </is>
      </c>
      <c r="C89" s="47" t="inlineStr">
        <is>
          <t>תורנות שישי</t>
        </is>
      </c>
      <c r="D89" s="46" t="inlineStr">
        <is>
          <t>בית מדרש</t>
        </is>
      </c>
      <c r="E89" s="47" t="n">
        <v>3</v>
      </c>
    </row>
    <row r="90">
      <c r="A90" s="45" t="n">
        <v>46283</v>
      </c>
      <c r="B90" s="46" t="inlineStr">
        <is>
          <t>נועם ישראל קומפאס</t>
        </is>
      </c>
      <c r="C90" s="47" t="inlineStr">
        <is>
          <t>תורנות שישי</t>
        </is>
      </c>
      <c r="D90" s="46" t="inlineStr">
        <is>
          <t>בית מדרש</t>
        </is>
      </c>
      <c r="E90" s="47" t="n">
        <v>3</v>
      </c>
    </row>
    <row r="91">
      <c r="A91" s="45" t="n">
        <v>46283</v>
      </c>
      <c r="B91" s="46" t="inlineStr">
        <is>
          <t>סהר שירון</t>
        </is>
      </c>
      <c r="C91" s="47" t="inlineStr">
        <is>
          <t>תורנות שישי</t>
        </is>
      </c>
      <c r="D91" s="46" t="inlineStr">
        <is>
          <t>בית מדרש</t>
        </is>
      </c>
      <c r="E91" s="47" t="n">
        <v>3</v>
      </c>
    </row>
    <row r="92">
      <c r="A92" s="45" t="n">
        <v>46283</v>
      </c>
      <c r="B92" s="46" t="inlineStr">
        <is>
          <t>עומר יוסף גנון</t>
        </is>
      </c>
      <c r="C92" s="47" t="inlineStr">
        <is>
          <t>תורנות שישי</t>
        </is>
      </c>
      <c r="D92" s="46" t="inlineStr">
        <is>
          <t>בית מדרש</t>
        </is>
      </c>
      <c r="E92" s="47" t="n">
        <v>3</v>
      </c>
    </row>
    <row r="93">
      <c r="A93" s="45" t="n">
        <v>46283</v>
      </c>
      <c r="B93" s="46" t="inlineStr">
        <is>
          <t>עופר בביוף</t>
        </is>
      </c>
      <c r="C93" s="47" t="inlineStr">
        <is>
          <t>תורנות שישי</t>
        </is>
      </c>
      <c r="D93" s="46" t="inlineStr">
        <is>
          <t>בית מדרש</t>
        </is>
      </c>
      <c r="E93" s="47" t="n">
        <v>3</v>
      </c>
    </row>
    <row r="94">
      <c r="A94" s="45" t="n">
        <v>46283</v>
      </c>
      <c r="B94" s="46" t="inlineStr">
        <is>
          <t>עשהאל ירושלמי</t>
        </is>
      </c>
      <c r="C94" s="47" t="inlineStr">
        <is>
          <t>תורנות שישי</t>
        </is>
      </c>
      <c r="D94" s="46" t="inlineStr">
        <is>
          <t>בית מדרש</t>
        </is>
      </c>
      <c r="E94" s="47" t="n">
        <v>3</v>
      </c>
    </row>
    <row r="95">
      <c r="A95" s="45" t="n">
        <v>46283</v>
      </c>
      <c r="B95" s="46" t="inlineStr">
        <is>
          <t>פרת פולס</t>
        </is>
      </c>
      <c r="C95" s="47" t="inlineStr">
        <is>
          <t>תורנות שישי</t>
        </is>
      </c>
      <c r="D95" s="46" t="inlineStr">
        <is>
          <t>בית מדרש</t>
        </is>
      </c>
      <c r="E95" s="47" t="n">
        <v>3</v>
      </c>
    </row>
    <row r="96">
      <c r="A96" s="45" t="n">
        <v>46283</v>
      </c>
      <c r="B96" s="46" t="inlineStr">
        <is>
          <t>רותם דרור</t>
        </is>
      </c>
      <c r="C96" s="47" t="inlineStr">
        <is>
          <t>תורנות שישי</t>
        </is>
      </c>
      <c r="D96" s="46" t="inlineStr">
        <is>
          <t>בית מדרש</t>
        </is>
      </c>
      <c r="E96" s="47" t="n">
        <v>3</v>
      </c>
    </row>
    <row r="97">
      <c r="A97" s="45" t="n">
        <v>46283</v>
      </c>
      <c r="B97" s="46" t="inlineStr">
        <is>
          <t>שירה אדלה לוזון</t>
        </is>
      </c>
      <c r="C97" s="47" t="inlineStr">
        <is>
          <t>תורנות שישי</t>
        </is>
      </c>
      <c r="D97" s="46" t="inlineStr">
        <is>
          <t>בית מדרש</t>
        </is>
      </c>
      <c r="E97" s="47" t="n">
        <v>3</v>
      </c>
    </row>
    <row r="98">
      <c r="A98" s="45" t="n">
        <v>46283</v>
      </c>
      <c r="B98" s="46" t="inlineStr">
        <is>
          <t>תמר פרידמן</t>
        </is>
      </c>
      <c r="C98" s="47" t="inlineStr">
        <is>
          <t>תורנות שישי</t>
        </is>
      </c>
      <c r="D98" s="46" t="inlineStr">
        <is>
          <t>בית מדרש</t>
        </is>
      </c>
      <c r="E98" s="47" t="n">
        <v>3</v>
      </c>
    </row>
    <row r="99">
      <c r="A99" s="45" t="n">
        <v>46283</v>
      </c>
      <c r="B99" s="46" t="inlineStr">
        <is>
          <t>תמר פרימור</t>
        </is>
      </c>
      <c r="C99" s="47" t="inlineStr">
        <is>
          <t>תורנות שישי</t>
        </is>
      </c>
      <c r="D99" s="46" t="inlineStr">
        <is>
          <t>בית מדרש</t>
        </is>
      </c>
      <c r="E99" s="4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inlineStr">
        <is>
          <t>ארוחת ערב</t>
        </is>
      </c>
      <c r="B3" s="19" t="inlineStr">
        <is>
          <t>פרגית בגריל</t>
        </is>
      </c>
      <c r="C3" s="28" t="n"/>
      <c r="D3" s="20" t="n"/>
    </row>
    <row r="4">
      <c r="A4" s="28" t="inlineStr">
        <is>
          <t>ארוחת ערב</t>
        </is>
      </c>
      <c r="B4" s="19" t="inlineStr">
        <is>
          <t>קוסקוס</t>
        </is>
      </c>
      <c r="C4" s="28" t="n"/>
      <c r="D4" s="20" t="n"/>
    </row>
    <row r="5">
      <c r="A5" s="28" t="inlineStr">
        <is>
          <t>ארוחת ערב</t>
        </is>
      </c>
      <c r="B5" s="19" t="inlineStr">
        <is>
          <t>לקט קוסקוס</t>
        </is>
      </c>
      <c r="C5" s="28" t="n"/>
      <c r="D5" s="20" t="n"/>
    </row>
    <row r="6">
      <c r="A6" s="28" t="inlineStr">
        <is>
          <t>ארוחת ערב</t>
        </is>
      </c>
      <c r="B6" s="19" t="inlineStr">
        <is>
          <t>מוקפץ טבעוני</t>
        </is>
      </c>
      <c r="C6" s="28" t="n"/>
      <c r="D6" s="20" t="n"/>
    </row>
    <row r="7">
      <c r="A7" s="28" t="inlineStr">
        <is>
          <t>ארוחת צהריים</t>
        </is>
      </c>
      <c r="B7" s="19" t="inlineStr">
        <is>
          <t>כתף בקר</t>
        </is>
      </c>
      <c r="C7" s="28" t="n"/>
      <c r="D7" s="20" t="n"/>
    </row>
    <row r="8">
      <c r="A8" s="28" t="inlineStr">
        <is>
          <t>ארוחת צהריים</t>
        </is>
      </c>
      <c r="B8" s="19" t="inlineStr">
        <is>
          <t>אורז לבן</t>
        </is>
      </c>
      <c r="C8" s="28" t="n"/>
      <c r="D8" s="20" t="n"/>
    </row>
    <row r="9">
      <c r="A9" s="28" t="inlineStr">
        <is>
          <t>ארוחת צהריים</t>
        </is>
      </c>
      <c r="B9" s="19" t="inlineStr">
        <is>
          <t>תפו"א ובטטה</t>
        </is>
      </c>
      <c r="C9" s="28" t="n"/>
      <c r="D9" s="20" t="n"/>
    </row>
    <row r="10">
      <c r="A10" s="28" t="inlineStr">
        <is>
          <t>ארוחת צהריים</t>
        </is>
      </c>
      <c r="B10" s="19" t="inlineStr">
        <is>
          <t>אנטי פסטי</t>
        </is>
      </c>
      <c r="C10" s="28" t="n"/>
      <c r="D10" s="20" t="n"/>
    </row>
    <row r="11">
      <c r="A11" s="28" t="inlineStr">
        <is>
          <t>ארוחת צהריים</t>
        </is>
      </c>
      <c r="B11" s="19" t="inlineStr">
        <is>
          <t>שווארמה טבעונית</t>
        </is>
      </c>
      <c r="C11" s="28" t="n"/>
      <c r="D11" s="20" t="n"/>
    </row>
    <row r="12">
      <c r="A12" s="28" t="inlineStr">
        <is>
          <t>סלטים</t>
        </is>
      </c>
      <c r="B12" s="19" t="inlineStr">
        <is>
          <t>סלק אדום</t>
        </is>
      </c>
      <c r="C12" s="28" t="n"/>
      <c r="D12" s="20" t="n"/>
    </row>
    <row r="13">
      <c r="A13" s="28" t="inlineStr">
        <is>
          <t>סלטים</t>
        </is>
      </c>
      <c r="B13" s="19" t="inlineStr">
        <is>
          <t>ירקות מוחמצים</t>
        </is>
      </c>
      <c r="C13" s="28" t="n"/>
      <c r="D13" s="20" t="n"/>
    </row>
    <row r="14">
      <c r="A14" s="28" t="inlineStr">
        <is>
          <t>סלטים</t>
        </is>
      </c>
      <c r="B14" s="19" t="inlineStr">
        <is>
          <t>בטטה</t>
        </is>
      </c>
      <c r="C14" s="28" t="n"/>
      <c r="D14" s="20" t="n"/>
    </row>
    <row r="15">
      <c r="A15" s="28" t="inlineStr">
        <is>
          <t>סלטים</t>
        </is>
      </c>
      <c r="B15" s="19" t="inlineStr">
        <is>
          <t>כרוב במיונז</t>
        </is>
      </c>
      <c r="C15" s="28" t="n"/>
      <c r="D15" s="20" t="n"/>
    </row>
    <row r="16">
      <c r="A16" s="28" t="inlineStr">
        <is>
          <t>סלטים</t>
        </is>
      </c>
      <c r="B16" s="19" t="inlineStr">
        <is>
          <t>חומוס</t>
        </is>
      </c>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row r="54" ht="28" customHeight="1">
      <c r="A54" s="26" t="inlineStr">
        <is>
          <t>המקור הוא data/catering.csv. משימה שכתוב בה {ארוחת ערב}, {ארוחת צהריים} או {סלטים} מקבלת את רשימת המנות של אותה ארוחה — כך התפריט מתעדכן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2026-09-23T09:47:14Z</dcterms:created>
  <dcterms:modified xsi:type="dcterms:W3CDTF">2026-09-23T09:47:15Z</dcterms:modified>
</cp:coreProperties>
</file>